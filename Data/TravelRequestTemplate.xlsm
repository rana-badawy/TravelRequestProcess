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ers\rana.saber\Documents\GitHub\TravelRequestProcess\Data\"/>
    </mc:Choice>
  </mc:AlternateContent>
  <bookViews>
    <workbookView xWindow="0" yWindow="0" windowWidth="20490" windowHeight="7770"/>
  </bookViews>
  <sheets>
    <sheet name="Request" sheetId="2" r:id="rId1"/>
    <sheet name="Cities" sheetId="4" r:id="rId2"/>
    <sheet name="Date" sheetId="5" r:id="rId3"/>
    <sheet name="Employees" sheetId="3" r:id="rId4"/>
  </sheets>
  <definedNames>
    <definedName name="April">Date!$E$2:$E$32</definedName>
    <definedName name="August">Date!$I$2:$I$32</definedName>
    <definedName name="December">Date!$M$2:$M$32</definedName>
    <definedName name="Emp">Employees!$A$2:$E$1750</definedName>
    <definedName name="February">Date!$C$2:$C$32</definedName>
    <definedName name="January">Date!$B$2:$B$32</definedName>
    <definedName name="July">Date!$H$2:$H$32</definedName>
    <definedName name="June">Date!$G$2:$G$32</definedName>
    <definedName name="March">Date!$D$2:$D$32</definedName>
    <definedName name="May">Date!$F$2:$F$32</definedName>
    <definedName name="November">Date!$L$2:$L$32</definedName>
    <definedName name="October">Date!$K$2:$K$32</definedName>
    <definedName name="September">Date!$J$2:$J$32</definedName>
    <definedName name="valid_cities">OFFSET(Cities!$D$2,,,COUNTIF(Cities!$D$2:$D$1220,"?*"))</definedName>
    <definedName name="valid_cities2">OFFSET(Cities!$H$2,,,COUNTIF(Cities!$H$2:$H$1220,"?*"))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20" i="4" l="1"/>
  <c r="F2" i="4"/>
  <c r="A2" i="4"/>
  <c r="D1220" i="4"/>
  <c r="F3" i="4" l="1"/>
  <c r="A3" i="4"/>
  <c r="F4" i="4" l="1"/>
  <c r="F5" i="4" s="1"/>
  <c r="A4" i="4"/>
  <c r="F6" i="4" l="1"/>
  <c r="F7" i="4" s="1"/>
  <c r="A5" i="4"/>
  <c r="A6" i="4" s="1"/>
  <c r="A7" i="4" l="1"/>
  <c r="A8" i="4" s="1"/>
  <c r="A9" i="4" s="1"/>
  <c r="F8" i="4"/>
  <c r="F9" i="4"/>
  <c r="F11" i="4" l="1"/>
  <c r="F10" i="4"/>
  <c r="A11" i="4"/>
  <c r="A10" i="4"/>
  <c r="F12" i="4" l="1"/>
  <c r="A12" i="4"/>
  <c r="A13" i="4" s="1"/>
  <c r="A14" i="4" l="1"/>
  <c r="A15" i="4" s="1"/>
  <c r="F13" i="4"/>
  <c r="A16" i="4"/>
  <c r="A17" i="4" l="1"/>
  <c r="F14" i="4"/>
  <c r="A18" i="4"/>
  <c r="A19" i="4" s="1"/>
  <c r="F15" i="4" l="1"/>
  <c r="A20" i="4"/>
  <c r="F16" i="4" l="1"/>
  <c r="A21" i="4"/>
  <c r="A22" i="4" s="1"/>
  <c r="A23" i="4"/>
  <c r="A24" i="4" s="1"/>
  <c r="A25" i="4" s="1"/>
  <c r="A26" i="4" s="1"/>
  <c r="A27" i="4" s="1"/>
  <c r="A28" i="4" s="1"/>
  <c r="A29" i="4" s="1"/>
  <c r="F17" i="4" l="1"/>
  <c r="A30" i="4"/>
  <c r="A31" i="4" s="1"/>
  <c r="F18" i="4" l="1"/>
  <c r="A32" i="4"/>
  <c r="A33" i="4" s="1"/>
  <c r="A34" i="4" s="1"/>
  <c r="A35" i="4" s="1"/>
  <c r="A36" i="4" s="1"/>
  <c r="A37" i="4" s="1"/>
  <c r="F19" i="4" l="1"/>
  <c r="A38" i="4"/>
  <c r="A39" i="4" s="1"/>
  <c r="A40" i="4" s="1"/>
  <c r="A41" i="4" s="1"/>
  <c r="F20" i="4" l="1"/>
  <c r="A42" i="4"/>
  <c r="A43" i="4" s="1"/>
  <c r="A44" i="4" s="1"/>
  <c r="A45" i="4" s="1"/>
  <c r="F21" i="4" l="1"/>
  <c r="A46" i="4"/>
  <c r="A47" i="4" s="1"/>
  <c r="F22" i="4" l="1"/>
  <c r="A48" i="4"/>
  <c r="A49" i="4" s="1"/>
  <c r="A50" i="4" s="1"/>
  <c r="A51" i="4" s="1"/>
  <c r="A52" i="4" s="1"/>
  <c r="F23" i="4" l="1"/>
  <c r="A53" i="4"/>
  <c r="A54" i="4" s="1"/>
  <c r="A55" i="4" s="1"/>
  <c r="A56" i="4" s="1"/>
  <c r="A57" i="4" s="1"/>
  <c r="A58" i="4" s="1"/>
  <c r="F24" i="4" l="1"/>
  <c r="A59" i="4"/>
  <c r="A60" i="4" s="1"/>
  <c r="A61" i="4" s="1"/>
  <c r="A62" i="4" s="1"/>
  <c r="A63" i="4" s="1"/>
  <c r="A64" i="4" s="1"/>
  <c r="F25" i="4" l="1"/>
  <c r="A65" i="4"/>
  <c r="A66" i="4" s="1"/>
  <c r="F26" i="4" l="1"/>
  <c r="A67" i="4"/>
  <c r="F27" i="4" l="1"/>
  <c r="A68" i="4"/>
  <c r="A69" i="4" s="1"/>
  <c r="F28" i="4" l="1"/>
  <c r="A70" i="4"/>
  <c r="A71" i="4" s="1"/>
  <c r="A72" i="4" s="1"/>
  <c r="F29" i="4" l="1"/>
  <c r="A73" i="4"/>
  <c r="A74" i="4" s="1"/>
  <c r="A75" i="4" s="1"/>
  <c r="F30" i="4" l="1"/>
  <c r="A76" i="4"/>
  <c r="A77" i="4" s="1"/>
  <c r="F31" i="4" l="1"/>
  <c r="A78" i="4"/>
  <c r="F32" i="4" l="1"/>
  <c r="A79" i="4"/>
  <c r="A80" i="4"/>
  <c r="A81" i="4" s="1"/>
  <c r="F33" i="4" l="1"/>
  <c r="A82" i="4"/>
  <c r="A83" i="4" s="1"/>
  <c r="A84" i="4" s="1"/>
  <c r="F34" i="4" l="1"/>
  <c r="A85" i="4"/>
  <c r="A86" i="4" s="1"/>
  <c r="F35" i="4" l="1"/>
  <c r="A87" i="4"/>
  <c r="F36" i="4" l="1"/>
  <c r="A88" i="4"/>
  <c r="A89" i="4" s="1"/>
  <c r="A90" i="4" s="1"/>
  <c r="A91" i="4" s="1"/>
  <c r="A92" i="4" s="1"/>
  <c r="A93" i="4" s="1"/>
  <c r="A94" i="4" s="1"/>
  <c r="F37" i="4" l="1"/>
  <c r="A95" i="4"/>
  <c r="A96" i="4" s="1"/>
  <c r="F38" i="4" l="1"/>
  <c r="A97" i="4"/>
  <c r="F39" i="4" l="1"/>
  <c r="A98" i="4"/>
  <c r="A99" i="4" s="1"/>
  <c r="F40" i="4" l="1"/>
  <c r="A100" i="4"/>
  <c r="A101" i="4" s="1"/>
  <c r="F41" i="4" l="1"/>
  <c r="A102" i="4"/>
  <c r="A103" i="4" s="1"/>
  <c r="A104" i="4" s="1"/>
  <c r="F42" i="4" l="1"/>
  <c r="A105" i="4"/>
  <c r="F43" i="4" l="1"/>
  <c r="A106" i="4"/>
  <c r="A107" i="4" s="1"/>
  <c r="F44" i="4" l="1"/>
  <c r="A108" i="4"/>
  <c r="A109" i="4" s="1"/>
  <c r="F45" i="4" l="1"/>
  <c r="A110" i="4"/>
  <c r="A111" i="4" s="1"/>
  <c r="F46" i="4" l="1"/>
  <c r="A112" i="4"/>
  <c r="A113" i="4" s="1"/>
  <c r="A114" i="4" s="1"/>
  <c r="A115" i="4" s="1"/>
  <c r="A116" i="4" s="1"/>
  <c r="A117" i="4" s="1"/>
  <c r="A118" i="4" s="1"/>
  <c r="A119" i="4" s="1"/>
  <c r="A120" i="4" s="1"/>
  <c r="A121" i="4" s="1"/>
  <c r="F47" i="4" l="1"/>
  <c r="A122" i="4"/>
  <c r="A123" i="4" s="1"/>
  <c r="A124" i="4" s="1"/>
  <c r="A125" i="4" s="1"/>
  <c r="A126" i="4" s="1"/>
  <c r="F48" i="4" l="1"/>
  <c r="A127" i="4"/>
  <c r="A128" i="4" s="1"/>
  <c r="F49" i="4" l="1"/>
  <c r="A129" i="4"/>
  <c r="F50" i="4" l="1"/>
  <c r="A130" i="4"/>
  <c r="F51" i="4" l="1"/>
  <c r="A131" i="4"/>
  <c r="A132" i="4" s="1"/>
  <c r="A133" i="4" s="1"/>
  <c r="A134" i="4" l="1"/>
  <c r="F52" i="4"/>
  <c r="A135" i="4"/>
  <c r="A136" i="4" s="1"/>
  <c r="F53" i="4" l="1"/>
  <c r="A137" i="4"/>
  <c r="F54" i="4" l="1"/>
  <c r="A138" i="4"/>
  <c r="A139" i="4" s="1"/>
  <c r="A140" i="4" s="1"/>
  <c r="F55" i="4" l="1"/>
  <c r="A141" i="4"/>
  <c r="A142" i="4" s="1"/>
  <c r="A143" i="4" s="1"/>
  <c r="A144" i="4" s="1"/>
  <c r="A145" i="4" s="1"/>
  <c r="A146" i="4" s="1"/>
  <c r="F56" i="4" l="1"/>
  <c r="A147" i="4"/>
  <c r="A148" i="4" s="1"/>
  <c r="A149" i="4" s="1"/>
  <c r="A150" i="4" s="1"/>
  <c r="F57" i="4" l="1"/>
  <c r="A151" i="4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F58" i="4" l="1"/>
  <c r="A177" i="4"/>
  <c r="A178" i="4" s="1"/>
  <c r="A179" i="4" s="1"/>
  <c r="A180" i="4" s="1"/>
  <c r="A181" i="4" s="1"/>
  <c r="A182" i="4" s="1"/>
  <c r="A183" i="4" s="1"/>
  <c r="F59" i="4" l="1"/>
  <c r="A184" i="4"/>
  <c r="A185" i="4" s="1"/>
  <c r="A186" i="4" s="1"/>
  <c r="A187" i="4" s="1"/>
  <c r="F60" i="4" l="1"/>
  <c r="A188" i="4"/>
  <c r="A189" i="4" s="1"/>
  <c r="F61" i="4" l="1"/>
  <c r="A190" i="4"/>
  <c r="F62" i="4" l="1"/>
  <c r="A191" i="4"/>
  <c r="A192" i="4" s="1"/>
  <c r="A193" i="4" s="1"/>
  <c r="A194" i="4" s="1"/>
  <c r="A195" i="4" s="1"/>
  <c r="A196" i="4" s="1"/>
  <c r="F63" i="4" l="1"/>
  <c r="F64" i="4"/>
  <c r="A197" i="4"/>
  <c r="A198" i="4" s="1"/>
  <c r="A199" i="4" s="1"/>
  <c r="A200" i="4" s="1"/>
  <c r="A201" i="4" s="1"/>
  <c r="F65" i="4" l="1"/>
  <c r="A202" i="4"/>
  <c r="A203" i="4" s="1"/>
  <c r="A204" i="4" s="1"/>
  <c r="A205" i="4" s="1"/>
  <c r="A206" i="4" s="1"/>
  <c r="A207" i="4" s="1"/>
  <c r="A208" i="4" s="1"/>
  <c r="A209" i="4" s="1"/>
  <c r="F66" i="4" l="1"/>
  <c r="A210" i="4"/>
  <c r="A211" i="4" s="1"/>
  <c r="A212" i="4" s="1"/>
  <c r="A213" i="4" s="1"/>
  <c r="A214" i="4" s="1"/>
  <c r="A215" i="4" s="1"/>
  <c r="A216" i="4" s="1"/>
  <c r="A217" i="4" s="1"/>
  <c r="A218" i="4" s="1"/>
  <c r="F67" i="4" l="1"/>
  <c r="A219" i="4"/>
  <c r="A220" i="4" s="1"/>
  <c r="A221" i="4" s="1"/>
  <c r="F68" i="4" l="1"/>
  <c r="A222" i="4"/>
  <c r="A223" i="4" s="1"/>
  <c r="A224" i="4" s="1"/>
  <c r="F69" i="4" l="1"/>
  <c r="A225" i="4"/>
  <c r="A226" i="4" s="1"/>
  <c r="A227" i="4" s="1"/>
  <c r="F70" i="4" l="1"/>
  <c r="A228" i="4"/>
  <c r="F71" i="4" l="1"/>
  <c r="A229" i="4"/>
  <c r="A230" i="4" s="1"/>
  <c r="F72" i="4" l="1"/>
  <c r="A231" i="4"/>
  <c r="A232" i="4" s="1"/>
  <c r="F73" i="4" l="1"/>
  <c r="A233" i="4"/>
  <c r="F74" i="4" l="1"/>
  <c r="A234" i="4"/>
  <c r="F75" i="4" l="1"/>
  <c r="A235" i="4"/>
  <c r="F76" i="4" l="1"/>
  <c r="A236" i="4"/>
  <c r="F77" i="4" l="1"/>
  <c r="A237" i="4"/>
  <c r="F78" i="4" l="1"/>
  <c r="A238" i="4"/>
  <c r="F79" i="4" l="1"/>
  <c r="A239" i="4"/>
  <c r="F80" i="4" l="1"/>
  <c r="A240" i="4"/>
  <c r="F81" i="4" l="1"/>
  <c r="A241" i="4"/>
  <c r="F82" i="4" l="1"/>
  <c r="A242" i="4"/>
  <c r="F83" i="4" l="1"/>
  <c r="A243" i="4"/>
  <c r="F84" i="4" l="1"/>
  <c r="A244" i="4"/>
  <c r="F85" i="4" l="1"/>
  <c r="A245" i="4"/>
  <c r="F86" i="4" l="1"/>
  <c r="A246" i="4"/>
  <c r="F87" i="4" l="1"/>
  <c r="A247" i="4"/>
  <c r="F88" i="4" l="1"/>
  <c r="A248" i="4"/>
  <c r="F89" i="4" l="1"/>
  <c r="A249" i="4"/>
  <c r="F90" i="4" l="1"/>
  <c r="A250" i="4"/>
  <c r="F91" i="4" l="1"/>
  <c r="A251" i="4"/>
  <c r="F92" i="4" l="1"/>
  <c r="A252" i="4"/>
  <c r="F93" i="4" l="1"/>
  <c r="A253" i="4"/>
  <c r="F94" i="4" l="1"/>
  <c r="A254" i="4"/>
  <c r="F95" i="4" l="1"/>
  <c r="A255" i="4"/>
  <c r="F96" i="4" l="1"/>
  <c r="A256" i="4"/>
  <c r="F97" i="4" l="1"/>
  <c r="A257" i="4"/>
  <c r="F98" i="4" l="1"/>
  <c r="A258" i="4"/>
  <c r="F99" i="4" l="1"/>
  <c r="A259" i="4"/>
  <c r="F100" i="4" l="1"/>
  <c r="A260" i="4"/>
  <c r="F101" i="4" l="1"/>
  <c r="A261" i="4"/>
  <c r="A262" i="4" l="1"/>
  <c r="F102" i="4"/>
  <c r="A263" i="4" l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F103" i="4"/>
  <c r="A338" i="4" l="1"/>
  <c r="A339" i="4" s="1"/>
  <c r="F104" i="4"/>
  <c r="A340" i="4" l="1"/>
  <c r="F105" i="4"/>
  <c r="A341" i="4" l="1"/>
  <c r="F106" i="4"/>
  <c r="A342" i="4" l="1"/>
  <c r="A343" i="4" s="1"/>
  <c r="F107" i="4"/>
  <c r="A344" i="4" l="1"/>
  <c r="A345" i="4"/>
  <c r="A346" i="4" s="1"/>
  <c r="A347" i="4" s="1"/>
  <c r="F108" i="4"/>
  <c r="A348" i="4" l="1"/>
  <c r="A349" i="4" s="1"/>
  <c r="A350" i="4" s="1"/>
  <c r="A351" i="4" s="1"/>
  <c r="F109" i="4"/>
  <c r="A352" i="4" l="1"/>
  <c r="A353" i="4" s="1"/>
  <c r="F110" i="4"/>
  <c r="A354" i="4" l="1"/>
  <c r="A355" i="4"/>
  <c r="F111" i="4"/>
  <c r="A356" i="4" l="1"/>
  <c r="F112" i="4"/>
  <c r="A357" i="4" l="1"/>
  <c r="F113" i="4"/>
  <c r="A358" i="4" l="1"/>
  <c r="F114" i="4"/>
  <c r="A359" i="4" l="1"/>
  <c r="F115" i="4"/>
  <c r="A360" i="4" l="1"/>
  <c r="F116" i="4"/>
  <c r="A361" i="4" l="1"/>
  <c r="F117" i="4"/>
  <c r="A362" i="4" l="1"/>
  <c r="F118" i="4"/>
  <c r="A363" i="4" l="1"/>
  <c r="F119" i="4"/>
  <c r="A364" i="4" l="1"/>
  <c r="F120" i="4"/>
  <c r="A365" i="4" l="1"/>
  <c r="F121" i="4"/>
  <c r="A366" i="4" l="1"/>
  <c r="F122" i="4"/>
  <c r="A367" i="4" l="1"/>
  <c r="F123" i="4"/>
  <c r="A368" i="4" l="1"/>
  <c r="F124" i="4"/>
  <c r="A369" i="4" l="1"/>
  <c r="F125" i="4"/>
  <c r="A370" i="4" l="1"/>
  <c r="F126" i="4"/>
  <c r="A371" i="4" l="1"/>
  <c r="F127" i="4"/>
  <c r="A372" i="4" l="1"/>
  <c r="F128" i="4"/>
  <c r="A373" i="4" l="1"/>
  <c r="F129" i="4"/>
  <c r="A374" i="4" l="1"/>
  <c r="F130" i="4"/>
  <c r="A375" i="4" l="1"/>
  <c r="F131" i="4"/>
  <c r="A376" i="4" l="1"/>
  <c r="F132" i="4"/>
  <c r="A377" i="4" l="1"/>
  <c r="F133" i="4"/>
  <c r="A378" i="4" l="1"/>
  <c r="F134" i="4"/>
  <c r="A379" i="4" l="1"/>
  <c r="F135" i="4"/>
  <c r="A380" i="4" l="1"/>
  <c r="F136" i="4"/>
  <c r="A381" i="4" l="1"/>
  <c r="F137" i="4"/>
  <c r="A382" i="4" l="1"/>
  <c r="F138" i="4"/>
  <c r="A383" i="4" l="1"/>
  <c r="F139" i="4"/>
  <c r="A384" i="4" l="1"/>
  <c r="F140" i="4"/>
  <c r="A385" i="4" l="1"/>
  <c r="F141" i="4"/>
  <c r="A386" i="4" l="1"/>
  <c r="F142" i="4"/>
  <c r="A387" i="4" l="1"/>
  <c r="F143" i="4"/>
  <c r="A388" i="4" l="1"/>
  <c r="F144" i="4"/>
  <c r="A389" i="4" l="1"/>
  <c r="F145" i="4"/>
  <c r="A390" i="4" l="1"/>
  <c r="F146" i="4"/>
  <c r="A391" i="4" l="1"/>
  <c r="F147" i="4"/>
  <c r="A392" i="4" l="1"/>
  <c r="F148" i="4"/>
  <c r="A393" i="4" l="1"/>
  <c r="F149" i="4"/>
  <c r="A394" i="4" l="1"/>
  <c r="F150" i="4"/>
  <c r="A395" i="4" l="1"/>
  <c r="F151" i="4"/>
  <c r="A396" i="4" l="1"/>
  <c r="F152" i="4"/>
  <c r="A397" i="4" l="1"/>
  <c r="F153" i="4"/>
  <c r="A398" i="4" l="1"/>
  <c r="F154" i="4"/>
  <c r="A399" i="4" l="1"/>
  <c r="F155" i="4"/>
  <c r="A400" i="4" l="1"/>
  <c r="F156" i="4"/>
  <c r="A401" i="4" l="1"/>
  <c r="F157" i="4"/>
  <c r="A402" i="4" l="1"/>
  <c r="F158" i="4"/>
  <c r="A403" i="4" l="1"/>
  <c r="F159" i="4"/>
  <c r="A404" i="4" l="1"/>
  <c r="F160" i="4"/>
  <c r="A405" i="4" l="1"/>
  <c r="F161" i="4"/>
  <c r="A406" i="4" l="1"/>
  <c r="F162" i="4"/>
  <c r="A407" i="4" l="1"/>
  <c r="F163" i="4"/>
  <c r="A408" i="4" l="1"/>
  <c r="F164" i="4"/>
  <c r="A409" i="4" l="1"/>
  <c r="F165" i="4"/>
  <c r="F166" i="4"/>
  <c r="A410" i="4" l="1"/>
  <c r="F167" i="4"/>
  <c r="A411" i="4" l="1"/>
  <c r="F168" i="4"/>
  <c r="G8" i="2"/>
  <c r="P8" i="2"/>
  <c r="G7" i="2"/>
  <c r="P7" i="2"/>
  <c r="A412" i="4" l="1"/>
  <c r="F169" i="4"/>
  <c r="A413" i="4" l="1"/>
  <c r="F170" i="4"/>
  <c r="A414" i="4" l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F171" i="4"/>
  <c r="A551" i="4" l="1"/>
  <c r="A552" i="4" s="1"/>
  <c r="A553" i="4" s="1"/>
  <c r="A554" i="4" s="1"/>
  <c r="A555" i="4" s="1"/>
  <c r="F172" i="4"/>
  <c r="A556" i="4" l="1"/>
  <c r="A557" i="4" s="1"/>
  <c r="A558" i="4" s="1"/>
  <c r="A559" i="4" s="1"/>
  <c r="A560" i="4" s="1"/>
  <c r="F173" i="4"/>
  <c r="A561" i="4" l="1"/>
  <c r="A562" i="4"/>
  <c r="F174" i="4"/>
  <c r="A563" i="4" l="1"/>
  <c r="F175" i="4"/>
  <c r="A564" i="4" l="1"/>
  <c r="F176" i="4"/>
  <c r="A565" i="4" l="1"/>
  <c r="F177" i="4"/>
  <c r="A566" i="4" l="1"/>
  <c r="F178" i="4"/>
  <c r="A567" i="4" l="1"/>
  <c r="F179" i="4"/>
  <c r="A568" i="4" l="1"/>
  <c r="F180" i="4"/>
  <c r="A569" i="4" l="1"/>
  <c r="F181" i="4"/>
  <c r="A570" i="4" l="1"/>
  <c r="F182" i="4"/>
  <c r="A571" i="4" l="1"/>
  <c r="F183" i="4"/>
  <c r="A572" i="4" l="1"/>
  <c r="F184" i="4"/>
  <c r="A573" i="4" l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F185" i="4"/>
  <c r="A599" i="4" l="1"/>
  <c r="A600" i="4" s="1"/>
  <c r="F186" i="4"/>
  <c r="A601" i="4" l="1"/>
  <c r="F187" i="4"/>
  <c r="A602" i="4" l="1"/>
  <c r="F188" i="4"/>
  <c r="A603" i="4" l="1"/>
  <c r="F189" i="4"/>
  <c r="A604" i="4" l="1"/>
  <c r="F190" i="4"/>
  <c r="A605" i="4" l="1"/>
  <c r="F191" i="4"/>
  <c r="A606" i="4" l="1"/>
  <c r="F192" i="4"/>
  <c r="A607" i="4" l="1"/>
  <c r="F193" i="4"/>
  <c r="A608" i="4" l="1"/>
  <c r="F194" i="4"/>
  <c r="A609" i="4" l="1"/>
  <c r="F195" i="4"/>
  <c r="A610" i="4" l="1"/>
  <c r="F196" i="4"/>
  <c r="A611" i="4" l="1"/>
  <c r="F197" i="4"/>
  <c r="A612" i="4" l="1"/>
  <c r="F198" i="4"/>
  <c r="A613" i="4" l="1"/>
  <c r="F199" i="4"/>
  <c r="A614" i="4" l="1"/>
  <c r="F200" i="4"/>
  <c r="A615" i="4" l="1"/>
  <c r="F201" i="4"/>
  <c r="A616" i="4" l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F202" i="4"/>
  <c r="A646" i="4" l="1"/>
  <c r="A647" i="4" s="1"/>
  <c r="F203" i="4"/>
  <c r="A648" i="4" l="1"/>
  <c r="F204" i="4"/>
  <c r="A649" i="4" l="1"/>
  <c r="F205" i="4"/>
  <c r="A650" i="4" l="1"/>
  <c r="F206" i="4"/>
  <c r="A651" i="4" l="1"/>
  <c r="F207" i="4"/>
  <c r="A652" i="4" l="1"/>
  <c r="F208" i="4"/>
  <c r="A653" i="4" l="1"/>
  <c r="F209" i="4"/>
  <c r="A654" i="4" l="1"/>
  <c r="F210" i="4"/>
  <c r="A655" i="4" l="1"/>
  <c r="F211" i="4"/>
  <c r="A656" i="4" l="1"/>
  <c r="F212" i="4"/>
  <c r="A657" i="4" l="1"/>
  <c r="F213" i="4"/>
  <c r="A658" i="4" l="1"/>
  <c r="F214" i="4"/>
  <c r="A659" i="4" l="1"/>
  <c r="F215" i="4"/>
  <c r="A660" i="4" l="1"/>
  <c r="F216" i="4"/>
  <c r="A661" i="4" l="1"/>
  <c r="F217" i="4"/>
  <c r="A662" i="4" l="1"/>
  <c r="F218" i="4"/>
  <c r="A663" i="4" l="1"/>
  <c r="F219" i="4"/>
  <c r="A664" i="4" l="1"/>
  <c r="F220" i="4"/>
  <c r="A665" i="4" l="1"/>
  <c r="F221" i="4"/>
  <c r="A666" i="4" l="1"/>
  <c r="F222" i="4"/>
  <c r="A667" i="4" l="1"/>
  <c r="F223" i="4"/>
  <c r="A668" i="4" l="1"/>
  <c r="F224" i="4"/>
  <c r="A669" i="4" l="1"/>
  <c r="F225" i="4"/>
  <c r="A670" i="4" l="1"/>
  <c r="F226" i="4"/>
  <c r="A671" i="4" l="1"/>
  <c r="F227" i="4"/>
  <c r="A672" i="4" l="1"/>
  <c r="F228" i="4"/>
  <c r="A673" i="4" l="1"/>
  <c r="F229" i="4"/>
  <c r="A674" i="4" l="1"/>
  <c r="F230" i="4"/>
  <c r="A675" i="4" l="1"/>
  <c r="F231" i="4"/>
  <c r="A676" i="4" l="1"/>
  <c r="F232" i="4"/>
  <c r="A677" i="4" l="1"/>
  <c r="F233" i="4"/>
  <c r="A678" i="4" l="1"/>
  <c r="F234" i="4"/>
  <c r="A679" i="4" l="1"/>
  <c r="F235" i="4"/>
  <c r="A680" i="4" l="1"/>
  <c r="F236" i="4"/>
  <c r="A681" i="4" l="1"/>
  <c r="F237" i="4"/>
  <c r="A682" i="4" l="1"/>
  <c r="F238" i="4"/>
  <c r="A683" i="4" l="1"/>
  <c r="F239" i="4"/>
  <c r="A684" i="4" l="1"/>
  <c r="F240" i="4"/>
  <c r="A685" i="4" l="1"/>
  <c r="F241" i="4"/>
  <c r="A686" i="4" l="1"/>
  <c r="F242" i="4"/>
  <c r="A687" i="4" l="1"/>
  <c r="F243" i="4"/>
  <c r="A688" i="4" l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F244" i="4"/>
  <c r="A756" i="4" l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F245" i="4"/>
  <c r="A768" i="4" l="1"/>
  <c r="A769" i="4" s="1"/>
  <c r="A770" i="4"/>
  <c r="A771" i="4" s="1"/>
  <c r="A772" i="4" s="1"/>
  <c r="A773" i="4" s="1"/>
  <c r="F246" i="4"/>
  <c r="A775" i="4" l="1"/>
  <c r="A774" i="4"/>
  <c r="F247" i="4"/>
  <c r="A776" i="4" l="1"/>
  <c r="F248" i="4"/>
  <c r="A777" i="4" l="1"/>
  <c r="A778" i="4" s="1"/>
  <c r="A779" i="4" s="1"/>
  <c r="A780" i="4" s="1"/>
  <c r="A781" i="4" s="1"/>
  <c r="F249" i="4"/>
  <c r="A782" i="4" l="1"/>
  <c r="A783" i="4" s="1"/>
  <c r="A784" i="4" s="1"/>
  <c r="F250" i="4"/>
  <c r="A785" i="4" l="1"/>
  <c r="A786" i="4"/>
  <c r="F251" i="4"/>
  <c r="A787" i="4" l="1"/>
  <c r="F252" i="4"/>
  <c r="A789" i="4" l="1"/>
  <c r="A788" i="4"/>
  <c r="F253" i="4"/>
  <c r="A790" i="4" l="1"/>
  <c r="A791" i="4"/>
  <c r="A792" i="4" s="1"/>
  <c r="F254" i="4"/>
  <c r="A793" i="4" l="1"/>
  <c r="F255" i="4"/>
  <c r="A795" i="4" l="1"/>
  <c r="A794" i="4"/>
  <c r="F256" i="4"/>
  <c r="A796" i="4" l="1"/>
  <c r="A797" i="4" s="1"/>
  <c r="A798" i="4" s="1"/>
  <c r="A799" i="4" s="1"/>
  <c r="A800" i="4" s="1"/>
  <c r="F257" i="4"/>
  <c r="A801" i="4" l="1"/>
  <c r="A802" i="4" s="1"/>
  <c r="A803" i="4" s="1"/>
  <c r="A804" i="4" s="1"/>
  <c r="A805" i="4" s="1"/>
  <c r="A806" i="4" s="1"/>
  <c r="F258" i="4"/>
  <c r="A807" i="4" l="1"/>
  <c r="F259" i="4"/>
  <c r="A808" i="4" l="1"/>
  <c r="F260" i="4"/>
  <c r="A809" i="4" l="1"/>
  <c r="F261" i="4"/>
  <c r="A810" i="4" l="1"/>
  <c r="F262" i="4"/>
  <c r="A811" i="4" l="1"/>
  <c r="F263" i="4"/>
  <c r="A812" i="4" l="1"/>
  <c r="F264" i="4"/>
  <c r="A813" i="4" l="1"/>
  <c r="F265" i="4"/>
  <c r="A814" i="4" l="1"/>
  <c r="F266" i="4"/>
  <c r="A815" i="4" l="1"/>
  <c r="F267" i="4"/>
  <c r="A816" i="4" l="1"/>
  <c r="F268" i="4"/>
  <c r="A817" i="4" l="1"/>
  <c r="F269" i="4"/>
  <c r="A818" i="4" l="1"/>
  <c r="F270" i="4"/>
  <c r="A819" i="4" l="1"/>
  <c r="F271" i="4"/>
  <c r="A820" i="4" l="1"/>
  <c r="F272" i="4"/>
  <c r="A821" i="4" l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F273" i="4"/>
  <c r="F274" i="4"/>
  <c r="A841" i="4" l="1"/>
  <c r="A842" i="4" s="1"/>
  <c r="A843" i="4" s="1"/>
  <c r="A844" i="4" s="1"/>
  <c r="A845" i="4" s="1"/>
  <c r="F275" i="4"/>
  <c r="A846" i="4" l="1"/>
  <c r="A847" i="4" s="1"/>
  <c r="A848" i="4" s="1"/>
  <c r="F276" i="4"/>
  <c r="F277" i="4"/>
  <c r="A849" i="4" l="1"/>
  <c r="A850" i="4" s="1"/>
  <c r="A851" i="4" s="1"/>
  <c r="F278" i="4"/>
  <c r="A852" i="4" l="1"/>
  <c r="A853" i="4" s="1"/>
  <c r="F279" i="4"/>
  <c r="A854" i="4" l="1"/>
  <c r="A855" i="4" s="1"/>
  <c r="A856" i="4" s="1"/>
  <c r="A857" i="4" s="1"/>
  <c r="A858" i="4" s="1"/>
  <c r="F280" i="4"/>
  <c r="A859" i="4" l="1"/>
  <c r="A860" i="4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F281" i="4"/>
  <c r="A871" i="4" l="1"/>
  <c r="A872" i="4" s="1"/>
  <c r="A873" i="4"/>
  <c r="F282" i="4"/>
  <c r="A874" i="4" l="1"/>
  <c r="F283" i="4"/>
  <c r="A875" i="4" l="1"/>
  <c r="F284" i="4"/>
  <c r="A877" i="4" l="1"/>
  <c r="A876" i="4"/>
  <c r="F285" i="4"/>
  <c r="A878" i="4" l="1"/>
  <c r="F286" i="4"/>
  <c r="A879" i="4" l="1"/>
  <c r="F287" i="4"/>
  <c r="A880" i="4" l="1"/>
  <c r="F288" i="4"/>
  <c r="A881" i="4" l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F289" i="4"/>
  <c r="A901" i="4" l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F290" i="4"/>
  <c r="A914" i="4" l="1"/>
  <c r="A915" i="4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F291" i="4"/>
  <c r="A926" i="4" l="1"/>
  <c r="A927" i="4" s="1"/>
  <c r="F292" i="4"/>
  <c r="A928" i="4" l="1"/>
  <c r="A929" i="4" s="1"/>
  <c r="F293" i="4"/>
  <c r="A930" i="4" l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F294" i="4"/>
  <c r="A972" i="4" l="1"/>
  <c r="A973" i="4" s="1"/>
  <c r="A974" i="4" s="1"/>
  <c r="A975" i="4" s="1"/>
  <c r="F295" i="4"/>
  <c r="A976" i="4" l="1"/>
  <c r="F296" i="4"/>
  <c r="A977" i="4" l="1"/>
  <c r="A978" i="4"/>
  <c r="F297" i="4"/>
  <c r="A980" i="4" l="1"/>
  <c r="A981" i="4" s="1"/>
  <c r="A982" i="4" s="1"/>
  <c r="A979" i="4"/>
  <c r="F298" i="4"/>
  <c r="A983" i="4" l="1"/>
  <c r="A984" i="4" s="1"/>
  <c r="A985" i="4" s="1"/>
  <c r="A986" i="4" s="1"/>
  <c r="A987" i="4" s="1"/>
  <c r="F299" i="4"/>
  <c r="A988" i="4" l="1"/>
  <c r="F300" i="4"/>
  <c r="A989" i="4" l="1"/>
  <c r="A990" i="4" s="1"/>
  <c r="F301" i="4"/>
  <c r="A991" i="4" l="1"/>
  <c r="A992" i="4" s="1"/>
  <c r="F302" i="4"/>
  <c r="A995" i="4" l="1"/>
  <c r="A993" i="4"/>
  <c r="A996" i="4" s="1"/>
  <c r="A997" i="4" s="1"/>
  <c r="A994" i="4"/>
  <c r="F303" i="4"/>
  <c r="A998" i="4" l="1"/>
  <c r="A999" i="4" s="1"/>
  <c r="A1000" i="4" s="1"/>
  <c r="F304" i="4"/>
  <c r="A1001" i="4" l="1"/>
  <c r="F305" i="4"/>
  <c r="A1002" i="4" l="1"/>
  <c r="A1003" i="4" s="1"/>
  <c r="A1004" i="4" s="1"/>
  <c r="A1005" i="4" s="1"/>
  <c r="A1006" i="4" s="1"/>
  <c r="F306" i="4"/>
  <c r="A1007" i="4" l="1"/>
  <c r="A1008" i="4" s="1"/>
  <c r="A1009" i="4"/>
  <c r="A1011" i="4" s="1"/>
  <c r="A1010" i="4"/>
  <c r="F307" i="4"/>
  <c r="F308" i="4" l="1"/>
  <c r="A1012" i="4"/>
  <c r="F309" i="4" l="1"/>
  <c r="A1013" i="4"/>
  <c r="F310" i="4" l="1"/>
  <c r="A1014" i="4"/>
  <c r="A1015" i="4" l="1"/>
  <c r="A1016" i="4" s="1"/>
  <c r="A1017" i="4" s="1"/>
  <c r="A1018" i="4" s="1"/>
  <c r="F311" i="4"/>
  <c r="A1019" i="4" l="1"/>
  <c r="A1020" i="4" s="1"/>
  <c r="A1021" i="4" s="1"/>
  <c r="F312" i="4"/>
  <c r="A1022" i="4" l="1"/>
  <c r="A1023" i="4" s="1"/>
  <c r="A1024" i="4" s="1"/>
  <c r="A1025" i="4" s="1"/>
  <c r="A1026" i="4" s="1"/>
  <c r="F313" i="4"/>
  <c r="A1027" i="4" l="1"/>
  <c r="A1028" i="4" s="1"/>
  <c r="F314" i="4"/>
  <c r="A1029" i="4" l="1"/>
  <c r="A1031" i="4" s="1"/>
  <c r="A1030" i="4"/>
  <c r="F315" i="4"/>
  <c r="A1032" i="4" l="1"/>
  <c r="F316" i="4"/>
  <c r="A1033" i="4"/>
  <c r="F317" i="4" l="1"/>
  <c r="A1034" i="4"/>
  <c r="F318" i="4" l="1"/>
  <c r="A1035" i="4"/>
  <c r="F319" i="4" l="1"/>
  <c r="A1036" i="4"/>
  <c r="F320" i="4" l="1"/>
  <c r="A1037" i="4"/>
  <c r="F321" i="4" l="1"/>
  <c r="A1038" i="4"/>
  <c r="F322" i="4" l="1"/>
  <c r="A1039" i="4"/>
  <c r="F323" i="4" l="1"/>
  <c r="A1040" i="4"/>
  <c r="F324" i="4" l="1"/>
  <c r="A1041" i="4"/>
  <c r="F325" i="4" l="1"/>
  <c r="A1042" i="4"/>
  <c r="F326" i="4" l="1"/>
  <c r="A1043" i="4"/>
  <c r="A1044" i="4" l="1"/>
  <c r="F327" i="4"/>
  <c r="A1045" i="4" l="1"/>
  <c r="F328" i="4"/>
  <c r="A1046" i="4" l="1"/>
  <c r="A1047" i="4" s="1"/>
  <c r="A1048" i="4" s="1"/>
  <c r="A1049" i="4" s="1"/>
  <c r="A1050" i="4" s="1"/>
  <c r="A1051" i="4" s="1"/>
  <c r="A1052" i="4" s="1"/>
  <c r="A1053" i="4" s="1"/>
  <c r="A1054" i="4" s="1"/>
  <c r="A1055" i="4" s="1"/>
  <c r="A1056" i="4" s="1"/>
  <c r="A1057" i="4" s="1"/>
  <c r="A1058" i="4" s="1"/>
  <c r="A1059" i="4" s="1"/>
  <c r="A1060" i="4" s="1"/>
  <c r="A1061" i="4" s="1"/>
  <c r="A1062" i="4" s="1"/>
  <c r="F329" i="4"/>
  <c r="A1063" i="4" l="1"/>
  <c r="A1064" i="4" s="1"/>
  <c r="A1065" i="4" s="1"/>
  <c r="A1066" i="4" s="1"/>
  <c r="A1067" i="4" s="1"/>
  <c r="F330" i="4"/>
  <c r="A1068" i="4" l="1"/>
  <c r="A1069" i="4" s="1"/>
  <c r="A1070" i="4" s="1"/>
  <c r="A1071" i="4" s="1"/>
  <c r="A1072" i="4" s="1"/>
  <c r="A1073" i="4" s="1"/>
  <c r="A1074" i="4" s="1"/>
  <c r="A1075" i="4" s="1"/>
  <c r="A1076" i="4" s="1"/>
  <c r="A1077" i="4" s="1"/>
  <c r="A1078" i="4" s="1"/>
  <c r="A1079" i="4" s="1"/>
  <c r="A1080" i="4" s="1"/>
  <c r="A1081" i="4" s="1"/>
  <c r="A1082" i="4" s="1"/>
  <c r="A1083" i="4" s="1"/>
  <c r="F331" i="4"/>
  <c r="A1084" i="4" l="1"/>
  <c r="A1085" i="4" s="1"/>
  <c r="A1086" i="4" s="1"/>
  <c r="A1087" i="4" s="1"/>
  <c r="A1088" i="4" s="1"/>
  <c r="A1089" i="4" s="1"/>
  <c r="A1090" i="4" s="1"/>
  <c r="A1091" i="4" s="1"/>
  <c r="A1092" i="4" s="1"/>
  <c r="F332" i="4"/>
  <c r="A1093" i="4" l="1"/>
  <c r="A1094" i="4" s="1"/>
  <c r="A1095" i="4" s="1"/>
  <c r="A1096" i="4"/>
  <c r="A1097" i="4" s="1"/>
  <c r="F333" i="4"/>
  <c r="A1098" i="4" l="1"/>
  <c r="A1099" i="4" s="1"/>
  <c r="A1100" i="4" s="1"/>
  <c r="A1101" i="4" s="1"/>
  <c r="A1102" i="4" s="1"/>
  <c r="F334" i="4"/>
  <c r="A1105" i="4" l="1"/>
  <c r="A1103" i="4"/>
  <c r="A1106" i="4" s="1"/>
  <c r="A1104" i="4"/>
  <c r="F335" i="4"/>
  <c r="A1107" i="4" l="1"/>
  <c r="F336" i="4"/>
  <c r="A1108" i="4" l="1"/>
  <c r="A1109" i="4"/>
  <c r="A1110" i="4" s="1"/>
  <c r="A1111" i="4" s="1"/>
  <c r="A1112" i="4" s="1"/>
  <c r="A1113" i="4" s="1"/>
  <c r="A1114" i="4" s="1"/>
  <c r="F337" i="4"/>
  <c r="A1115" i="4" l="1"/>
  <c r="A1116" i="4" s="1"/>
  <c r="F338" i="4"/>
  <c r="A1117" i="4" l="1"/>
  <c r="F339" i="4"/>
  <c r="A1118" i="4" l="1"/>
  <c r="F340" i="4"/>
  <c r="A1119" i="4" l="1"/>
  <c r="F341" i="4"/>
  <c r="A1120" i="4" l="1"/>
  <c r="F342" i="4"/>
  <c r="A1121" i="4" l="1"/>
  <c r="A1122" i="4"/>
  <c r="A1123" i="4" s="1"/>
  <c r="A1124" i="4" s="1"/>
  <c r="F343" i="4"/>
  <c r="A1125" i="4" l="1"/>
  <c r="F344" i="4"/>
  <c r="A1126" i="4" l="1"/>
  <c r="F345" i="4"/>
  <c r="A1127" i="4" l="1"/>
  <c r="A1128" i="4" s="1"/>
  <c r="F346" i="4"/>
  <c r="A1129" i="4" l="1"/>
  <c r="A1130" i="4" s="1"/>
  <c r="A1131" i="4" s="1"/>
  <c r="A1132" i="4" s="1"/>
  <c r="A1133" i="4" s="1"/>
  <c r="A1134" i="4" s="1"/>
  <c r="F347" i="4"/>
  <c r="A1135" i="4" l="1"/>
  <c r="F348" i="4"/>
  <c r="A1136" i="4" l="1"/>
  <c r="F349" i="4"/>
  <c r="A1137" i="4" l="1"/>
  <c r="F350" i="4"/>
  <c r="A1138" i="4" l="1"/>
  <c r="A1139" i="4"/>
  <c r="F351" i="4"/>
  <c r="A1141" i="4" l="1"/>
  <c r="A1142" i="4" s="1"/>
  <c r="A1140" i="4"/>
  <c r="F352" i="4"/>
  <c r="A1143" i="4" l="1"/>
  <c r="A1144" i="4"/>
  <c r="A1145" i="4"/>
  <c r="A1146" i="4" s="1"/>
  <c r="A1147" i="4" s="1"/>
  <c r="A1148" i="4" s="1"/>
  <c r="A1149" i="4" s="1"/>
  <c r="A1150" i="4" s="1"/>
  <c r="A1151" i="4" s="1"/>
  <c r="A1152" i="4" s="1"/>
  <c r="A1153" i="4" s="1"/>
  <c r="A1154" i="4" s="1"/>
  <c r="A1155" i="4" s="1"/>
  <c r="A1156" i="4" s="1"/>
  <c r="A1157" i="4" s="1"/>
  <c r="A1158" i="4" s="1"/>
  <c r="A1159" i="4" s="1"/>
  <c r="A1160" i="4" s="1"/>
  <c r="F353" i="4"/>
  <c r="A1161" i="4" l="1"/>
  <c r="A1162" i="4" s="1"/>
  <c r="A1163" i="4" s="1"/>
  <c r="A1164" i="4" s="1"/>
  <c r="F354" i="4"/>
  <c r="A1165" i="4" l="1"/>
  <c r="A1166" i="4" s="1"/>
  <c r="F355" i="4"/>
  <c r="A1167" i="4" l="1"/>
  <c r="A1168" i="4" s="1"/>
  <c r="F356" i="4"/>
  <c r="A1169" i="4" l="1"/>
  <c r="A1170" i="4" s="1"/>
  <c r="A1171" i="4" s="1"/>
  <c r="A1172" i="4" s="1"/>
  <c r="A1173" i="4" s="1"/>
  <c r="A1174" i="4" s="1"/>
  <c r="A1175" i="4" s="1"/>
  <c r="A1176" i="4" s="1"/>
  <c r="A1177" i="4" s="1"/>
  <c r="A1178" i="4" s="1"/>
  <c r="A1179" i="4" s="1"/>
  <c r="A1180" i="4" s="1"/>
  <c r="F357" i="4"/>
  <c r="A1181" i="4" l="1"/>
  <c r="A1182" i="4" s="1"/>
  <c r="A1183" i="4" s="1"/>
  <c r="A1184" i="4" s="1"/>
  <c r="F358" i="4"/>
  <c r="A1185" i="4" l="1"/>
  <c r="F359" i="4"/>
  <c r="A1186" i="4" l="1"/>
  <c r="F360" i="4"/>
  <c r="A1187" i="4" l="1"/>
  <c r="A1188" i="4" s="1"/>
  <c r="F361" i="4"/>
  <c r="A1189" i="4" l="1"/>
  <c r="A1190" i="4" s="1"/>
  <c r="A1191" i="4" s="1"/>
  <c r="A1192" i="4" s="1"/>
  <c r="A1193" i="4" s="1"/>
  <c r="A1194" i="4" s="1"/>
  <c r="A1195" i="4" s="1"/>
  <c r="A1196" i="4" s="1"/>
  <c r="A1197" i="4" s="1"/>
  <c r="A1198" i="4" s="1"/>
  <c r="F362" i="4"/>
  <c r="A1199" i="4" l="1"/>
  <c r="A1200" i="4" s="1"/>
  <c r="A1201" i="4" s="1"/>
  <c r="A1202" i="4" s="1"/>
  <c r="F363" i="4"/>
  <c r="A1203" i="4" l="1"/>
  <c r="A1204" i="4"/>
  <c r="F364" i="4"/>
  <c r="A1205" i="4" l="1"/>
  <c r="F365" i="4"/>
  <c r="A1206" i="4" l="1"/>
  <c r="A1207" i="4" s="1"/>
  <c r="A1208" i="4" s="1"/>
  <c r="A1209" i="4" s="1"/>
  <c r="F366" i="4"/>
  <c r="A1210" i="4" l="1"/>
  <c r="A1211" i="4"/>
  <c r="F367" i="4"/>
  <c r="A1212" i="4" l="1"/>
  <c r="F368" i="4"/>
  <c r="D374" i="4"/>
  <c r="D370" i="4"/>
  <c r="D372" i="4"/>
  <c r="D377" i="4"/>
  <c r="A1213" i="4" l="1"/>
  <c r="A1214" i="4" s="1"/>
  <c r="A1215" i="4" s="1"/>
  <c r="A1216" i="4" s="1"/>
  <c r="F369" i="4"/>
  <c r="D2" i="4"/>
  <c r="D3" i="4"/>
  <c r="D6" i="4"/>
  <c r="D4" i="4"/>
  <c r="D5" i="4"/>
  <c r="D8" i="4"/>
  <c r="D7" i="4"/>
  <c r="D10" i="4"/>
  <c r="D9" i="4"/>
  <c r="D11" i="4"/>
  <c r="D12" i="4"/>
  <c r="D13" i="4"/>
  <c r="D16" i="4"/>
  <c r="D15" i="4"/>
  <c r="D14" i="4"/>
  <c r="D19" i="4"/>
  <c r="D20" i="4"/>
  <c r="D18" i="4"/>
  <c r="D17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6" i="4"/>
  <c r="D45" i="4"/>
  <c r="D47" i="4"/>
  <c r="D50" i="4"/>
  <c r="D49" i="4"/>
  <c r="D48" i="4"/>
  <c r="D51" i="4"/>
  <c r="D52" i="4"/>
  <c r="D53" i="4"/>
  <c r="D54" i="4"/>
  <c r="D55" i="4"/>
  <c r="D56" i="4"/>
  <c r="D57" i="4"/>
  <c r="D59" i="4"/>
  <c r="D58" i="4"/>
  <c r="D60" i="4"/>
  <c r="D61" i="4"/>
  <c r="D62" i="4"/>
  <c r="D63" i="4"/>
  <c r="D64" i="4"/>
  <c r="D65" i="4"/>
  <c r="D66" i="4"/>
  <c r="D68" i="4"/>
  <c r="D67" i="4"/>
  <c r="D69" i="4"/>
  <c r="D70" i="4"/>
  <c r="D71" i="4"/>
  <c r="D72" i="4"/>
  <c r="D75" i="4"/>
  <c r="D74" i="4"/>
  <c r="D73" i="4"/>
  <c r="D76" i="4"/>
  <c r="D77" i="4"/>
  <c r="D79" i="4"/>
  <c r="D78" i="4"/>
  <c r="D80" i="4"/>
  <c r="D81" i="4"/>
  <c r="D82" i="4"/>
  <c r="D83" i="4"/>
  <c r="D84" i="4"/>
  <c r="D85" i="4"/>
  <c r="D86" i="4"/>
  <c r="D87" i="4"/>
  <c r="D88" i="4"/>
  <c r="D89" i="4"/>
  <c r="D90" i="4"/>
  <c r="D92" i="4"/>
  <c r="D91" i="4"/>
  <c r="D93" i="4"/>
  <c r="D94" i="4"/>
  <c r="D96" i="4"/>
  <c r="D95" i="4"/>
  <c r="D100" i="4"/>
  <c r="D98" i="4"/>
  <c r="D97" i="4"/>
  <c r="D99" i="4"/>
  <c r="D102" i="4"/>
  <c r="D101" i="4"/>
  <c r="D103" i="4"/>
  <c r="D104" i="4"/>
  <c r="D105" i="4"/>
  <c r="D107" i="4"/>
  <c r="D108" i="4"/>
  <c r="D106" i="4"/>
  <c r="D110" i="4"/>
  <c r="D109" i="4"/>
  <c r="D112" i="4"/>
  <c r="D111" i="4"/>
  <c r="D113" i="4"/>
  <c r="D114" i="4"/>
  <c r="D115" i="4"/>
  <c r="D117" i="4"/>
  <c r="D116" i="4"/>
  <c r="D120" i="4"/>
  <c r="D118" i="4"/>
  <c r="D119" i="4"/>
  <c r="D122" i="4"/>
  <c r="D121" i="4"/>
  <c r="D124" i="4"/>
  <c r="D125" i="4"/>
  <c r="D126" i="4"/>
  <c r="D123" i="4"/>
  <c r="D128" i="4"/>
  <c r="D129" i="4"/>
  <c r="D127" i="4"/>
  <c r="D131" i="4"/>
  <c r="D130" i="4"/>
  <c r="D132" i="4"/>
  <c r="D133" i="4"/>
  <c r="D134" i="4"/>
  <c r="D136" i="4"/>
  <c r="D137" i="4"/>
  <c r="D135" i="4"/>
  <c r="D139" i="4"/>
  <c r="D140" i="4"/>
  <c r="D138" i="4"/>
  <c r="D141" i="4"/>
  <c r="D142" i="4"/>
  <c r="D145" i="4"/>
  <c r="D144" i="4"/>
  <c r="D143" i="4"/>
  <c r="D148" i="4"/>
  <c r="D146" i="4"/>
  <c r="D147" i="4"/>
  <c r="D150" i="4"/>
  <c r="D149" i="4"/>
  <c r="D151" i="4"/>
  <c r="D153" i="4"/>
  <c r="D155" i="4"/>
  <c r="D154" i="4"/>
  <c r="D152" i="4"/>
  <c r="D157" i="4"/>
  <c r="D158" i="4"/>
  <c r="D156" i="4"/>
  <c r="D159" i="4"/>
  <c r="D162" i="4"/>
  <c r="D161" i="4"/>
  <c r="D163" i="4"/>
  <c r="D160" i="4"/>
  <c r="D164" i="4"/>
  <c r="D165" i="4"/>
  <c r="D167" i="4"/>
  <c r="D166" i="4"/>
  <c r="D168" i="4"/>
  <c r="D169" i="4"/>
  <c r="D170" i="4"/>
  <c r="D171" i="4"/>
  <c r="D175" i="4"/>
  <c r="D172" i="4"/>
  <c r="D173" i="4"/>
  <c r="D174" i="4"/>
  <c r="D176" i="4"/>
  <c r="D177" i="4"/>
  <c r="D179" i="4"/>
  <c r="D181" i="4"/>
  <c r="D178" i="4"/>
  <c r="D180" i="4"/>
  <c r="D182" i="4"/>
  <c r="D183" i="4"/>
  <c r="D184" i="4"/>
  <c r="D185" i="4"/>
  <c r="D186" i="4"/>
  <c r="D187" i="4"/>
  <c r="D191" i="4"/>
  <c r="D188" i="4"/>
  <c r="D192" i="4"/>
  <c r="D189" i="4"/>
  <c r="D193" i="4"/>
  <c r="D190" i="4"/>
  <c r="D196" i="4"/>
  <c r="D194" i="4"/>
  <c r="D195" i="4"/>
  <c r="D200" i="4"/>
  <c r="D198" i="4"/>
  <c r="D197" i="4"/>
  <c r="D203" i="4"/>
  <c r="D202" i="4"/>
  <c r="D199" i="4"/>
  <c r="D201" i="4"/>
  <c r="D204" i="4"/>
  <c r="D205" i="4"/>
  <c r="D209" i="4"/>
  <c r="D206" i="4"/>
  <c r="D207" i="4"/>
  <c r="D211" i="4"/>
  <c r="D208" i="4"/>
  <c r="D210" i="4"/>
  <c r="D212" i="4"/>
  <c r="D215" i="4"/>
  <c r="D213" i="4"/>
  <c r="D214" i="4"/>
  <c r="D217" i="4"/>
  <c r="D216" i="4"/>
  <c r="D218" i="4"/>
  <c r="D221" i="4"/>
  <c r="D220" i="4"/>
  <c r="D219" i="4"/>
  <c r="D224" i="4"/>
  <c r="D225" i="4"/>
  <c r="D227" i="4"/>
  <c r="D230" i="4"/>
  <c r="D226" i="4"/>
  <c r="D223" i="4"/>
  <c r="D222" i="4"/>
  <c r="D228" i="4"/>
  <c r="D229" i="4"/>
  <c r="D233" i="4"/>
  <c r="D232" i="4"/>
  <c r="D231" i="4"/>
  <c r="D235" i="4"/>
  <c r="D236" i="4"/>
  <c r="D237" i="4"/>
  <c r="D234" i="4"/>
  <c r="D238" i="4"/>
  <c r="D239" i="4"/>
  <c r="D240" i="4"/>
  <c r="D241" i="4"/>
  <c r="D246" i="4"/>
  <c r="D242" i="4"/>
  <c r="D244" i="4"/>
  <c r="D243" i="4"/>
  <c r="D245" i="4"/>
  <c r="D247" i="4"/>
  <c r="D248" i="4"/>
  <c r="D252" i="4"/>
  <c r="D250" i="4"/>
  <c r="D249" i="4"/>
  <c r="D253" i="4"/>
  <c r="D251" i="4"/>
  <c r="D254" i="4"/>
  <c r="D255" i="4"/>
  <c r="D256" i="4"/>
  <c r="D257" i="4"/>
  <c r="D262" i="4"/>
  <c r="D258" i="4"/>
  <c r="D259" i="4"/>
  <c r="D260" i="4"/>
  <c r="D261" i="4"/>
  <c r="D263" i="4"/>
  <c r="D264" i="4"/>
  <c r="D265" i="4"/>
  <c r="D266" i="4"/>
  <c r="D267" i="4"/>
  <c r="D268" i="4"/>
  <c r="D270" i="4"/>
  <c r="D269" i="4"/>
  <c r="D272" i="4"/>
  <c r="D274" i="4"/>
  <c r="D271" i="4"/>
  <c r="D273" i="4"/>
  <c r="D275" i="4"/>
  <c r="D276" i="4"/>
  <c r="D277" i="4"/>
  <c r="D278" i="4"/>
  <c r="D279" i="4"/>
  <c r="D280" i="4"/>
  <c r="D281" i="4"/>
  <c r="D282" i="4"/>
  <c r="D284" i="4"/>
  <c r="D283" i="4"/>
  <c r="D288" i="4"/>
  <c r="D286" i="4"/>
  <c r="D285" i="4"/>
  <c r="D290" i="4"/>
  <c r="D287" i="4"/>
  <c r="D291" i="4"/>
  <c r="D289" i="4"/>
  <c r="D292" i="4"/>
  <c r="D294" i="4"/>
  <c r="D293" i="4"/>
  <c r="D295" i="4"/>
  <c r="D296" i="4"/>
  <c r="D300" i="4"/>
  <c r="D297" i="4"/>
  <c r="D298" i="4"/>
  <c r="D299" i="4"/>
  <c r="D301" i="4"/>
  <c r="D303" i="4"/>
  <c r="D302" i="4"/>
  <c r="D307" i="4"/>
  <c r="D305" i="4"/>
  <c r="D304" i="4"/>
  <c r="D309" i="4"/>
  <c r="D306" i="4"/>
  <c r="D308" i="4"/>
  <c r="D310" i="4"/>
  <c r="D314" i="4"/>
  <c r="D312" i="4"/>
  <c r="D311" i="4"/>
  <c r="D316" i="4"/>
  <c r="D313" i="4"/>
  <c r="D315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30" i="4"/>
  <c r="D329" i="4"/>
  <c r="D331" i="4"/>
  <c r="D332" i="4"/>
  <c r="D333" i="4"/>
  <c r="D334" i="4"/>
  <c r="D336" i="4"/>
  <c r="D335" i="4"/>
  <c r="D338" i="4"/>
  <c r="D337" i="4"/>
  <c r="D340" i="4"/>
  <c r="D343" i="4"/>
  <c r="D339" i="4"/>
  <c r="D342" i="4"/>
  <c r="D344" i="4"/>
  <c r="D341" i="4"/>
  <c r="D345" i="4"/>
  <c r="D347" i="4"/>
  <c r="D346" i="4"/>
  <c r="D349" i="4"/>
  <c r="D348" i="4"/>
  <c r="D350" i="4"/>
  <c r="D351" i="4"/>
  <c r="D352" i="4"/>
  <c r="D354" i="4"/>
  <c r="D353" i="4"/>
  <c r="D355" i="4"/>
  <c r="D356" i="4"/>
  <c r="D357" i="4"/>
  <c r="D358" i="4"/>
  <c r="D361" i="4"/>
  <c r="D359" i="4"/>
  <c r="D360" i="4"/>
  <c r="D363" i="4"/>
  <c r="D366" i="4"/>
  <c r="D365" i="4"/>
  <c r="D367" i="4"/>
  <c r="D369" i="4"/>
  <c r="D362" i="4"/>
  <c r="D364" i="4"/>
  <c r="D376" i="4"/>
  <c r="D368" i="4"/>
  <c r="D375" i="4"/>
  <c r="D371" i="4"/>
  <c r="D373" i="4"/>
  <c r="D378" i="4"/>
  <c r="A1217" i="4" l="1"/>
  <c r="A1218" i="4"/>
  <c r="A1219" i="4" s="1"/>
  <c r="F370" i="4"/>
  <c r="D379" i="4"/>
  <c r="F371" i="4" l="1"/>
  <c r="D380" i="4"/>
  <c r="F372" i="4" l="1"/>
  <c r="D381" i="4"/>
  <c r="F373" i="4" l="1"/>
  <c r="D382" i="4"/>
  <c r="F374" i="4" l="1"/>
  <c r="D383" i="4"/>
  <c r="F375" i="4" l="1"/>
  <c r="D384" i="4"/>
  <c r="F376" i="4" l="1"/>
  <c r="D385" i="4"/>
  <c r="F377" i="4" l="1"/>
  <c r="D386" i="4"/>
  <c r="F378" i="4" l="1"/>
  <c r="D387" i="4"/>
  <c r="F379" i="4" l="1"/>
  <c r="D388" i="4"/>
  <c r="F380" i="4" l="1"/>
  <c r="D389" i="4"/>
  <c r="F381" i="4" l="1"/>
  <c r="D390" i="4"/>
  <c r="F382" i="4" l="1"/>
  <c r="D391" i="4"/>
  <c r="F383" i="4" l="1"/>
  <c r="D392" i="4"/>
  <c r="F384" i="4" l="1"/>
  <c r="D393" i="4"/>
  <c r="F385" i="4" l="1"/>
  <c r="D394" i="4"/>
  <c r="F386" i="4" l="1"/>
  <c r="D395" i="4"/>
  <c r="F387" i="4" l="1"/>
  <c r="D396" i="4"/>
  <c r="F388" i="4" l="1"/>
  <c r="D397" i="4"/>
  <c r="F389" i="4" l="1"/>
  <c r="D398" i="4"/>
  <c r="F390" i="4" l="1"/>
  <c r="D399" i="4"/>
  <c r="F391" i="4" l="1"/>
  <c r="D400" i="4"/>
  <c r="F392" i="4" l="1"/>
  <c r="D401" i="4"/>
  <c r="F393" i="4" l="1"/>
  <c r="D402" i="4"/>
  <c r="F394" i="4" l="1"/>
  <c r="D403" i="4"/>
  <c r="F395" i="4" l="1"/>
  <c r="D404" i="4"/>
  <c r="F396" i="4" l="1"/>
  <c r="D405" i="4"/>
  <c r="F397" i="4" l="1"/>
  <c r="D406" i="4"/>
  <c r="F398" i="4" l="1"/>
  <c r="D407" i="4"/>
  <c r="F399" i="4" l="1"/>
  <c r="D408" i="4"/>
  <c r="F400" i="4" l="1"/>
  <c r="D409" i="4"/>
  <c r="F401" i="4" l="1"/>
  <c r="D410" i="4"/>
  <c r="F402" i="4" l="1"/>
  <c r="D411" i="4"/>
  <c r="F403" i="4" l="1"/>
  <c r="D412" i="4"/>
  <c r="F404" i="4" l="1"/>
  <c r="D413" i="4"/>
  <c r="F405" i="4" l="1"/>
  <c r="D414" i="4"/>
  <c r="F406" i="4" l="1"/>
  <c r="D415" i="4"/>
  <c r="F407" i="4" l="1"/>
  <c r="D416" i="4"/>
  <c r="F408" i="4" l="1"/>
  <c r="D417" i="4"/>
  <c r="F409" i="4" l="1"/>
  <c r="D418" i="4"/>
  <c r="F410" i="4" l="1"/>
  <c r="D419" i="4"/>
  <c r="F411" i="4" l="1"/>
  <c r="D420" i="4"/>
  <c r="F412" i="4" l="1"/>
  <c r="D421" i="4"/>
  <c r="F413" i="4" l="1"/>
  <c r="D422" i="4"/>
  <c r="F414" i="4" l="1"/>
  <c r="D423" i="4"/>
  <c r="F415" i="4" l="1"/>
  <c r="D424" i="4"/>
  <c r="F416" i="4" l="1"/>
  <c r="D425" i="4"/>
  <c r="F417" i="4" l="1"/>
  <c r="D426" i="4"/>
  <c r="F418" i="4" l="1"/>
  <c r="D427" i="4"/>
  <c r="F419" i="4" l="1"/>
  <c r="D428" i="4"/>
  <c r="F420" i="4" l="1"/>
  <c r="D429" i="4"/>
  <c r="F421" i="4" l="1"/>
  <c r="D430" i="4"/>
  <c r="F422" i="4" l="1"/>
  <c r="D431" i="4"/>
  <c r="F423" i="4" l="1"/>
  <c r="D432" i="4"/>
  <c r="F424" i="4" l="1"/>
  <c r="D433" i="4"/>
  <c r="F425" i="4" l="1"/>
  <c r="D434" i="4"/>
  <c r="F426" i="4" l="1"/>
  <c r="D435" i="4"/>
  <c r="F427" i="4" l="1"/>
  <c r="D436" i="4"/>
  <c r="F428" i="4" l="1"/>
  <c r="D437" i="4"/>
  <c r="F429" i="4" l="1"/>
  <c r="D438" i="4"/>
  <c r="F430" i="4" l="1"/>
  <c r="D439" i="4"/>
  <c r="F431" i="4" l="1"/>
  <c r="D440" i="4"/>
  <c r="F432" i="4" l="1"/>
  <c r="D441" i="4"/>
  <c r="F433" i="4" l="1"/>
  <c r="D442" i="4"/>
  <c r="F434" i="4" l="1"/>
  <c r="D443" i="4"/>
  <c r="F435" i="4" l="1"/>
  <c r="D444" i="4"/>
  <c r="F436" i="4" l="1"/>
  <c r="D445" i="4"/>
  <c r="F437" i="4" l="1"/>
  <c r="D446" i="4"/>
  <c r="F438" i="4" l="1"/>
  <c r="D447" i="4"/>
  <c r="F439" i="4" l="1"/>
  <c r="D448" i="4"/>
  <c r="F440" i="4" l="1"/>
  <c r="D449" i="4"/>
  <c r="F441" i="4" l="1"/>
  <c r="D450" i="4"/>
  <c r="F442" i="4" l="1"/>
  <c r="D451" i="4"/>
  <c r="F443" i="4" l="1"/>
  <c r="D452" i="4"/>
  <c r="F444" i="4" l="1"/>
  <c r="D453" i="4"/>
  <c r="F445" i="4" l="1"/>
  <c r="D454" i="4"/>
  <c r="F446" i="4" l="1"/>
  <c r="D455" i="4"/>
  <c r="F447" i="4" l="1"/>
  <c r="D456" i="4"/>
  <c r="F448" i="4" l="1"/>
  <c r="D457" i="4"/>
  <c r="F449" i="4" l="1"/>
  <c r="D458" i="4"/>
  <c r="F450" i="4" l="1"/>
  <c r="D459" i="4"/>
  <c r="F451" i="4" l="1"/>
  <c r="D460" i="4"/>
  <c r="F452" i="4" l="1"/>
  <c r="D461" i="4"/>
  <c r="F453" i="4" l="1"/>
  <c r="D462" i="4"/>
  <c r="F454" i="4" l="1"/>
  <c r="D463" i="4"/>
  <c r="F455" i="4" l="1"/>
  <c r="D464" i="4"/>
  <c r="F456" i="4" l="1"/>
  <c r="D465" i="4"/>
  <c r="F457" i="4" l="1"/>
  <c r="D466" i="4"/>
  <c r="F458" i="4" l="1"/>
  <c r="D467" i="4"/>
  <c r="F459" i="4" l="1"/>
  <c r="D468" i="4"/>
  <c r="F460" i="4" l="1"/>
  <c r="D469" i="4"/>
  <c r="F461" i="4" l="1"/>
  <c r="D470" i="4"/>
  <c r="F462" i="4" l="1"/>
  <c r="D471" i="4"/>
  <c r="F463" i="4" l="1"/>
  <c r="D472" i="4"/>
  <c r="F464" i="4" l="1"/>
  <c r="D473" i="4"/>
  <c r="F465" i="4" l="1"/>
  <c r="D474" i="4"/>
  <c r="F466" i="4" l="1"/>
  <c r="D475" i="4"/>
  <c r="F467" i="4" l="1"/>
  <c r="D476" i="4"/>
  <c r="F468" i="4" l="1"/>
  <c r="D477" i="4"/>
  <c r="F469" i="4" l="1"/>
  <c r="F470" i="4" s="1"/>
  <c r="D478" i="4"/>
  <c r="F471" i="4" l="1"/>
  <c r="D479" i="4"/>
  <c r="F472" i="4" l="1"/>
  <c r="D480" i="4"/>
  <c r="F473" i="4" l="1"/>
  <c r="D481" i="4"/>
  <c r="F474" i="4" l="1"/>
  <c r="D482" i="4"/>
  <c r="F475" i="4" l="1"/>
  <c r="D483" i="4"/>
  <c r="F476" i="4" l="1"/>
  <c r="D484" i="4"/>
  <c r="F477" i="4" l="1"/>
  <c r="D485" i="4"/>
  <c r="F478" i="4" l="1"/>
  <c r="D486" i="4"/>
  <c r="F479" i="4" l="1"/>
  <c r="D487" i="4"/>
  <c r="F480" i="4" l="1"/>
  <c r="D488" i="4"/>
  <c r="F481" i="4" l="1"/>
  <c r="D489" i="4"/>
  <c r="F482" i="4" l="1"/>
  <c r="D490" i="4"/>
  <c r="F483" i="4" l="1"/>
  <c r="D491" i="4"/>
  <c r="F484" i="4" l="1"/>
  <c r="D492" i="4"/>
  <c r="F485" i="4" l="1"/>
  <c r="D493" i="4"/>
  <c r="F486" i="4" l="1"/>
  <c r="D494" i="4"/>
  <c r="F487" i="4" l="1"/>
  <c r="D495" i="4"/>
  <c r="F488" i="4" l="1"/>
  <c r="D496" i="4"/>
  <c r="F489" i="4" l="1"/>
  <c r="D497" i="4"/>
  <c r="F490" i="4" l="1"/>
  <c r="D498" i="4"/>
  <c r="F491" i="4" l="1"/>
  <c r="D499" i="4"/>
  <c r="F492" i="4" l="1"/>
  <c r="D500" i="4"/>
  <c r="F493" i="4" l="1"/>
  <c r="D501" i="4"/>
  <c r="F494" i="4" l="1"/>
  <c r="D502" i="4"/>
  <c r="F495" i="4" l="1"/>
  <c r="D503" i="4"/>
  <c r="F496" i="4" l="1"/>
  <c r="D504" i="4"/>
  <c r="F497" i="4" l="1"/>
  <c r="D505" i="4"/>
  <c r="F498" i="4" l="1"/>
  <c r="D506" i="4"/>
  <c r="F499" i="4" l="1"/>
  <c r="D507" i="4"/>
  <c r="F500" i="4" l="1"/>
  <c r="D508" i="4"/>
  <c r="F501" i="4" l="1"/>
  <c r="D509" i="4"/>
  <c r="F502" i="4" l="1"/>
  <c r="D510" i="4"/>
  <c r="F503" i="4" l="1"/>
  <c r="D511" i="4"/>
  <c r="F504" i="4" l="1"/>
  <c r="D512" i="4"/>
  <c r="F505" i="4" l="1"/>
  <c r="D513" i="4"/>
  <c r="F506" i="4" l="1"/>
  <c r="D514" i="4"/>
  <c r="F507" i="4" l="1"/>
  <c r="D515" i="4"/>
  <c r="F508" i="4" l="1"/>
  <c r="D516" i="4"/>
  <c r="F509" i="4" l="1"/>
  <c r="D517" i="4"/>
  <c r="F510" i="4" l="1"/>
  <c r="D518" i="4"/>
  <c r="F511" i="4" l="1"/>
  <c r="D519" i="4"/>
  <c r="F512" i="4" l="1"/>
  <c r="D520" i="4"/>
  <c r="F513" i="4" l="1"/>
  <c r="D521" i="4"/>
  <c r="F514" i="4" l="1"/>
  <c r="D522" i="4"/>
  <c r="F515" i="4" l="1"/>
  <c r="D523" i="4"/>
  <c r="F516" i="4" l="1"/>
  <c r="D524" i="4"/>
  <c r="F517" i="4" l="1"/>
  <c r="D525" i="4"/>
  <c r="F518" i="4" l="1"/>
  <c r="D526" i="4"/>
  <c r="F519" i="4" l="1"/>
  <c r="D527" i="4"/>
  <c r="F520" i="4" l="1"/>
  <c r="D528" i="4"/>
  <c r="F521" i="4" l="1"/>
  <c r="D529" i="4"/>
  <c r="F522" i="4" l="1"/>
  <c r="D530" i="4"/>
  <c r="F523" i="4" l="1"/>
  <c r="D531" i="4"/>
  <c r="F524" i="4" l="1"/>
  <c r="D532" i="4"/>
  <c r="F525" i="4" l="1"/>
  <c r="D533" i="4"/>
  <c r="F526" i="4" l="1"/>
  <c r="D534" i="4"/>
  <c r="F527" i="4" l="1"/>
  <c r="D535" i="4"/>
  <c r="F528" i="4" l="1"/>
  <c r="D536" i="4"/>
  <c r="F529" i="4" l="1"/>
  <c r="D537" i="4"/>
  <c r="F530" i="4" l="1"/>
  <c r="D538" i="4"/>
  <c r="F531" i="4" l="1"/>
  <c r="D540" i="4"/>
  <c r="D539" i="4"/>
  <c r="F532" i="4" l="1"/>
  <c r="D541" i="4"/>
  <c r="F533" i="4" l="1"/>
  <c r="D542" i="4"/>
  <c r="F534" i="4" l="1"/>
  <c r="D543" i="4"/>
  <c r="F535" i="4" l="1"/>
  <c r="D544" i="4"/>
  <c r="F536" i="4" l="1"/>
  <c r="D545" i="4"/>
  <c r="F537" i="4" l="1"/>
  <c r="D546" i="4"/>
  <c r="F538" i="4" l="1"/>
  <c r="D547" i="4"/>
  <c r="F539" i="4" l="1"/>
  <c r="D548" i="4"/>
  <c r="F540" i="4" l="1"/>
  <c r="D549" i="4"/>
  <c r="F541" i="4" l="1"/>
  <c r="D550" i="4"/>
  <c r="F542" i="4" l="1"/>
  <c r="D551" i="4"/>
  <c r="F543" i="4" l="1"/>
  <c r="D552" i="4"/>
  <c r="F544" i="4" l="1"/>
  <c r="D553" i="4"/>
  <c r="F545" i="4" l="1"/>
  <c r="D554" i="4"/>
  <c r="F546" i="4" l="1"/>
  <c r="D555" i="4"/>
  <c r="F547" i="4" l="1"/>
  <c r="D556" i="4"/>
  <c r="F548" i="4" l="1"/>
  <c r="D557" i="4"/>
  <c r="F549" i="4" l="1"/>
  <c r="D558" i="4"/>
  <c r="F550" i="4" l="1"/>
  <c r="D559" i="4"/>
  <c r="F551" i="4" l="1"/>
  <c r="D560" i="4"/>
  <c r="F552" i="4" l="1"/>
  <c r="D561" i="4"/>
  <c r="F553" i="4" l="1"/>
  <c r="D562" i="4"/>
  <c r="F554" i="4" l="1"/>
  <c r="D563" i="4"/>
  <c r="F555" i="4" l="1"/>
  <c r="D564" i="4"/>
  <c r="F556" i="4" l="1"/>
  <c r="D565" i="4"/>
  <c r="F557" i="4" l="1"/>
  <c r="D566" i="4"/>
  <c r="F558" i="4" l="1"/>
  <c r="D567" i="4"/>
  <c r="F559" i="4" l="1"/>
  <c r="D568" i="4"/>
  <c r="F560" i="4" l="1"/>
  <c r="D569" i="4"/>
  <c r="F561" i="4" l="1"/>
  <c r="D570" i="4"/>
  <c r="F562" i="4" l="1"/>
  <c r="D571" i="4"/>
  <c r="F563" i="4" l="1"/>
  <c r="D572" i="4"/>
  <c r="F564" i="4" l="1"/>
  <c r="D573" i="4"/>
  <c r="F565" i="4" l="1"/>
  <c r="D574" i="4"/>
  <c r="F566" i="4" l="1"/>
  <c r="D575" i="4"/>
  <c r="F567" i="4" l="1"/>
  <c r="D576" i="4"/>
  <c r="F568" i="4" l="1"/>
  <c r="D577" i="4"/>
  <c r="F569" i="4" l="1"/>
  <c r="D578" i="4"/>
  <c r="F570" i="4" l="1"/>
  <c r="D579" i="4"/>
  <c r="F571" i="4" l="1"/>
  <c r="D580" i="4"/>
  <c r="F572" i="4" l="1"/>
  <c r="D581" i="4"/>
  <c r="F573" i="4" l="1"/>
  <c r="D582" i="4"/>
  <c r="F574" i="4" l="1"/>
  <c r="D583" i="4"/>
  <c r="F575" i="4" l="1"/>
  <c r="D584" i="4"/>
  <c r="F576" i="4" l="1"/>
  <c r="D585" i="4"/>
  <c r="F577" i="4" l="1"/>
  <c r="D586" i="4"/>
  <c r="F578" i="4" l="1"/>
  <c r="D587" i="4"/>
  <c r="F579" i="4" l="1"/>
  <c r="D588" i="4"/>
  <c r="F580" i="4" l="1"/>
  <c r="D589" i="4"/>
  <c r="F581" i="4" l="1"/>
  <c r="D590" i="4"/>
  <c r="F582" i="4" l="1"/>
  <c r="D591" i="4"/>
  <c r="F583" i="4" l="1"/>
  <c r="D592" i="4"/>
  <c r="F584" i="4" l="1"/>
  <c r="D593" i="4"/>
  <c r="F585" i="4" l="1"/>
  <c r="D594" i="4"/>
  <c r="F586" i="4" l="1"/>
  <c r="D595" i="4"/>
  <c r="F587" i="4" l="1"/>
  <c r="D596" i="4"/>
  <c r="F588" i="4" l="1"/>
  <c r="D597" i="4"/>
  <c r="F589" i="4" l="1"/>
  <c r="D598" i="4"/>
  <c r="F590" i="4" l="1"/>
  <c r="D599" i="4"/>
  <c r="F591" i="4" l="1"/>
  <c r="D600" i="4"/>
  <c r="F592" i="4" l="1"/>
  <c r="D601" i="4"/>
  <c r="F593" i="4" l="1"/>
  <c r="D602" i="4"/>
  <c r="F594" i="4" l="1"/>
  <c r="D603" i="4"/>
  <c r="F595" i="4" l="1"/>
  <c r="D604" i="4"/>
  <c r="F596" i="4" l="1"/>
  <c r="D605" i="4"/>
  <c r="F597" i="4" l="1"/>
  <c r="D606" i="4"/>
  <c r="F598" i="4" l="1"/>
  <c r="D607" i="4"/>
  <c r="F599" i="4" l="1"/>
  <c r="D608" i="4"/>
  <c r="F600" i="4" l="1"/>
  <c r="D609" i="4"/>
  <c r="F601" i="4" l="1"/>
  <c r="D610" i="4"/>
  <c r="F602" i="4" l="1"/>
  <c r="D611" i="4"/>
  <c r="F603" i="4" l="1"/>
  <c r="D612" i="4"/>
  <c r="F604" i="4" l="1"/>
  <c r="D613" i="4"/>
  <c r="F605" i="4" l="1"/>
  <c r="D614" i="4"/>
  <c r="F606" i="4" l="1"/>
  <c r="D615" i="4"/>
  <c r="F607" i="4" l="1"/>
  <c r="D616" i="4"/>
  <c r="F608" i="4" l="1"/>
  <c r="D617" i="4"/>
  <c r="F609" i="4" l="1"/>
  <c r="D618" i="4"/>
  <c r="F610" i="4" l="1"/>
  <c r="D619" i="4"/>
  <c r="F611" i="4" l="1"/>
  <c r="D621" i="4"/>
  <c r="D620" i="4"/>
  <c r="F612" i="4" l="1"/>
  <c r="D623" i="4"/>
  <c r="D622" i="4"/>
  <c r="F613" i="4" l="1"/>
  <c r="D624" i="4"/>
  <c r="F614" i="4" l="1"/>
  <c r="D625" i="4"/>
  <c r="F615" i="4" l="1"/>
  <c r="D626" i="4"/>
  <c r="F616" i="4" l="1"/>
  <c r="D627" i="4"/>
  <c r="F617" i="4" l="1"/>
  <c r="D628" i="4"/>
  <c r="F618" i="4" l="1"/>
  <c r="D629" i="4"/>
  <c r="F619" i="4" l="1"/>
  <c r="D630" i="4"/>
  <c r="F620" i="4" l="1"/>
  <c r="D631" i="4"/>
  <c r="F621" i="4" l="1"/>
  <c r="D632" i="4"/>
  <c r="F622" i="4" l="1"/>
  <c r="D633" i="4"/>
  <c r="F623" i="4" l="1"/>
  <c r="D634" i="4"/>
  <c r="F624" i="4" l="1"/>
  <c r="D635" i="4"/>
  <c r="F625" i="4" l="1"/>
  <c r="D636" i="4"/>
  <c r="F626" i="4" l="1"/>
  <c r="D637" i="4"/>
  <c r="F627" i="4" l="1"/>
  <c r="D638" i="4"/>
  <c r="F628" i="4" l="1"/>
  <c r="D639" i="4"/>
  <c r="F629" i="4" l="1"/>
  <c r="D640" i="4"/>
  <c r="F630" i="4" l="1"/>
  <c r="D641" i="4"/>
  <c r="F631" i="4" l="1"/>
  <c r="D642" i="4"/>
  <c r="F632" i="4" l="1"/>
  <c r="D643" i="4"/>
  <c r="F633" i="4" l="1"/>
  <c r="D644" i="4"/>
  <c r="F634" i="4" l="1"/>
  <c r="D645" i="4"/>
  <c r="F635" i="4" l="1"/>
  <c r="D646" i="4"/>
  <c r="F636" i="4" l="1"/>
  <c r="D647" i="4"/>
  <c r="F637" i="4" l="1"/>
  <c r="D648" i="4"/>
  <c r="F638" i="4" l="1"/>
  <c r="D649" i="4"/>
  <c r="F639" i="4" l="1"/>
  <c r="D650" i="4"/>
  <c r="F640" i="4" l="1"/>
  <c r="D651" i="4"/>
  <c r="F641" i="4" l="1"/>
  <c r="D652" i="4"/>
  <c r="F642" i="4" l="1"/>
  <c r="D653" i="4"/>
  <c r="F643" i="4" l="1"/>
  <c r="D654" i="4"/>
  <c r="F644" i="4" l="1"/>
  <c r="D655" i="4"/>
  <c r="F645" i="4" l="1"/>
  <c r="D656" i="4"/>
  <c r="F646" i="4" l="1"/>
  <c r="D657" i="4"/>
  <c r="F647" i="4" l="1"/>
  <c r="D658" i="4"/>
  <c r="F648" i="4" l="1"/>
  <c r="D659" i="4"/>
  <c r="F649" i="4" l="1"/>
  <c r="D660" i="4"/>
  <c r="F650" i="4" l="1"/>
  <c r="D661" i="4"/>
  <c r="F651" i="4" l="1"/>
  <c r="D662" i="4"/>
  <c r="F652" i="4" l="1"/>
  <c r="D663" i="4"/>
  <c r="F653" i="4" l="1"/>
  <c r="D664" i="4"/>
  <c r="F654" i="4" l="1"/>
  <c r="D665" i="4"/>
  <c r="F655" i="4" l="1"/>
  <c r="D666" i="4"/>
  <c r="F656" i="4" l="1"/>
  <c r="D667" i="4"/>
  <c r="F657" i="4" l="1"/>
  <c r="D668" i="4"/>
  <c r="F658" i="4" l="1"/>
  <c r="D669" i="4"/>
  <c r="F659" i="4" l="1"/>
  <c r="D670" i="4"/>
  <c r="F660" i="4" l="1"/>
  <c r="D671" i="4"/>
  <c r="F661" i="4" l="1"/>
  <c r="D672" i="4"/>
  <c r="F662" i="4" l="1"/>
  <c r="D673" i="4"/>
  <c r="F663" i="4" l="1"/>
  <c r="D674" i="4"/>
  <c r="F664" i="4" l="1"/>
  <c r="D675" i="4"/>
  <c r="F665" i="4" l="1"/>
  <c r="D676" i="4"/>
  <c r="F666" i="4" l="1"/>
  <c r="D677" i="4"/>
  <c r="F667" i="4" l="1"/>
  <c r="D678" i="4"/>
  <c r="F668" i="4" l="1"/>
  <c r="D679" i="4"/>
  <c r="F669" i="4" l="1"/>
  <c r="D680" i="4"/>
  <c r="F670" i="4" l="1"/>
  <c r="D681" i="4"/>
  <c r="F671" i="4" l="1"/>
  <c r="D682" i="4"/>
  <c r="F672" i="4" l="1"/>
  <c r="D684" i="4"/>
  <c r="D683" i="4"/>
  <c r="F673" i="4" l="1"/>
  <c r="D685" i="4"/>
  <c r="F674" i="4" l="1"/>
  <c r="D686" i="4"/>
  <c r="F675" i="4" l="1"/>
  <c r="D687" i="4"/>
  <c r="F676" i="4" l="1"/>
  <c r="D688" i="4"/>
  <c r="F677" i="4" l="1"/>
  <c r="D689" i="4"/>
  <c r="F678" i="4" l="1"/>
  <c r="D690" i="4"/>
  <c r="F679" i="4" l="1"/>
  <c r="D691" i="4"/>
  <c r="F680" i="4" l="1"/>
  <c r="D692" i="4"/>
  <c r="F681" i="4" l="1"/>
  <c r="D693" i="4"/>
  <c r="F682" i="4" l="1"/>
  <c r="D694" i="4"/>
  <c r="F683" i="4" l="1"/>
  <c r="D695" i="4"/>
  <c r="F684" i="4" l="1"/>
  <c r="D696" i="4"/>
  <c r="F685" i="4" l="1"/>
  <c r="D697" i="4"/>
  <c r="F686" i="4" l="1"/>
  <c r="D698" i="4"/>
  <c r="F687" i="4" l="1"/>
  <c r="F688" i="4"/>
  <c r="D699" i="4"/>
  <c r="F689" i="4" l="1"/>
  <c r="D700" i="4"/>
  <c r="F690" i="4" l="1"/>
  <c r="D701" i="4"/>
  <c r="F691" i="4" l="1"/>
  <c r="D702" i="4"/>
  <c r="F692" i="4" l="1"/>
  <c r="D703" i="4"/>
  <c r="F693" i="4" l="1"/>
  <c r="D704" i="4"/>
  <c r="F694" i="4" l="1"/>
  <c r="D705" i="4"/>
  <c r="F695" i="4" l="1"/>
  <c r="D706" i="4"/>
  <c r="F696" i="4" l="1"/>
  <c r="D707" i="4"/>
  <c r="F697" i="4" l="1"/>
  <c r="D708" i="4"/>
  <c r="F698" i="4" l="1"/>
  <c r="D709" i="4"/>
  <c r="F699" i="4" l="1"/>
  <c r="D710" i="4"/>
  <c r="F700" i="4" l="1"/>
  <c r="D711" i="4"/>
  <c r="F701" i="4" l="1"/>
  <c r="D712" i="4"/>
  <c r="F702" i="4" l="1"/>
  <c r="D713" i="4"/>
  <c r="F703" i="4" l="1"/>
  <c r="D714" i="4"/>
  <c r="F704" i="4" l="1"/>
  <c r="D715" i="4"/>
  <c r="F705" i="4" l="1"/>
  <c r="D716" i="4"/>
  <c r="F706" i="4" l="1"/>
  <c r="D717" i="4"/>
  <c r="F707" i="4" l="1"/>
  <c r="D718" i="4"/>
  <c r="F708" i="4" l="1"/>
  <c r="D719" i="4"/>
  <c r="F709" i="4" l="1"/>
  <c r="D720" i="4"/>
  <c r="F710" i="4" l="1"/>
  <c r="D721" i="4"/>
  <c r="F711" i="4" l="1"/>
  <c r="D722" i="4"/>
  <c r="F712" i="4" l="1"/>
  <c r="D723" i="4"/>
  <c r="F713" i="4" l="1"/>
  <c r="D724" i="4"/>
  <c r="F714" i="4" l="1"/>
  <c r="D725" i="4"/>
  <c r="F715" i="4" l="1"/>
  <c r="D726" i="4"/>
  <c r="F716" i="4" l="1"/>
  <c r="D727" i="4"/>
  <c r="F717" i="4" l="1"/>
  <c r="D728" i="4"/>
  <c r="F718" i="4" l="1"/>
  <c r="D729" i="4"/>
  <c r="F719" i="4" l="1"/>
  <c r="D730" i="4"/>
  <c r="F720" i="4" l="1"/>
  <c r="D731" i="4"/>
  <c r="F721" i="4" l="1"/>
  <c r="D732" i="4"/>
  <c r="F722" i="4" l="1"/>
  <c r="D733" i="4"/>
  <c r="F723" i="4" l="1"/>
  <c r="D734" i="4"/>
  <c r="F724" i="4" l="1"/>
  <c r="D735" i="4"/>
  <c r="F725" i="4" l="1"/>
  <c r="D736" i="4"/>
  <c r="F726" i="4" l="1"/>
  <c r="D737" i="4"/>
  <c r="F727" i="4" l="1"/>
  <c r="D738" i="4"/>
  <c r="F728" i="4" l="1"/>
  <c r="D739" i="4"/>
  <c r="F729" i="4" l="1"/>
  <c r="D740" i="4"/>
  <c r="F730" i="4" l="1"/>
  <c r="D741" i="4"/>
  <c r="F731" i="4" l="1"/>
  <c r="D742" i="4"/>
  <c r="F732" i="4" l="1"/>
  <c r="D743" i="4"/>
  <c r="F733" i="4" l="1"/>
  <c r="D744" i="4"/>
  <c r="F734" i="4" l="1"/>
  <c r="D745" i="4"/>
  <c r="F735" i="4" l="1"/>
  <c r="D746" i="4"/>
  <c r="F736" i="4" l="1"/>
  <c r="D747" i="4"/>
  <c r="F737" i="4" l="1"/>
  <c r="D748" i="4"/>
  <c r="F738" i="4" l="1"/>
  <c r="D749" i="4"/>
  <c r="F739" i="4" l="1"/>
  <c r="D750" i="4"/>
  <c r="F740" i="4" l="1"/>
  <c r="D751" i="4"/>
  <c r="F741" i="4" l="1"/>
  <c r="D752" i="4"/>
  <c r="F742" i="4" l="1"/>
  <c r="D753" i="4"/>
  <c r="F743" i="4" l="1"/>
  <c r="D754" i="4"/>
  <c r="F744" i="4" l="1"/>
  <c r="D755" i="4"/>
  <c r="F745" i="4" l="1"/>
  <c r="D756" i="4"/>
  <c r="F746" i="4" l="1"/>
  <c r="D757" i="4"/>
  <c r="F747" i="4" l="1"/>
  <c r="D758" i="4"/>
  <c r="F748" i="4" l="1"/>
  <c r="D759" i="4"/>
  <c r="F749" i="4" l="1"/>
  <c r="D760" i="4"/>
  <c r="F750" i="4" l="1"/>
  <c r="D761" i="4"/>
  <c r="F751" i="4" l="1"/>
  <c r="D762" i="4"/>
  <c r="F752" i="4" l="1"/>
  <c r="D763" i="4"/>
  <c r="F753" i="4" l="1"/>
  <c r="D764" i="4"/>
  <c r="F754" i="4" l="1"/>
  <c r="D765" i="4"/>
  <c r="F755" i="4" l="1"/>
  <c r="D766" i="4"/>
  <c r="F756" i="4" l="1"/>
  <c r="D767" i="4"/>
  <c r="F757" i="4" l="1"/>
  <c r="D768" i="4"/>
  <c r="F758" i="4" l="1"/>
  <c r="D769" i="4"/>
  <c r="F759" i="4" l="1"/>
  <c r="D770" i="4"/>
  <c r="F760" i="4" l="1"/>
  <c r="D771" i="4"/>
  <c r="F761" i="4" l="1"/>
  <c r="D772" i="4"/>
  <c r="F762" i="4" l="1"/>
  <c r="D773" i="4"/>
  <c r="F763" i="4" l="1"/>
  <c r="D774" i="4"/>
  <c r="F764" i="4" l="1"/>
  <c r="D775" i="4"/>
  <c r="F765" i="4" l="1"/>
  <c r="D776" i="4"/>
  <c r="F766" i="4" l="1"/>
  <c r="D777" i="4"/>
  <c r="F767" i="4" l="1"/>
  <c r="D778" i="4"/>
  <c r="F768" i="4" l="1"/>
  <c r="D779" i="4"/>
  <c r="F769" i="4" l="1"/>
  <c r="D780" i="4"/>
  <c r="F770" i="4" l="1"/>
  <c r="D781" i="4"/>
  <c r="F771" i="4" l="1"/>
  <c r="D782" i="4"/>
  <c r="F772" i="4" l="1"/>
  <c r="D783" i="4"/>
  <c r="F773" i="4" l="1"/>
  <c r="D784" i="4"/>
  <c r="F774" i="4" l="1"/>
  <c r="D785" i="4"/>
  <c r="F775" i="4" l="1"/>
  <c r="D786" i="4"/>
  <c r="F776" i="4" l="1"/>
  <c r="D787" i="4"/>
  <c r="F777" i="4" l="1"/>
  <c r="D788" i="4"/>
  <c r="F778" i="4" l="1"/>
  <c r="D789" i="4"/>
  <c r="F779" i="4" l="1"/>
  <c r="D790" i="4"/>
  <c r="F780" i="4" l="1"/>
  <c r="D791" i="4"/>
  <c r="F781" i="4" l="1"/>
  <c r="D792" i="4"/>
  <c r="F782" i="4" l="1"/>
  <c r="D793" i="4"/>
  <c r="F783" i="4" l="1"/>
  <c r="D794" i="4"/>
  <c r="F784" i="4" l="1"/>
  <c r="D796" i="4"/>
  <c r="D795" i="4"/>
  <c r="F785" i="4" l="1"/>
  <c r="D797" i="4"/>
  <c r="F786" i="4" l="1"/>
  <c r="D798" i="4"/>
  <c r="F787" i="4" l="1"/>
  <c r="D799" i="4"/>
  <c r="F788" i="4" l="1"/>
  <c r="D800" i="4"/>
  <c r="F789" i="4" l="1"/>
  <c r="D801" i="4"/>
  <c r="F790" i="4" l="1"/>
  <c r="D802" i="4"/>
  <c r="F791" i="4" l="1"/>
  <c r="D803" i="4"/>
  <c r="F792" i="4" l="1"/>
  <c r="D804" i="4"/>
  <c r="F793" i="4" l="1"/>
  <c r="D805" i="4"/>
  <c r="F794" i="4" l="1"/>
  <c r="D806" i="4"/>
  <c r="F795" i="4" l="1"/>
  <c r="D807" i="4"/>
  <c r="F796" i="4" l="1"/>
  <c r="D808" i="4"/>
  <c r="F797" i="4" l="1"/>
  <c r="D809" i="4"/>
  <c r="F798" i="4" l="1"/>
  <c r="D810" i="4"/>
  <c r="F799" i="4" l="1"/>
  <c r="D811" i="4"/>
  <c r="F800" i="4" l="1"/>
  <c r="D812" i="4"/>
  <c r="F801" i="4" l="1"/>
  <c r="D813" i="4"/>
  <c r="F802" i="4" l="1"/>
  <c r="D814" i="4"/>
  <c r="F803" i="4" l="1"/>
  <c r="D815" i="4"/>
  <c r="F804" i="4" l="1"/>
  <c r="D816" i="4"/>
  <c r="F805" i="4" l="1"/>
  <c r="D817" i="4"/>
  <c r="F806" i="4" l="1"/>
  <c r="D818" i="4"/>
  <c r="F807" i="4" l="1"/>
  <c r="D819" i="4"/>
  <c r="F808" i="4" l="1"/>
  <c r="D820" i="4"/>
  <c r="F809" i="4" l="1"/>
  <c r="D821" i="4"/>
  <c r="F810" i="4" l="1"/>
  <c r="D822" i="4"/>
  <c r="F811" i="4" l="1"/>
  <c r="D823" i="4"/>
  <c r="F812" i="4" l="1"/>
  <c r="D824" i="4"/>
  <c r="F813" i="4" l="1"/>
  <c r="D825" i="4"/>
  <c r="F814" i="4" l="1"/>
  <c r="D826" i="4"/>
  <c r="F815" i="4" l="1"/>
  <c r="D827" i="4"/>
  <c r="F816" i="4" l="1"/>
  <c r="D828" i="4"/>
  <c r="F817" i="4" l="1"/>
  <c r="D829" i="4"/>
  <c r="F818" i="4" l="1"/>
  <c r="D830" i="4"/>
  <c r="F819" i="4" l="1"/>
  <c r="D831" i="4"/>
  <c r="F820" i="4" l="1"/>
  <c r="D832" i="4"/>
  <c r="F821" i="4" l="1"/>
  <c r="D833" i="4"/>
  <c r="F822" i="4" l="1"/>
  <c r="D834" i="4"/>
  <c r="F823" i="4" l="1"/>
  <c r="D835" i="4"/>
  <c r="F824" i="4" l="1"/>
  <c r="D836" i="4"/>
  <c r="F825" i="4" l="1"/>
  <c r="D837" i="4"/>
  <c r="F826" i="4" l="1"/>
  <c r="D838" i="4"/>
  <c r="F827" i="4" l="1"/>
  <c r="D839" i="4"/>
  <c r="F828" i="4" l="1"/>
  <c r="D840" i="4"/>
  <c r="F829" i="4" l="1"/>
  <c r="D841" i="4"/>
  <c r="F830" i="4" l="1"/>
  <c r="D842" i="4"/>
  <c r="F831" i="4" l="1"/>
  <c r="D843" i="4"/>
  <c r="F832" i="4" l="1"/>
  <c r="D844" i="4"/>
  <c r="F833" i="4" l="1"/>
  <c r="D845" i="4"/>
  <c r="F834" i="4" l="1"/>
  <c r="D846" i="4"/>
  <c r="F835" i="4" l="1"/>
  <c r="D847" i="4"/>
  <c r="F836" i="4" l="1"/>
  <c r="D848" i="4"/>
  <c r="F837" i="4" l="1"/>
  <c r="D849" i="4"/>
  <c r="F838" i="4" l="1"/>
  <c r="D851" i="4"/>
  <c r="D850" i="4"/>
  <c r="F839" i="4" l="1"/>
  <c r="D852" i="4"/>
  <c r="F840" i="4" l="1"/>
  <c r="D853" i="4"/>
  <c r="F841" i="4" l="1"/>
  <c r="D854" i="4"/>
  <c r="F842" i="4" l="1"/>
  <c r="D855" i="4"/>
  <c r="F843" i="4" l="1"/>
  <c r="D857" i="4"/>
  <c r="D856" i="4"/>
  <c r="F844" i="4" l="1"/>
  <c r="D858" i="4"/>
  <c r="F845" i="4" l="1"/>
  <c r="D859" i="4"/>
  <c r="F846" i="4" l="1"/>
  <c r="D860" i="4"/>
  <c r="F847" i="4" l="1"/>
  <c r="D861" i="4"/>
  <c r="F848" i="4" l="1"/>
  <c r="D862" i="4"/>
  <c r="F849" i="4" l="1"/>
  <c r="D863" i="4"/>
  <c r="F850" i="4" l="1"/>
  <c r="D864" i="4"/>
  <c r="F851" i="4" l="1"/>
  <c r="D865" i="4"/>
  <c r="F852" i="4" l="1"/>
  <c r="D866" i="4"/>
  <c r="F853" i="4" l="1"/>
  <c r="D867" i="4"/>
  <c r="F854" i="4" l="1"/>
  <c r="D868" i="4"/>
  <c r="F855" i="4" l="1"/>
  <c r="D869" i="4"/>
  <c r="F856" i="4" l="1"/>
  <c r="D870" i="4"/>
  <c r="F857" i="4" l="1"/>
  <c r="D871" i="4"/>
  <c r="F858" i="4" l="1"/>
  <c r="D872" i="4"/>
  <c r="F859" i="4" l="1"/>
  <c r="D873" i="4"/>
  <c r="F860" i="4" l="1"/>
  <c r="F861" i="4"/>
  <c r="D874" i="4"/>
  <c r="F862" i="4" l="1"/>
  <c r="F863" i="4" s="1"/>
  <c r="D875" i="4"/>
  <c r="F864" i="4" l="1"/>
  <c r="D876" i="4"/>
  <c r="F865" i="4" l="1"/>
  <c r="D877" i="4"/>
  <c r="F866" i="4" l="1"/>
  <c r="D878" i="4"/>
  <c r="F867" i="4" l="1"/>
  <c r="D879" i="4"/>
  <c r="F868" i="4" l="1"/>
  <c r="D880" i="4"/>
  <c r="F869" i="4" l="1"/>
  <c r="D882" i="4"/>
  <c r="D881" i="4"/>
  <c r="F870" i="4" l="1"/>
  <c r="D883" i="4"/>
  <c r="F871" i="4" l="1"/>
  <c r="D884" i="4"/>
  <c r="F872" i="4" l="1"/>
  <c r="D885" i="4"/>
  <c r="F873" i="4" l="1"/>
  <c r="D886" i="4"/>
  <c r="F874" i="4" l="1"/>
  <c r="D887" i="4"/>
  <c r="F875" i="4" l="1"/>
  <c r="D888" i="4"/>
  <c r="F876" i="4" l="1"/>
  <c r="F877" i="4" s="1"/>
  <c r="D890" i="4"/>
  <c r="D889" i="4"/>
  <c r="F878" i="4" l="1"/>
  <c r="F879" i="4" s="1"/>
  <c r="D891" i="4"/>
  <c r="F880" i="4" l="1"/>
  <c r="D892" i="4"/>
  <c r="F881" i="4" l="1"/>
  <c r="D893" i="4"/>
  <c r="F882" i="4" l="1"/>
  <c r="D894" i="4"/>
  <c r="F883" i="4" l="1"/>
  <c r="D895" i="4"/>
  <c r="F884" i="4" l="1"/>
  <c r="D896" i="4"/>
  <c r="F885" i="4" l="1"/>
  <c r="D897" i="4"/>
  <c r="F886" i="4" l="1"/>
  <c r="D898" i="4"/>
  <c r="F887" i="4" l="1"/>
  <c r="D899" i="4"/>
  <c r="F888" i="4" l="1"/>
  <c r="D900" i="4"/>
  <c r="F889" i="4" l="1"/>
  <c r="D901" i="4"/>
  <c r="F890" i="4" l="1"/>
  <c r="D902" i="4"/>
  <c r="F891" i="4" l="1"/>
  <c r="D903" i="4"/>
  <c r="F892" i="4" l="1"/>
  <c r="D904" i="4"/>
  <c r="F893" i="4" l="1"/>
  <c r="D905" i="4"/>
  <c r="F894" i="4" l="1"/>
  <c r="D906" i="4"/>
  <c r="F895" i="4" l="1"/>
  <c r="D907" i="4"/>
  <c r="F896" i="4" l="1"/>
  <c r="D908" i="4"/>
  <c r="F897" i="4" l="1"/>
  <c r="D909" i="4"/>
  <c r="F898" i="4" l="1"/>
  <c r="D910" i="4"/>
  <c r="F899" i="4" l="1"/>
  <c r="D911" i="4"/>
  <c r="F900" i="4" l="1"/>
  <c r="D912" i="4"/>
  <c r="F901" i="4" l="1"/>
  <c r="D913" i="4"/>
  <c r="F902" i="4" l="1"/>
  <c r="D914" i="4"/>
  <c r="F903" i="4" l="1"/>
  <c r="D915" i="4"/>
  <c r="F904" i="4" l="1"/>
  <c r="D916" i="4"/>
  <c r="F905" i="4" l="1"/>
  <c r="D917" i="4"/>
  <c r="F906" i="4" l="1"/>
  <c r="D918" i="4"/>
  <c r="F907" i="4" l="1"/>
  <c r="D919" i="4"/>
  <c r="F908" i="4" l="1"/>
  <c r="D920" i="4"/>
  <c r="F909" i="4" l="1"/>
  <c r="F910" i="4" s="1"/>
  <c r="D921" i="4"/>
  <c r="F911" i="4" l="1"/>
  <c r="D922" i="4"/>
  <c r="F912" i="4" l="1"/>
  <c r="D923" i="4"/>
  <c r="F913" i="4" l="1"/>
  <c r="D924" i="4"/>
  <c r="F914" i="4" l="1"/>
  <c r="F915" i="4" s="1"/>
  <c r="D925" i="4"/>
  <c r="F916" i="4" l="1"/>
  <c r="D926" i="4"/>
  <c r="F917" i="4" l="1"/>
  <c r="D927" i="4"/>
  <c r="F918" i="4" l="1"/>
  <c r="D928" i="4"/>
  <c r="F919" i="4" l="1"/>
  <c r="D930" i="4"/>
  <c r="D929" i="4"/>
  <c r="F920" i="4" l="1"/>
  <c r="D931" i="4"/>
  <c r="F921" i="4" l="1"/>
  <c r="D932" i="4"/>
  <c r="F922" i="4" l="1"/>
  <c r="D933" i="4"/>
  <c r="F923" i="4" l="1"/>
  <c r="D934" i="4"/>
  <c r="F924" i="4" l="1"/>
  <c r="D935" i="4"/>
  <c r="F925" i="4" l="1"/>
  <c r="D936" i="4"/>
  <c r="F926" i="4" l="1"/>
  <c r="D937" i="4"/>
  <c r="F927" i="4" l="1"/>
  <c r="D938" i="4"/>
  <c r="F928" i="4" l="1"/>
  <c r="D939" i="4"/>
  <c r="F929" i="4" l="1"/>
  <c r="D940" i="4"/>
  <c r="F930" i="4" l="1"/>
  <c r="D941" i="4"/>
  <c r="F931" i="4" l="1"/>
  <c r="D942" i="4"/>
  <c r="F932" i="4" l="1"/>
  <c r="D943" i="4"/>
  <c r="F933" i="4" l="1"/>
  <c r="D944" i="4"/>
  <c r="F934" i="4" l="1"/>
  <c r="D945" i="4"/>
  <c r="F935" i="4" l="1"/>
  <c r="D946" i="4"/>
  <c r="F936" i="4" l="1"/>
  <c r="D947" i="4"/>
  <c r="F937" i="4" l="1"/>
  <c r="D948" i="4"/>
  <c r="F938" i="4" l="1"/>
  <c r="D949" i="4"/>
  <c r="F939" i="4" l="1"/>
  <c r="D950" i="4"/>
  <c r="F940" i="4" l="1"/>
  <c r="D952" i="4"/>
  <c r="D951" i="4"/>
  <c r="F941" i="4" l="1"/>
  <c r="D954" i="4"/>
  <c r="D953" i="4"/>
  <c r="F942" i="4" l="1"/>
  <c r="D956" i="4"/>
  <c r="D955" i="4"/>
  <c r="F943" i="4" l="1"/>
  <c r="D958" i="4"/>
  <c r="D957" i="4"/>
  <c r="F944" i="4" l="1"/>
  <c r="D960" i="4"/>
  <c r="D959" i="4"/>
  <c r="F945" i="4" l="1"/>
  <c r="D962" i="4"/>
  <c r="D961" i="4"/>
  <c r="F946" i="4" l="1"/>
  <c r="D964" i="4"/>
  <c r="D963" i="4"/>
  <c r="F947" i="4" l="1"/>
  <c r="D966" i="4"/>
  <c r="D965" i="4"/>
  <c r="F948" i="4" l="1"/>
  <c r="D968" i="4"/>
  <c r="D967" i="4"/>
  <c r="F949" i="4" l="1"/>
  <c r="D970" i="4"/>
  <c r="D969" i="4"/>
  <c r="F950" i="4" l="1"/>
  <c r="D972" i="4"/>
  <c r="D971" i="4"/>
  <c r="F951" i="4" l="1"/>
  <c r="D974" i="4"/>
  <c r="D973" i="4"/>
  <c r="F952" i="4" l="1"/>
  <c r="D975" i="4"/>
  <c r="F953" i="4" l="1"/>
  <c r="D976" i="4"/>
  <c r="F954" i="4" l="1"/>
  <c r="D977" i="4"/>
  <c r="F955" i="4" l="1"/>
  <c r="D978" i="4"/>
  <c r="F956" i="4" l="1"/>
  <c r="D979" i="4"/>
  <c r="F957" i="4" l="1"/>
  <c r="D980" i="4"/>
  <c r="F958" i="4" l="1"/>
  <c r="D981" i="4"/>
  <c r="F959" i="4" l="1"/>
  <c r="D982" i="4"/>
  <c r="F960" i="4" l="1"/>
  <c r="D983" i="4"/>
  <c r="F961" i="4" l="1"/>
  <c r="D984" i="4"/>
  <c r="F962" i="4" l="1"/>
  <c r="D986" i="4"/>
  <c r="D985" i="4"/>
  <c r="F963" i="4" l="1"/>
  <c r="D988" i="4"/>
  <c r="D987" i="4"/>
  <c r="F964" i="4" l="1"/>
  <c r="D990" i="4"/>
  <c r="D989" i="4"/>
  <c r="F965" i="4" l="1"/>
  <c r="D992" i="4"/>
  <c r="D991" i="4"/>
  <c r="F966" i="4" l="1"/>
  <c r="D994" i="4"/>
  <c r="D993" i="4"/>
  <c r="F967" i="4" l="1"/>
  <c r="D996" i="4"/>
  <c r="D995" i="4"/>
  <c r="F968" i="4" l="1"/>
  <c r="D998" i="4"/>
  <c r="D997" i="4"/>
  <c r="F969" i="4" l="1"/>
  <c r="D1000" i="4"/>
  <c r="D999" i="4"/>
  <c r="F970" i="4" l="1"/>
  <c r="D1002" i="4"/>
  <c r="D1001" i="4"/>
  <c r="F971" i="4" l="1"/>
  <c r="D1004" i="4"/>
  <c r="D1003" i="4"/>
  <c r="F972" i="4" l="1"/>
  <c r="D1006" i="4"/>
  <c r="D1005" i="4"/>
  <c r="F973" i="4" l="1"/>
  <c r="D1008" i="4"/>
  <c r="D1007" i="4"/>
  <c r="F974" i="4" l="1"/>
  <c r="D1010" i="4"/>
  <c r="D1009" i="4"/>
  <c r="F975" i="4" l="1"/>
  <c r="D1012" i="4"/>
  <c r="D1011" i="4"/>
  <c r="F976" i="4" l="1"/>
  <c r="D1014" i="4"/>
  <c r="D1013" i="4"/>
  <c r="F977" i="4" l="1"/>
  <c r="D1016" i="4"/>
  <c r="D1015" i="4"/>
  <c r="F978" i="4" l="1"/>
  <c r="D1018" i="4"/>
  <c r="D1017" i="4"/>
  <c r="F979" i="4" l="1"/>
  <c r="D1020" i="4"/>
  <c r="D1019" i="4"/>
  <c r="F980" i="4" l="1"/>
  <c r="D1022" i="4"/>
  <c r="D1021" i="4"/>
  <c r="F981" i="4" l="1"/>
  <c r="D1024" i="4"/>
  <c r="D1023" i="4"/>
  <c r="F982" i="4" l="1"/>
  <c r="D1026" i="4"/>
  <c r="D1025" i="4"/>
  <c r="F983" i="4" l="1"/>
  <c r="D1028" i="4"/>
  <c r="D1027" i="4"/>
  <c r="F984" i="4" l="1"/>
  <c r="D1030" i="4"/>
  <c r="D1029" i="4"/>
  <c r="F985" i="4" l="1"/>
  <c r="D1032" i="4"/>
  <c r="D1031" i="4"/>
  <c r="F986" i="4" l="1"/>
  <c r="D1034" i="4"/>
  <c r="D1033" i="4"/>
  <c r="F987" i="4" l="1"/>
  <c r="D1036" i="4"/>
  <c r="D1035" i="4"/>
  <c r="F988" i="4" l="1"/>
  <c r="D1038" i="4"/>
  <c r="D1037" i="4"/>
  <c r="F989" i="4" l="1"/>
  <c r="D1040" i="4"/>
  <c r="D1039" i="4"/>
  <c r="F990" i="4" l="1"/>
  <c r="D1042" i="4"/>
  <c r="D1041" i="4"/>
  <c r="F991" i="4" l="1"/>
  <c r="D1044" i="4"/>
  <c r="D1043" i="4"/>
  <c r="F992" i="4" l="1"/>
  <c r="D1046" i="4"/>
  <c r="D1045" i="4"/>
  <c r="F993" i="4" l="1"/>
  <c r="D1048" i="4"/>
  <c r="D1047" i="4"/>
  <c r="F994" i="4" l="1"/>
  <c r="D1050" i="4"/>
  <c r="D1049" i="4"/>
  <c r="F995" i="4" l="1"/>
  <c r="D1052" i="4"/>
  <c r="D1051" i="4"/>
  <c r="F996" i="4" l="1"/>
  <c r="D1054" i="4"/>
  <c r="D1053" i="4"/>
  <c r="F997" i="4" l="1"/>
  <c r="D1056" i="4"/>
  <c r="D1055" i="4"/>
  <c r="F998" i="4" l="1"/>
  <c r="D1058" i="4"/>
  <c r="D1057" i="4"/>
  <c r="F999" i="4" l="1"/>
  <c r="D1060" i="4"/>
  <c r="D1059" i="4"/>
  <c r="F1000" i="4" l="1"/>
  <c r="D1062" i="4"/>
  <c r="D1061" i="4"/>
  <c r="F1001" i="4" l="1"/>
  <c r="D1064" i="4"/>
  <c r="D1063" i="4"/>
  <c r="F1002" i="4" l="1"/>
  <c r="D1066" i="4"/>
  <c r="D1065" i="4"/>
  <c r="F1003" i="4" l="1"/>
  <c r="D1068" i="4"/>
  <c r="D1067" i="4"/>
  <c r="F1004" i="4" l="1"/>
  <c r="D1070" i="4"/>
  <c r="D1069" i="4"/>
  <c r="F1005" i="4" l="1"/>
  <c r="D1072" i="4"/>
  <c r="D1071" i="4"/>
  <c r="F1006" i="4" l="1"/>
  <c r="D1073" i="4"/>
  <c r="F1007" i="4" l="1"/>
  <c r="D1075" i="4"/>
  <c r="D1074" i="4"/>
  <c r="F1008" i="4" l="1"/>
  <c r="D1077" i="4"/>
  <c r="D1076" i="4"/>
  <c r="F1009" i="4" l="1"/>
  <c r="D1078" i="4"/>
  <c r="F1010" i="4" l="1"/>
  <c r="D1079" i="4"/>
  <c r="F1011" i="4" l="1"/>
  <c r="F1012" i="4"/>
  <c r="D1080" i="4"/>
  <c r="F1013" i="4" l="1"/>
  <c r="D1081" i="4"/>
  <c r="F1014" i="4" l="1"/>
  <c r="D1082" i="4"/>
  <c r="F1015" i="4" l="1"/>
  <c r="D1083" i="4"/>
  <c r="F1016" i="4" l="1"/>
  <c r="D1084" i="4"/>
  <c r="F1017" i="4" l="1"/>
  <c r="D1085" i="4"/>
  <c r="F1018" i="4" l="1"/>
  <c r="D1086" i="4"/>
  <c r="F1019" i="4" l="1"/>
  <c r="D1087" i="4"/>
  <c r="F1020" i="4" l="1"/>
  <c r="D1088" i="4"/>
  <c r="F1021" i="4" l="1"/>
  <c r="D1089" i="4"/>
  <c r="F1022" i="4" l="1"/>
  <c r="D1090" i="4"/>
  <c r="F1023" i="4" l="1"/>
  <c r="D1091" i="4"/>
  <c r="F1024" i="4" l="1"/>
  <c r="D1092" i="4"/>
  <c r="F1025" i="4" l="1"/>
  <c r="D1093" i="4"/>
  <c r="F1026" i="4" l="1"/>
  <c r="D1094" i="4"/>
  <c r="F1027" i="4" l="1"/>
  <c r="D1096" i="4"/>
  <c r="D1095" i="4"/>
  <c r="F1028" i="4" l="1"/>
  <c r="D1097" i="4"/>
  <c r="F1029" i="4" l="1"/>
  <c r="D1099" i="4"/>
  <c r="D1098" i="4"/>
  <c r="F1030" i="4" l="1"/>
  <c r="D1100" i="4"/>
  <c r="F1031" i="4" l="1"/>
  <c r="D1101" i="4"/>
  <c r="F1032" i="4" l="1"/>
  <c r="D1102" i="4"/>
  <c r="F1033" i="4" l="1"/>
  <c r="D1103" i="4"/>
  <c r="F1034" i="4" l="1"/>
  <c r="D1104" i="4"/>
  <c r="F1035" i="4" l="1"/>
  <c r="D1105" i="4"/>
  <c r="F1036" i="4" l="1"/>
  <c r="D1106" i="4"/>
  <c r="F1037" i="4" l="1"/>
  <c r="D1107" i="4"/>
  <c r="F1038" i="4" l="1"/>
  <c r="D1108" i="4"/>
  <c r="F1039" i="4" l="1"/>
  <c r="D1109" i="4"/>
  <c r="F1040" i="4" l="1"/>
  <c r="D1110" i="4"/>
  <c r="F1041" i="4" l="1"/>
  <c r="D1111" i="4"/>
  <c r="F1042" i="4" l="1"/>
  <c r="D1112" i="4"/>
  <c r="F1043" i="4" l="1"/>
  <c r="D1113" i="4"/>
  <c r="F1044" i="4" l="1"/>
  <c r="D1114" i="4"/>
  <c r="F1045" i="4" l="1"/>
  <c r="D1115" i="4"/>
  <c r="F1046" i="4" l="1"/>
  <c r="D1116" i="4"/>
  <c r="F1047" i="4" l="1"/>
  <c r="D1117" i="4"/>
  <c r="F1048" i="4" l="1"/>
  <c r="D1118" i="4"/>
  <c r="F1049" i="4" l="1"/>
  <c r="D1119" i="4"/>
  <c r="F1050" i="4" l="1"/>
  <c r="D1120" i="4"/>
  <c r="F1051" i="4" l="1"/>
  <c r="D1121" i="4"/>
  <c r="F1052" i="4" l="1"/>
  <c r="D1122" i="4"/>
  <c r="F1053" i="4" l="1"/>
  <c r="D1123" i="4"/>
  <c r="F1054" i="4" l="1"/>
  <c r="D1125" i="4"/>
  <c r="D1124" i="4"/>
  <c r="F1055" i="4" l="1"/>
  <c r="D1126" i="4"/>
  <c r="F1056" i="4" l="1"/>
  <c r="D1127" i="4"/>
  <c r="F1057" i="4" l="1"/>
  <c r="D1128" i="4"/>
  <c r="F1058" i="4" l="1"/>
  <c r="D1129" i="4"/>
  <c r="F1059" i="4" l="1"/>
  <c r="D1131" i="4"/>
  <c r="D1130" i="4"/>
  <c r="F1060" i="4" l="1"/>
  <c r="D1132" i="4"/>
  <c r="F1061" i="4" l="1"/>
  <c r="D1133" i="4"/>
  <c r="F1062" i="4" l="1"/>
  <c r="D1134" i="4"/>
  <c r="F1063" i="4" l="1"/>
  <c r="D1135" i="4"/>
  <c r="F1064" i="4" l="1"/>
  <c r="D1136" i="4"/>
  <c r="F1065" i="4" l="1"/>
  <c r="D1137" i="4"/>
  <c r="F1066" i="4" l="1"/>
  <c r="D1138" i="4"/>
  <c r="F1067" i="4" l="1"/>
  <c r="D1139" i="4"/>
  <c r="F1068" i="4" l="1"/>
  <c r="D1140" i="4"/>
  <c r="F1069" i="4" l="1"/>
  <c r="D1141" i="4"/>
  <c r="F1070" i="4" l="1"/>
  <c r="D1142" i="4"/>
  <c r="F1071" i="4" l="1"/>
  <c r="D1143" i="4"/>
  <c r="F1072" i="4" l="1"/>
  <c r="D1144" i="4"/>
  <c r="F1073" i="4" l="1"/>
  <c r="D1145" i="4"/>
  <c r="F1074" i="4" l="1"/>
  <c r="D1146" i="4"/>
  <c r="F1075" i="4" l="1"/>
  <c r="D1147" i="4"/>
  <c r="F1076" i="4" l="1"/>
  <c r="D1148" i="4"/>
  <c r="F1077" i="4" l="1"/>
  <c r="D1149" i="4"/>
  <c r="F1078" i="4" l="1"/>
  <c r="D1150" i="4"/>
  <c r="F1079" i="4" l="1"/>
  <c r="D1151" i="4"/>
  <c r="F1080" i="4" l="1"/>
  <c r="D1152" i="4"/>
  <c r="F1081" i="4" l="1"/>
  <c r="D1153" i="4"/>
  <c r="F1082" i="4" l="1"/>
  <c r="D1154" i="4"/>
  <c r="F1083" i="4" l="1"/>
  <c r="D1155" i="4"/>
  <c r="F1084" i="4" l="1"/>
  <c r="D1156" i="4"/>
  <c r="F1085" i="4" l="1"/>
  <c r="D1157" i="4"/>
  <c r="F1086" i="4" l="1"/>
  <c r="D1158" i="4"/>
  <c r="F1087" i="4" l="1"/>
  <c r="D1159" i="4"/>
  <c r="F1088" i="4" l="1"/>
  <c r="D1160" i="4"/>
  <c r="F1089" i="4" l="1"/>
  <c r="D1161" i="4"/>
  <c r="F1090" i="4" l="1"/>
  <c r="D1163" i="4"/>
  <c r="D1162" i="4"/>
  <c r="F1091" i="4" l="1"/>
  <c r="D1164" i="4"/>
  <c r="F1092" i="4" l="1"/>
  <c r="D1165" i="4"/>
  <c r="F1093" i="4" l="1"/>
  <c r="D1166" i="4"/>
  <c r="F1094" i="4" l="1"/>
  <c r="D1167" i="4"/>
  <c r="F1095" i="4" l="1"/>
  <c r="D1168" i="4"/>
  <c r="F1096" i="4" l="1"/>
  <c r="D1169" i="4"/>
  <c r="F1097" i="4" l="1"/>
  <c r="D1170" i="4"/>
  <c r="F1098" i="4" l="1"/>
  <c r="D1171" i="4"/>
  <c r="F1099" i="4" l="1"/>
  <c r="D1172" i="4"/>
  <c r="F1100" i="4" l="1"/>
  <c r="D1173" i="4"/>
  <c r="F1101" i="4" l="1"/>
  <c r="D1174" i="4"/>
  <c r="F1102" i="4" l="1"/>
  <c r="D1175" i="4"/>
  <c r="F1103" i="4" l="1"/>
  <c r="D1176" i="4"/>
  <c r="F1104" i="4" l="1"/>
  <c r="D1177" i="4"/>
  <c r="F1105" i="4" l="1"/>
  <c r="D1178" i="4"/>
  <c r="F1106" i="4" l="1"/>
  <c r="D1179" i="4"/>
  <c r="F1107" i="4" l="1"/>
  <c r="D1180" i="4"/>
  <c r="F1108" i="4" l="1"/>
  <c r="D1181" i="4"/>
  <c r="F1109" i="4" l="1"/>
  <c r="D1182" i="4"/>
  <c r="F1110" i="4" l="1"/>
  <c r="D1183" i="4"/>
  <c r="F1111" i="4" l="1"/>
  <c r="D1184" i="4"/>
  <c r="F1112" i="4" l="1"/>
  <c r="D1185" i="4"/>
  <c r="F1113" i="4" l="1"/>
  <c r="D1186" i="4"/>
  <c r="F1114" i="4" l="1"/>
  <c r="D1187" i="4"/>
  <c r="F1115" i="4" l="1"/>
  <c r="D1188" i="4"/>
  <c r="F1116" i="4" l="1"/>
  <c r="D1189" i="4"/>
  <c r="F1117" i="4" l="1"/>
  <c r="F1118" i="4" s="1"/>
  <c r="D1190" i="4"/>
  <c r="F1119" i="4" l="1"/>
  <c r="D1191" i="4"/>
  <c r="F1120" i="4" l="1"/>
  <c r="D1192" i="4"/>
  <c r="F1121" i="4" l="1"/>
  <c r="D1193" i="4"/>
  <c r="F1122" i="4" l="1"/>
  <c r="D1194" i="4"/>
  <c r="F1123" i="4" l="1"/>
  <c r="D1195" i="4"/>
  <c r="F1124" i="4" l="1"/>
  <c r="D1196" i="4"/>
  <c r="F1125" i="4" l="1"/>
  <c r="F1126" i="4"/>
  <c r="D1197" i="4"/>
  <c r="F1127" i="4" l="1"/>
  <c r="D1198" i="4"/>
  <c r="F1128" i="4" l="1"/>
  <c r="D1199" i="4"/>
  <c r="F1129" i="4" l="1"/>
  <c r="D1200" i="4"/>
  <c r="F1130" i="4" l="1"/>
  <c r="D1201" i="4"/>
  <c r="F1131" i="4" l="1"/>
  <c r="D1202" i="4"/>
  <c r="F1132" i="4" l="1"/>
  <c r="D1203" i="4"/>
  <c r="F1133" i="4" l="1"/>
  <c r="D1204" i="4"/>
  <c r="F1134" i="4" l="1"/>
  <c r="D1205" i="4"/>
  <c r="F1135" i="4" l="1"/>
  <c r="D1206" i="4"/>
  <c r="F1136" i="4" l="1"/>
  <c r="D1207" i="4"/>
  <c r="F1137" i="4" l="1"/>
  <c r="D1208" i="4"/>
  <c r="F1138" i="4" l="1"/>
  <c r="D1209" i="4"/>
  <c r="F1139" i="4" l="1"/>
  <c r="D1210" i="4"/>
  <c r="F1140" i="4" l="1"/>
  <c r="F1141" i="4" s="1"/>
  <c r="D1211" i="4"/>
  <c r="F1142" i="4" l="1"/>
  <c r="D1212" i="4"/>
  <c r="F1143" i="4" l="1"/>
  <c r="D1213" i="4"/>
  <c r="F1144" i="4" l="1"/>
  <c r="D1214" i="4"/>
  <c r="F1145" i="4" l="1"/>
  <c r="D1215" i="4"/>
  <c r="F1146" i="4" l="1"/>
  <c r="D1216" i="4"/>
  <c r="F1147" i="4" l="1"/>
  <c r="D1217" i="4"/>
  <c r="F1148" i="4" l="1"/>
  <c r="D1219" i="4"/>
  <c r="F1149" i="4" l="1"/>
  <c r="D1218" i="4"/>
  <c r="E2" i="4"/>
  <c r="F1150" i="4" l="1"/>
  <c r="F1151" i="4" l="1"/>
  <c r="F1152" i="4" l="1"/>
  <c r="F1153" i="4" l="1"/>
  <c r="F1154" i="4" l="1"/>
  <c r="F1155" i="4" l="1"/>
  <c r="F1156" i="4" l="1"/>
  <c r="F1157" i="4" l="1"/>
  <c r="F1158" i="4" l="1"/>
  <c r="F1159" i="4" l="1"/>
  <c r="F1160" i="4" l="1"/>
  <c r="F1161" i="4" l="1"/>
  <c r="F1162" i="4" l="1"/>
  <c r="F1163" i="4" l="1"/>
  <c r="F1164" i="4" l="1"/>
  <c r="F1165" i="4" l="1"/>
  <c r="F1166" i="4" l="1"/>
  <c r="F1167" i="4" l="1"/>
  <c r="F1168" i="4" l="1"/>
  <c r="F1169" i="4" l="1"/>
  <c r="F1170" i="4" l="1"/>
  <c r="F1171" i="4" l="1"/>
  <c r="F1172" i="4" l="1"/>
  <c r="F1173" i="4" l="1"/>
  <c r="F1174" i="4" l="1"/>
  <c r="F1175" i="4" l="1"/>
  <c r="F1176" i="4" l="1"/>
  <c r="F1177" i="4" l="1"/>
  <c r="F1178" i="4" l="1"/>
  <c r="F1179" i="4" l="1"/>
  <c r="F1180" i="4" l="1"/>
  <c r="F1181" i="4" l="1"/>
  <c r="F1182" i="4" l="1"/>
  <c r="F1183" i="4" l="1"/>
  <c r="F1184" i="4" l="1"/>
  <c r="F1185" i="4" l="1"/>
  <c r="F1186" i="4" l="1"/>
  <c r="F1187" i="4" l="1"/>
  <c r="F1188" i="4" l="1"/>
  <c r="F1189" i="4" l="1"/>
  <c r="F1190" i="4" l="1"/>
  <c r="F1191" i="4" l="1"/>
  <c r="F1192" i="4" l="1"/>
  <c r="F1193" i="4" l="1"/>
  <c r="F1194" i="4" l="1"/>
  <c r="F1195" i="4" l="1"/>
  <c r="F1196" i="4" l="1"/>
  <c r="F1197" i="4" l="1"/>
  <c r="F1198" i="4" l="1"/>
  <c r="F1199" i="4" l="1"/>
  <c r="F1200" i="4" l="1"/>
  <c r="H2" i="4" l="1"/>
  <c r="F1201" i="4"/>
  <c r="F1202" i="4" l="1"/>
  <c r="F1203" i="4" l="1"/>
  <c r="F1204" i="4" l="1"/>
  <c r="F1205" i="4" l="1"/>
  <c r="F1206" i="4" l="1"/>
  <c r="F1207" i="4" l="1"/>
  <c r="F1208" i="4" l="1"/>
  <c r="F1209" i="4" l="1"/>
  <c r="F1210" i="4" l="1"/>
  <c r="F1211" i="4" l="1"/>
  <c r="F1212" i="4" l="1"/>
  <c r="F1213" i="4" l="1"/>
  <c r="F1214" i="4" l="1"/>
  <c r="F1215" i="4" l="1"/>
  <c r="F1216" i="4" l="1"/>
  <c r="F1217" i="4" l="1"/>
  <c r="F1218" i="4" l="1"/>
  <c r="F1219" i="4" l="1"/>
  <c r="H1216" i="4" s="1"/>
  <c r="H1218" i="4" l="1"/>
  <c r="H1217" i="4"/>
  <c r="H1219" i="4"/>
  <c r="H12" i="4"/>
  <c r="H27" i="4"/>
  <c r="H19" i="4"/>
  <c r="H23" i="4"/>
  <c r="H24" i="4"/>
  <c r="H17" i="4"/>
  <c r="H4" i="4"/>
  <c r="H3" i="4"/>
  <c r="H6" i="4"/>
  <c r="H15" i="4"/>
  <c r="H8" i="4"/>
  <c r="H18" i="4"/>
  <c r="H11" i="4"/>
  <c r="H21" i="4"/>
  <c r="H25" i="4"/>
  <c r="H5" i="4"/>
  <c r="H22" i="4"/>
  <c r="H13" i="4"/>
  <c r="H14" i="4"/>
  <c r="H26" i="4"/>
  <c r="H10" i="4"/>
  <c r="H16" i="4"/>
  <c r="H7" i="4"/>
  <c r="H9" i="4"/>
  <c r="H20" i="4"/>
  <c r="H29" i="4"/>
  <c r="H28" i="4"/>
  <c r="H30" i="4"/>
  <c r="H31" i="4"/>
  <c r="H32" i="4"/>
  <c r="H33" i="4"/>
  <c r="H35" i="4"/>
  <c r="H36" i="4"/>
  <c r="H34" i="4"/>
  <c r="H37" i="4"/>
  <c r="H39" i="4"/>
  <c r="H38" i="4"/>
  <c r="H41" i="4"/>
  <c r="H40" i="4"/>
  <c r="H43" i="4"/>
  <c r="H42" i="4"/>
  <c r="H45" i="4"/>
  <c r="H44" i="4"/>
  <c r="H46" i="4"/>
  <c r="H47" i="4"/>
  <c r="H48" i="4"/>
  <c r="H49" i="4"/>
  <c r="H52" i="4"/>
  <c r="H50" i="4"/>
  <c r="H53" i="4"/>
  <c r="H51" i="4"/>
  <c r="H55" i="4"/>
  <c r="H54" i="4"/>
  <c r="H56" i="4"/>
  <c r="H58" i="4"/>
  <c r="H57" i="4"/>
  <c r="H61" i="4"/>
  <c r="H59" i="4"/>
  <c r="H60" i="4"/>
  <c r="H62" i="4"/>
  <c r="H63" i="4"/>
  <c r="H64" i="4"/>
  <c r="H65" i="4"/>
  <c r="H66" i="4"/>
  <c r="H68" i="4"/>
  <c r="H67" i="4"/>
  <c r="H70" i="4"/>
  <c r="H69" i="4"/>
  <c r="H74" i="4"/>
  <c r="H71" i="4"/>
  <c r="H72" i="4"/>
  <c r="H75" i="4"/>
  <c r="H76" i="4"/>
  <c r="H73" i="4"/>
  <c r="H78" i="4"/>
  <c r="H77" i="4"/>
  <c r="H81" i="4"/>
  <c r="H80" i="4"/>
  <c r="H79" i="4"/>
  <c r="H83" i="4"/>
  <c r="H84" i="4"/>
  <c r="H82" i="4"/>
  <c r="H85" i="4"/>
  <c r="H87" i="4"/>
  <c r="H86" i="4"/>
  <c r="H88" i="4"/>
  <c r="H89" i="4"/>
  <c r="H92" i="4"/>
  <c r="H91" i="4"/>
  <c r="H90" i="4"/>
  <c r="H95" i="4"/>
  <c r="H93" i="4"/>
  <c r="H94" i="4"/>
  <c r="H96" i="4"/>
  <c r="H99" i="4"/>
  <c r="H97" i="4"/>
  <c r="H98" i="4"/>
  <c r="H101" i="4"/>
  <c r="H100" i="4"/>
  <c r="H104" i="4"/>
  <c r="H102" i="4"/>
  <c r="H103" i="4"/>
  <c r="H107" i="4"/>
  <c r="H105" i="4"/>
  <c r="H106" i="4"/>
  <c r="H109" i="4"/>
  <c r="H108" i="4"/>
  <c r="H112" i="4"/>
  <c r="H110" i="4"/>
  <c r="H113" i="4"/>
  <c r="H111" i="4"/>
  <c r="H116" i="4"/>
  <c r="H114" i="4"/>
  <c r="H115" i="4"/>
  <c r="H117" i="4"/>
  <c r="H120" i="4"/>
  <c r="H118" i="4"/>
  <c r="H119" i="4"/>
  <c r="H123" i="4"/>
  <c r="H121" i="4"/>
  <c r="H122" i="4"/>
  <c r="H124" i="4"/>
  <c r="H126" i="4"/>
  <c r="H125" i="4"/>
  <c r="H127" i="4"/>
  <c r="H131" i="4"/>
  <c r="H128" i="4"/>
  <c r="H129" i="4"/>
  <c r="H134" i="4"/>
  <c r="H130" i="4"/>
  <c r="H132" i="4"/>
  <c r="H133" i="4"/>
  <c r="H139" i="4"/>
  <c r="H135" i="4"/>
  <c r="H136" i="4"/>
  <c r="H138" i="4"/>
  <c r="H137" i="4"/>
  <c r="H140" i="4"/>
  <c r="H142" i="4"/>
  <c r="H143" i="4"/>
  <c r="H141" i="4"/>
  <c r="H144" i="4"/>
  <c r="H145" i="4"/>
  <c r="H148" i="4"/>
  <c r="H149" i="4"/>
  <c r="H146" i="4"/>
  <c r="H150" i="4"/>
  <c r="H147" i="4"/>
  <c r="H151" i="4"/>
  <c r="H152" i="4"/>
  <c r="H154" i="4"/>
  <c r="H156" i="4"/>
  <c r="H153" i="4"/>
  <c r="H155" i="4"/>
  <c r="H157" i="4"/>
  <c r="H159" i="4"/>
  <c r="H161" i="4"/>
  <c r="H158" i="4"/>
  <c r="H160" i="4"/>
  <c r="H163" i="4"/>
  <c r="H162" i="4"/>
  <c r="H165" i="4"/>
  <c r="H164" i="4"/>
  <c r="H167" i="4"/>
  <c r="H166" i="4"/>
  <c r="H169" i="4"/>
  <c r="H172" i="4"/>
  <c r="H168" i="4"/>
  <c r="H170" i="4"/>
  <c r="H171" i="4"/>
  <c r="H173" i="4"/>
  <c r="H174" i="4"/>
  <c r="H175" i="4"/>
  <c r="H176" i="4"/>
  <c r="H177" i="4"/>
  <c r="H182" i="4"/>
  <c r="H178" i="4"/>
  <c r="H180" i="4"/>
  <c r="H179" i="4"/>
  <c r="H181" i="4"/>
  <c r="H184" i="4"/>
  <c r="H183" i="4"/>
  <c r="H187" i="4"/>
  <c r="H185" i="4"/>
  <c r="H186" i="4"/>
  <c r="H188" i="4"/>
  <c r="H189" i="4"/>
  <c r="H190" i="4"/>
  <c r="H191" i="4"/>
  <c r="H193" i="4"/>
  <c r="H192" i="4"/>
  <c r="H194" i="4"/>
  <c r="H195" i="4"/>
  <c r="H197" i="4"/>
  <c r="H196" i="4"/>
  <c r="H199" i="4"/>
  <c r="H198" i="4"/>
  <c r="H201" i="4"/>
  <c r="H202" i="4"/>
  <c r="H200" i="4"/>
  <c r="H203" i="4"/>
  <c r="H204" i="4"/>
  <c r="H205" i="4"/>
  <c r="H206" i="4"/>
  <c r="H207" i="4"/>
  <c r="H208" i="4"/>
  <c r="H210" i="4"/>
  <c r="H209" i="4"/>
  <c r="H211" i="4"/>
  <c r="H213" i="4"/>
  <c r="H212" i="4"/>
  <c r="H214" i="4"/>
  <c r="H215" i="4"/>
  <c r="H216" i="4"/>
  <c r="H217" i="4"/>
  <c r="H219" i="4"/>
  <c r="H218" i="4"/>
  <c r="H224" i="4"/>
  <c r="H220" i="4"/>
  <c r="H221" i="4"/>
  <c r="H222" i="4"/>
  <c r="H225" i="4"/>
  <c r="H223" i="4"/>
  <c r="H227" i="4"/>
  <c r="H226" i="4"/>
  <c r="H228" i="4"/>
  <c r="H229" i="4"/>
  <c r="H232" i="4"/>
  <c r="H230" i="4"/>
  <c r="H231" i="4"/>
  <c r="H233" i="4"/>
  <c r="H235" i="4"/>
  <c r="H234" i="4"/>
  <c r="H236" i="4"/>
  <c r="H238" i="4"/>
  <c r="H241" i="4"/>
  <c r="H237" i="4"/>
  <c r="H239" i="4"/>
  <c r="H240" i="4"/>
  <c r="H243" i="4"/>
  <c r="H245" i="4"/>
  <c r="H244" i="4"/>
  <c r="H242" i="4"/>
  <c r="H248" i="4"/>
  <c r="H247" i="4"/>
  <c r="H246" i="4"/>
  <c r="H249" i="4"/>
  <c r="H250" i="4"/>
  <c r="H253" i="4"/>
  <c r="H252" i="4"/>
  <c r="H251" i="4"/>
  <c r="H256" i="4"/>
  <c r="H254" i="4"/>
  <c r="H255" i="4"/>
  <c r="H257" i="4"/>
  <c r="H258" i="4"/>
  <c r="H261" i="4"/>
  <c r="H259" i="4"/>
  <c r="H260" i="4"/>
  <c r="H262" i="4"/>
  <c r="H263" i="4"/>
  <c r="H266" i="4"/>
  <c r="H264" i="4"/>
  <c r="H265" i="4"/>
  <c r="H267" i="4"/>
  <c r="H269" i="4"/>
  <c r="H268" i="4"/>
  <c r="H271" i="4"/>
  <c r="H270" i="4"/>
  <c r="H272" i="4"/>
  <c r="H273" i="4"/>
  <c r="H276" i="4"/>
  <c r="H274" i="4"/>
  <c r="H275" i="4"/>
  <c r="H280" i="4"/>
  <c r="H278" i="4"/>
  <c r="H277" i="4"/>
  <c r="H279" i="4"/>
  <c r="H281" i="4"/>
  <c r="H283" i="4"/>
  <c r="H282" i="4"/>
  <c r="H284" i="4"/>
  <c r="H285" i="4"/>
  <c r="H288" i="4"/>
  <c r="H286" i="4"/>
  <c r="H289" i="4"/>
  <c r="H287" i="4"/>
  <c r="H291" i="4"/>
  <c r="H290" i="4"/>
  <c r="H292" i="4"/>
  <c r="H294" i="4"/>
  <c r="H293" i="4"/>
  <c r="H295" i="4"/>
  <c r="H296" i="4"/>
  <c r="H297" i="4"/>
  <c r="H299" i="4"/>
  <c r="H298" i="4"/>
  <c r="H301" i="4"/>
  <c r="H300" i="4"/>
  <c r="H302" i="4"/>
  <c r="H303" i="4"/>
  <c r="H305" i="4"/>
  <c r="H304" i="4"/>
  <c r="H307" i="4"/>
  <c r="H306" i="4"/>
  <c r="H308" i="4"/>
  <c r="H312" i="4"/>
  <c r="H310" i="4"/>
  <c r="H309" i="4"/>
  <c r="H313" i="4"/>
  <c r="H311" i="4"/>
  <c r="H315" i="4"/>
  <c r="H314" i="4"/>
  <c r="H317" i="4"/>
  <c r="H316" i="4"/>
  <c r="H320" i="4"/>
  <c r="H318" i="4"/>
  <c r="H321" i="4"/>
  <c r="H319" i="4"/>
  <c r="H322" i="4"/>
  <c r="H323" i="4"/>
  <c r="H326" i="4"/>
  <c r="H325" i="4"/>
  <c r="H324" i="4"/>
  <c r="H328" i="4"/>
  <c r="H327" i="4"/>
  <c r="H330" i="4"/>
  <c r="H329" i="4"/>
  <c r="H331" i="4"/>
  <c r="H333" i="4"/>
  <c r="H332" i="4"/>
  <c r="H335" i="4"/>
  <c r="H334" i="4"/>
  <c r="H337" i="4"/>
  <c r="H336" i="4"/>
  <c r="H338" i="4"/>
  <c r="H341" i="4"/>
  <c r="H339" i="4"/>
  <c r="H340" i="4"/>
  <c r="H342" i="4"/>
  <c r="H343" i="4"/>
  <c r="H344" i="4"/>
  <c r="H346" i="4"/>
  <c r="H345" i="4"/>
  <c r="H347" i="4"/>
  <c r="H349" i="4"/>
  <c r="H348" i="4"/>
  <c r="H350" i="4"/>
  <c r="H351" i="4"/>
  <c r="H354" i="4"/>
  <c r="H352" i="4"/>
  <c r="H355" i="4"/>
  <c r="H353" i="4"/>
  <c r="H358" i="4"/>
  <c r="H356" i="4"/>
  <c r="H357" i="4"/>
  <c r="H359" i="4"/>
  <c r="H361" i="4"/>
  <c r="H360" i="4"/>
  <c r="H362" i="4"/>
  <c r="H364" i="4"/>
  <c r="H363" i="4"/>
  <c r="H365" i="4"/>
  <c r="H366" i="4"/>
  <c r="H368" i="4"/>
  <c r="H367" i="4"/>
  <c r="H369" i="4"/>
  <c r="H372" i="4"/>
  <c r="H370" i="4"/>
  <c r="H373" i="4"/>
  <c r="H371" i="4"/>
  <c r="H374" i="4"/>
  <c r="H377" i="4"/>
  <c r="H375" i="4"/>
  <c r="H378" i="4"/>
  <c r="H376" i="4"/>
  <c r="H380" i="4"/>
  <c r="H379" i="4"/>
  <c r="H384" i="4"/>
  <c r="H381" i="4"/>
  <c r="H382" i="4"/>
  <c r="H385" i="4"/>
  <c r="H383" i="4"/>
  <c r="H387" i="4"/>
  <c r="H386" i="4"/>
  <c r="H389" i="4"/>
  <c r="H388" i="4"/>
  <c r="H393" i="4"/>
  <c r="H390" i="4"/>
  <c r="H392" i="4"/>
  <c r="H391" i="4"/>
  <c r="H394" i="4"/>
  <c r="H396" i="4"/>
  <c r="H398" i="4"/>
  <c r="H395" i="4"/>
  <c r="H399" i="4"/>
  <c r="H397" i="4"/>
  <c r="H402" i="4"/>
  <c r="H400" i="4"/>
  <c r="H401" i="4"/>
  <c r="H404" i="4"/>
  <c r="H403" i="4"/>
  <c r="H407" i="4"/>
  <c r="H405" i="4"/>
  <c r="H406" i="4"/>
  <c r="H408" i="4"/>
  <c r="H412" i="4"/>
  <c r="H409" i="4"/>
  <c r="H411" i="4"/>
  <c r="H410" i="4"/>
  <c r="H414" i="4"/>
  <c r="H413" i="4"/>
  <c r="H415" i="4"/>
  <c r="H417" i="4"/>
  <c r="H416" i="4"/>
  <c r="H419" i="4"/>
  <c r="H418" i="4"/>
  <c r="H421" i="4"/>
  <c r="H420" i="4"/>
  <c r="H423" i="4"/>
  <c r="H422" i="4"/>
  <c r="H425" i="4"/>
  <c r="H424" i="4"/>
  <c r="H427" i="4"/>
  <c r="H426" i="4"/>
  <c r="H429" i="4"/>
  <c r="H428" i="4"/>
  <c r="H431" i="4"/>
  <c r="H430" i="4"/>
  <c r="H434" i="4"/>
  <c r="H432" i="4"/>
  <c r="H435" i="4"/>
  <c r="H433" i="4"/>
  <c r="H437" i="4"/>
  <c r="H436" i="4"/>
  <c r="H438" i="4"/>
  <c r="H440" i="4"/>
  <c r="H439" i="4"/>
  <c r="H442" i="4"/>
  <c r="H441" i="4"/>
  <c r="H444" i="4"/>
  <c r="H445" i="4"/>
  <c r="H443" i="4"/>
  <c r="H446" i="4"/>
  <c r="H447" i="4"/>
  <c r="H448" i="4"/>
  <c r="H450" i="4"/>
  <c r="H449" i="4"/>
  <c r="H452" i="4"/>
  <c r="H451" i="4"/>
  <c r="H455" i="4"/>
  <c r="H454" i="4"/>
  <c r="H453" i="4"/>
  <c r="H457" i="4"/>
  <c r="H456" i="4"/>
  <c r="H458" i="4"/>
  <c r="H460" i="4"/>
  <c r="H462" i="4"/>
  <c r="H459" i="4"/>
  <c r="H461" i="4"/>
  <c r="H463" i="4"/>
  <c r="H465" i="4"/>
  <c r="H467" i="4"/>
  <c r="H464" i="4"/>
  <c r="H466" i="4"/>
  <c r="H470" i="4"/>
  <c r="H469" i="4"/>
  <c r="H468" i="4"/>
  <c r="H472" i="4"/>
  <c r="H473" i="4"/>
  <c r="H471" i="4"/>
  <c r="H477" i="4"/>
  <c r="H475" i="4"/>
  <c r="H474" i="4"/>
  <c r="H478" i="4"/>
  <c r="H476" i="4"/>
  <c r="H480" i="4"/>
  <c r="H479" i="4"/>
  <c r="H482" i="4"/>
  <c r="H481" i="4"/>
  <c r="H484" i="4"/>
  <c r="H483" i="4"/>
  <c r="H485" i="4"/>
  <c r="H486" i="4"/>
  <c r="H488" i="4"/>
  <c r="H487" i="4"/>
  <c r="H490" i="4"/>
  <c r="H489" i="4"/>
  <c r="H492" i="4"/>
  <c r="H491" i="4"/>
  <c r="H493" i="4"/>
  <c r="H494" i="4"/>
  <c r="H495" i="4"/>
  <c r="H497" i="4"/>
  <c r="H496" i="4"/>
  <c r="H498" i="4"/>
  <c r="H501" i="4"/>
  <c r="H500" i="4"/>
  <c r="H499" i="4"/>
  <c r="H502" i="4"/>
  <c r="H503" i="4"/>
  <c r="H505" i="4"/>
  <c r="H504" i="4"/>
  <c r="H507" i="4"/>
  <c r="H506" i="4"/>
  <c r="H508" i="4"/>
  <c r="H511" i="4"/>
  <c r="H509" i="4"/>
  <c r="H510" i="4"/>
  <c r="H512" i="4"/>
  <c r="H513" i="4"/>
  <c r="H514" i="4"/>
  <c r="H516" i="4"/>
  <c r="H515" i="4"/>
  <c r="H518" i="4"/>
  <c r="H517" i="4"/>
  <c r="H519" i="4"/>
  <c r="H521" i="4"/>
  <c r="H520" i="4"/>
  <c r="H522" i="4"/>
  <c r="H523" i="4"/>
  <c r="H524" i="4"/>
  <c r="H526" i="4"/>
  <c r="H525" i="4"/>
  <c r="H528" i="4"/>
  <c r="H527" i="4"/>
  <c r="H529" i="4"/>
  <c r="H532" i="4"/>
  <c r="H530" i="4"/>
  <c r="H531" i="4"/>
  <c r="H533" i="4"/>
  <c r="H537" i="4"/>
  <c r="H534" i="4"/>
  <c r="H535" i="4"/>
  <c r="H536" i="4"/>
  <c r="H539" i="4"/>
  <c r="H538" i="4"/>
  <c r="H540" i="4"/>
  <c r="H543" i="4"/>
  <c r="H541" i="4"/>
  <c r="H542" i="4"/>
  <c r="H545" i="4"/>
  <c r="H544" i="4"/>
  <c r="H546" i="4"/>
  <c r="H548" i="4"/>
  <c r="H547" i="4"/>
  <c r="H550" i="4"/>
  <c r="H549" i="4"/>
  <c r="H551" i="4"/>
  <c r="H553" i="4"/>
  <c r="H552" i="4"/>
  <c r="H554" i="4"/>
  <c r="H555" i="4"/>
  <c r="H557" i="4"/>
  <c r="H556" i="4"/>
  <c r="H558" i="4"/>
  <c r="H559" i="4"/>
  <c r="H561" i="4"/>
  <c r="H560" i="4"/>
  <c r="H563" i="4"/>
  <c r="H562" i="4"/>
  <c r="H565" i="4"/>
  <c r="H564" i="4"/>
  <c r="H567" i="4"/>
  <c r="H566" i="4"/>
  <c r="H569" i="4"/>
  <c r="H568" i="4"/>
  <c r="H571" i="4"/>
  <c r="H570" i="4"/>
  <c r="H573" i="4"/>
  <c r="H572" i="4"/>
  <c r="H576" i="4"/>
  <c r="H574" i="4"/>
  <c r="H575" i="4"/>
  <c r="H579" i="4"/>
  <c r="H577" i="4"/>
  <c r="H578" i="4"/>
  <c r="H580" i="4"/>
  <c r="H581" i="4"/>
  <c r="H582" i="4"/>
  <c r="H584" i="4"/>
  <c r="H583" i="4"/>
  <c r="H586" i="4"/>
  <c r="H585" i="4"/>
  <c r="H587" i="4"/>
  <c r="H589" i="4"/>
  <c r="H588" i="4"/>
  <c r="H591" i="4"/>
  <c r="H590" i="4"/>
  <c r="H593" i="4"/>
  <c r="H592" i="4"/>
  <c r="H595" i="4"/>
  <c r="H594" i="4"/>
  <c r="H596" i="4"/>
  <c r="H598" i="4"/>
  <c r="H597" i="4"/>
  <c r="H599" i="4"/>
  <c r="H600" i="4"/>
  <c r="H601" i="4"/>
  <c r="H603" i="4"/>
  <c r="H602" i="4"/>
  <c r="H605" i="4"/>
  <c r="H604" i="4"/>
  <c r="H606" i="4"/>
  <c r="H607" i="4"/>
  <c r="H608" i="4"/>
  <c r="H611" i="4"/>
  <c r="H609" i="4"/>
  <c r="H610" i="4"/>
  <c r="H612" i="4"/>
  <c r="H614" i="4"/>
  <c r="H616" i="4"/>
  <c r="H613" i="4"/>
  <c r="H615" i="4"/>
  <c r="H618" i="4"/>
  <c r="H617" i="4"/>
  <c r="H620" i="4"/>
  <c r="H619" i="4"/>
  <c r="H621" i="4"/>
  <c r="H622" i="4"/>
  <c r="H623" i="4"/>
  <c r="H625" i="4"/>
  <c r="H624" i="4"/>
  <c r="H626" i="4"/>
  <c r="H629" i="4"/>
  <c r="H627" i="4"/>
  <c r="H631" i="4"/>
  <c r="H628" i="4"/>
  <c r="H630" i="4"/>
  <c r="H633" i="4"/>
  <c r="H632" i="4"/>
  <c r="H634" i="4"/>
  <c r="H635" i="4"/>
  <c r="H636" i="4"/>
  <c r="H637" i="4"/>
  <c r="H638" i="4"/>
  <c r="H639" i="4"/>
  <c r="H640" i="4"/>
  <c r="H642" i="4"/>
  <c r="H641" i="4"/>
  <c r="H646" i="4"/>
  <c r="H644" i="4"/>
  <c r="H643" i="4"/>
  <c r="H645" i="4"/>
  <c r="H649" i="4"/>
  <c r="H647" i="4"/>
  <c r="H648" i="4"/>
  <c r="H650" i="4"/>
  <c r="H652" i="4"/>
  <c r="H651" i="4"/>
  <c r="H654" i="4"/>
  <c r="H653" i="4"/>
  <c r="H656" i="4"/>
  <c r="H655" i="4"/>
  <c r="H658" i="4"/>
  <c r="H657" i="4"/>
  <c r="H660" i="4"/>
  <c r="H659" i="4"/>
  <c r="H663" i="4"/>
  <c r="H661" i="4"/>
  <c r="H662" i="4"/>
  <c r="H664" i="4"/>
  <c r="H665" i="4"/>
  <c r="H666" i="4"/>
  <c r="H668" i="4"/>
  <c r="H667" i="4"/>
  <c r="H669" i="4"/>
  <c r="H670" i="4"/>
  <c r="H672" i="4"/>
  <c r="H671" i="4"/>
  <c r="H673" i="4"/>
  <c r="H674" i="4"/>
  <c r="H675" i="4"/>
  <c r="H676" i="4"/>
  <c r="H677" i="4"/>
  <c r="H678" i="4"/>
  <c r="H681" i="4"/>
  <c r="H679" i="4"/>
  <c r="H680" i="4"/>
  <c r="H682" i="4"/>
  <c r="H685" i="4"/>
  <c r="H683" i="4"/>
  <c r="H684" i="4"/>
  <c r="H686" i="4"/>
  <c r="H687" i="4"/>
  <c r="H691" i="4"/>
  <c r="H688" i="4"/>
  <c r="H689" i="4"/>
  <c r="H693" i="4"/>
  <c r="H690" i="4"/>
  <c r="H692" i="4"/>
  <c r="H696" i="4"/>
  <c r="H694" i="4"/>
  <c r="H695" i="4"/>
  <c r="H697" i="4"/>
  <c r="H699" i="4"/>
  <c r="H698" i="4"/>
  <c r="H701" i="4"/>
  <c r="H700" i="4"/>
  <c r="H705" i="4"/>
  <c r="H702" i="4"/>
  <c r="H704" i="4"/>
  <c r="H703" i="4"/>
  <c r="H706" i="4"/>
  <c r="H707" i="4"/>
  <c r="H709" i="4"/>
  <c r="H708" i="4"/>
  <c r="H711" i="4"/>
  <c r="H710" i="4"/>
  <c r="H713" i="4"/>
  <c r="H712" i="4"/>
  <c r="H715" i="4"/>
  <c r="H716" i="4"/>
  <c r="H714" i="4"/>
  <c r="H718" i="4"/>
  <c r="H717" i="4"/>
  <c r="H719" i="4"/>
  <c r="H721" i="4"/>
  <c r="H720" i="4"/>
  <c r="H723" i="4"/>
  <c r="H722" i="4"/>
  <c r="H724" i="4"/>
  <c r="H727" i="4"/>
  <c r="H725" i="4"/>
  <c r="H726" i="4"/>
  <c r="H729" i="4"/>
  <c r="H728" i="4"/>
  <c r="H730" i="4"/>
  <c r="H731" i="4"/>
  <c r="H733" i="4"/>
  <c r="H732" i="4"/>
  <c r="H736" i="4"/>
  <c r="H734" i="4"/>
  <c r="H735" i="4"/>
  <c r="H737" i="4"/>
  <c r="H739" i="4"/>
  <c r="H738" i="4"/>
  <c r="H742" i="4"/>
  <c r="H740" i="4"/>
  <c r="H741" i="4"/>
  <c r="H743" i="4"/>
  <c r="H746" i="4"/>
  <c r="H744" i="4"/>
  <c r="H745" i="4"/>
  <c r="H747" i="4"/>
  <c r="H749" i="4"/>
  <c r="H748" i="4"/>
  <c r="H750" i="4"/>
  <c r="H751" i="4"/>
  <c r="H753" i="4"/>
  <c r="H752" i="4"/>
  <c r="H756" i="4"/>
  <c r="H754" i="4"/>
  <c r="H755" i="4"/>
  <c r="H760" i="4"/>
  <c r="H757" i="4"/>
  <c r="H758" i="4"/>
  <c r="H761" i="4"/>
  <c r="H759" i="4"/>
  <c r="H765" i="4"/>
  <c r="H762" i="4"/>
  <c r="H763" i="4"/>
  <c r="H764" i="4"/>
  <c r="H768" i="4"/>
  <c r="H766" i="4"/>
  <c r="H767" i="4"/>
  <c r="H771" i="4"/>
  <c r="H769" i="4"/>
  <c r="H774" i="4"/>
  <c r="H770" i="4"/>
  <c r="H773" i="4"/>
  <c r="H772" i="4"/>
  <c r="H776" i="4"/>
  <c r="H778" i="4"/>
  <c r="H775" i="4"/>
  <c r="H780" i="4"/>
  <c r="H777" i="4"/>
  <c r="H779" i="4"/>
  <c r="H781" i="4"/>
  <c r="H783" i="4"/>
  <c r="H782" i="4"/>
  <c r="H785" i="4"/>
  <c r="H784" i="4"/>
  <c r="H786" i="4"/>
  <c r="H788" i="4"/>
  <c r="H787" i="4"/>
  <c r="H789" i="4"/>
  <c r="H790" i="4"/>
  <c r="H791" i="4"/>
  <c r="H794" i="4"/>
  <c r="H792" i="4"/>
  <c r="H793" i="4"/>
  <c r="H795" i="4"/>
  <c r="H797" i="4"/>
  <c r="H796" i="4"/>
  <c r="H798" i="4"/>
  <c r="H799" i="4"/>
  <c r="H802" i="4"/>
  <c r="H801" i="4"/>
  <c r="H800" i="4"/>
  <c r="H803" i="4"/>
  <c r="H805" i="4"/>
  <c r="H804" i="4"/>
  <c r="H807" i="4"/>
  <c r="H806" i="4"/>
  <c r="H809" i="4"/>
  <c r="H808" i="4"/>
  <c r="H810" i="4"/>
  <c r="H811" i="4"/>
  <c r="H813" i="4"/>
  <c r="H812" i="4"/>
  <c r="H815" i="4"/>
  <c r="H814" i="4"/>
  <c r="H817" i="4"/>
  <c r="H816" i="4"/>
  <c r="H818" i="4"/>
  <c r="H819" i="4"/>
  <c r="H821" i="4"/>
  <c r="H820" i="4"/>
  <c r="H824" i="4"/>
  <c r="H822" i="4"/>
  <c r="H823" i="4"/>
  <c r="H826" i="4"/>
  <c r="H825" i="4"/>
  <c r="H830" i="4"/>
  <c r="H827" i="4"/>
  <c r="H828" i="4"/>
  <c r="H829" i="4"/>
  <c r="H833" i="4"/>
  <c r="H831" i="4"/>
  <c r="H832" i="4"/>
  <c r="H835" i="4"/>
  <c r="H834" i="4"/>
  <c r="H837" i="4"/>
  <c r="H836" i="4"/>
  <c r="H838" i="4"/>
  <c r="H841" i="4"/>
  <c r="H839" i="4"/>
  <c r="H840" i="4"/>
  <c r="H843" i="4"/>
  <c r="H842" i="4"/>
  <c r="H845" i="4"/>
  <c r="H844" i="4"/>
  <c r="H846" i="4"/>
  <c r="H848" i="4"/>
  <c r="H847" i="4"/>
  <c r="H851" i="4"/>
  <c r="H849" i="4"/>
  <c r="H850" i="4"/>
  <c r="H853" i="4"/>
  <c r="H852" i="4"/>
  <c r="H854" i="4"/>
  <c r="H855" i="4"/>
  <c r="H856" i="4"/>
  <c r="H857" i="4"/>
  <c r="H862" i="4"/>
  <c r="H859" i="4"/>
  <c r="H858" i="4"/>
  <c r="H861" i="4"/>
  <c r="H860" i="4"/>
  <c r="H863" i="4"/>
  <c r="H864" i="4"/>
  <c r="H868" i="4"/>
  <c r="H865" i="4"/>
  <c r="H866" i="4"/>
  <c r="H869" i="4"/>
  <c r="H867" i="4"/>
  <c r="H871" i="4"/>
  <c r="H870" i="4"/>
  <c r="H873" i="4"/>
  <c r="H872" i="4"/>
  <c r="H876" i="4"/>
  <c r="H877" i="4"/>
  <c r="H880" i="4"/>
  <c r="H874" i="4"/>
  <c r="H875" i="4"/>
  <c r="H879" i="4"/>
  <c r="H878" i="4"/>
  <c r="H881" i="4"/>
  <c r="H884" i="4"/>
  <c r="H883" i="4"/>
  <c r="H885" i="4"/>
  <c r="H882" i="4"/>
  <c r="H887" i="4"/>
  <c r="H886" i="4"/>
  <c r="H889" i="4"/>
  <c r="H888" i="4"/>
  <c r="H891" i="4"/>
  <c r="H890" i="4"/>
  <c r="H893" i="4"/>
  <c r="H892" i="4"/>
  <c r="H895" i="4"/>
  <c r="H894" i="4"/>
  <c r="H898" i="4"/>
  <c r="H896" i="4"/>
  <c r="H897" i="4"/>
  <c r="H899" i="4"/>
  <c r="H901" i="4"/>
  <c r="H900" i="4"/>
  <c r="H903" i="4"/>
  <c r="H902" i="4"/>
  <c r="H904" i="4"/>
  <c r="H906" i="4"/>
  <c r="H905" i="4"/>
  <c r="H909" i="4"/>
  <c r="H907" i="4"/>
  <c r="H910" i="4"/>
  <c r="H908" i="4"/>
  <c r="H912" i="4"/>
  <c r="H911" i="4"/>
  <c r="H914" i="4"/>
  <c r="H913" i="4"/>
  <c r="H916" i="4"/>
  <c r="H915" i="4"/>
  <c r="H917" i="4"/>
  <c r="H918" i="4"/>
  <c r="H920" i="4"/>
  <c r="H919" i="4"/>
  <c r="H921" i="4"/>
  <c r="H923" i="4"/>
  <c r="H922" i="4"/>
  <c r="H925" i="4"/>
  <c r="H924" i="4"/>
  <c r="H927" i="4"/>
  <c r="H926" i="4"/>
  <c r="H928" i="4"/>
  <c r="H930" i="4"/>
  <c r="H929" i="4"/>
  <c r="H932" i="4"/>
  <c r="H931" i="4"/>
  <c r="H934" i="4"/>
  <c r="H933" i="4"/>
  <c r="H935" i="4"/>
  <c r="H936" i="4"/>
  <c r="H937" i="4"/>
  <c r="H939" i="4"/>
  <c r="H938" i="4"/>
  <c r="H942" i="4"/>
  <c r="H940" i="4"/>
  <c r="H941" i="4"/>
  <c r="H945" i="4"/>
  <c r="H943" i="4"/>
  <c r="H946" i="4"/>
  <c r="H944" i="4"/>
  <c r="H949" i="4"/>
  <c r="H947" i="4"/>
  <c r="H950" i="4"/>
  <c r="H948" i="4"/>
  <c r="H953" i="4"/>
  <c r="H951" i="4"/>
  <c r="H952" i="4"/>
  <c r="H954" i="4"/>
  <c r="H955" i="4"/>
  <c r="H957" i="4"/>
  <c r="H956" i="4"/>
  <c r="H959" i="4"/>
  <c r="H958" i="4"/>
  <c r="H961" i="4"/>
  <c r="H960" i="4"/>
  <c r="H962" i="4"/>
  <c r="H963" i="4"/>
  <c r="H966" i="4"/>
  <c r="H964" i="4"/>
  <c r="H965" i="4"/>
  <c r="H967" i="4"/>
  <c r="H968" i="4"/>
  <c r="H969" i="4"/>
  <c r="H971" i="4"/>
  <c r="H970" i="4"/>
  <c r="H972" i="4"/>
  <c r="H973" i="4"/>
  <c r="H975" i="4"/>
  <c r="H974" i="4"/>
  <c r="H977" i="4"/>
  <c r="H976" i="4"/>
  <c r="H979" i="4"/>
  <c r="H978" i="4"/>
  <c r="H980" i="4"/>
  <c r="H981" i="4"/>
  <c r="H983" i="4"/>
  <c r="H982" i="4"/>
  <c r="H985" i="4"/>
  <c r="H984" i="4"/>
  <c r="H987" i="4"/>
  <c r="H986" i="4"/>
  <c r="H989" i="4"/>
  <c r="H988" i="4"/>
  <c r="H990" i="4"/>
  <c r="H992" i="4"/>
  <c r="H991" i="4"/>
  <c r="H994" i="4"/>
  <c r="H993" i="4"/>
  <c r="H996" i="4"/>
  <c r="H995" i="4"/>
  <c r="H997" i="4"/>
  <c r="H998" i="4"/>
  <c r="H1002" i="4"/>
  <c r="H999" i="4"/>
  <c r="H1000" i="4"/>
  <c r="H1001" i="4"/>
  <c r="H1003" i="4"/>
  <c r="H1005" i="4"/>
  <c r="H1004" i="4"/>
  <c r="H1007" i="4"/>
  <c r="H1006" i="4"/>
  <c r="H1009" i="4"/>
  <c r="H1008" i="4"/>
  <c r="H1012" i="4"/>
  <c r="H1010" i="4"/>
  <c r="H1011" i="4"/>
  <c r="H1013" i="4"/>
  <c r="H1017" i="4"/>
  <c r="H1014" i="4"/>
  <c r="H1016" i="4"/>
  <c r="H1015" i="4"/>
  <c r="H1018" i="4"/>
  <c r="H1020" i="4"/>
  <c r="H1019" i="4"/>
  <c r="H1022" i="4"/>
  <c r="H1021" i="4"/>
  <c r="H1023" i="4"/>
  <c r="H1027" i="4"/>
  <c r="H1025" i="4"/>
  <c r="H1024" i="4"/>
  <c r="H1026" i="4"/>
  <c r="H1028" i="4"/>
  <c r="H1031" i="4"/>
  <c r="H1032" i="4"/>
  <c r="H1029" i="4"/>
  <c r="H1030" i="4"/>
  <c r="H1034" i="4"/>
  <c r="H1033" i="4"/>
  <c r="H1035" i="4"/>
  <c r="H1038" i="4"/>
  <c r="H1036" i="4"/>
  <c r="H1037" i="4"/>
  <c r="H1039" i="4"/>
  <c r="H1040" i="4"/>
  <c r="H1043" i="4"/>
  <c r="H1041" i="4"/>
  <c r="H1042" i="4"/>
  <c r="H1044" i="4"/>
  <c r="H1045" i="4"/>
  <c r="H1046" i="4"/>
  <c r="H1048" i="4"/>
  <c r="H1047" i="4"/>
  <c r="H1050" i="4"/>
  <c r="H1049" i="4"/>
  <c r="H1052" i="4"/>
  <c r="H1051" i="4"/>
  <c r="H1054" i="4"/>
  <c r="H1053" i="4"/>
  <c r="H1055" i="4"/>
  <c r="H1058" i="4"/>
  <c r="H1057" i="4"/>
  <c r="H1056" i="4"/>
  <c r="H1060" i="4"/>
  <c r="H1059" i="4"/>
  <c r="H1062" i="4"/>
  <c r="H1061" i="4"/>
  <c r="H1064" i="4"/>
  <c r="H1063" i="4"/>
  <c r="H1066" i="4"/>
  <c r="H1065" i="4"/>
  <c r="H1069" i="4"/>
  <c r="H1067" i="4"/>
  <c r="H1070" i="4"/>
  <c r="H1068" i="4"/>
  <c r="H1073" i="4"/>
  <c r="H1071" i="4"/>
  <c r="H1072" i="4"/>
  <c r="H1075" i="4"/>
  <c r="H1074" i="4"/>
  <c r="H1077" i="4"/>
  <c r="H1076" i="4"/>
  <c r="H1078" i="4"/>
  <c r="H1080" i="4"/>
  <c r="H1079" i="4"/>
  <c r="H1083" i="4"/>
  <c r="H1081" i="4"/>
  <c r="H1082" i="4"/>
  <c r="H1084" i="4"/>
  <c r="H1085" i="4"/>
  <c r="H1088" i="4"/>
  <c r="H1086" i="4"/>
  <c r="H1089" i="4"/>
  <c r="H1087" i="4"/>
  <c r="H1092" i="4"/>
  <c r="H1090" i="4"/>
  <c r="H1091" i="4"/>
  <c r="H1093" i="4"/>
  <c r="H1096" i="4"/>
  <c r="H1094" i="4"/>
  <c r="H1095" i="4"/>
  <c r="H1097" i="4"/>
  <c r="H1101" i="4"/>
  <c r="H1098" i="4"/>
  <c r="H1103" i="4"/>
  <c r="H1100" i="4"/>
  <c r="H1099" i="4"/>
  <c r="H1102" i="4"/>
  <c r="H1107" i="4"/>
  <c r="H1104" i="4"/>
  <c r="H1105" i="4"/>
  <c r="H1106" i="4"/>
  <c r="H1108" i="4"/>
  <c r="H1110" i="4"/>
  <c r="H1109" i="4"/>
  <c r="H1113" i="4"/>
  <c r="H1111" i="4"/>
  <c r="H1112" i="4"/>
  <c r="H1114" i="4"/>
  <c r="H1116" i="4"/>
  <c r="H1115" i="4"/>
  <c r="H1117" i="4"/>
  <c r="H1118" i="4"/>
  <c r="H1119" i="4"/>
  <c r="H1120" i="4"/>
  <c r="H1123" i="4"/>
  <c r="H1122" i="4"/>
  <c r="H1121" i="4"/>
  <c r="H1126" i="4"/>
  <c r="H1124" i="4"/>
  <c r="H1125" i="4"/>
  <c r="H1128" i="4"/>
  <c r="H1127" i="4"/>
  <c r="H1129" i="4"/>
  <c r="H1130" i="4"/>
  <c r="H1133" i="4"/>
  <c r="H1131" i="4"/>
  <c r="H1134" i="4"/>
  <c r="H1132" i="4"/>
  <c r="H1135" i="4"/>
  <c r="H1137" i="4"/>
  <c r="H1136" i="4"/>
  <c r="H1139" i="4"/>
  <c r="H1138" i="4"/>
  <c r="H1140" i="4"/>
  <c r="H1143" i="4"/>
  <c r="H1141" i="4"/>
  <c r="H1142" i="4"/>
  <c r="H1144" i="4"/>
  <c r="H1145" i="4"/>
  <c r="H1150" i="4"/>
  <c r="H1146" i="4"/>
  <c r="H1148" i="4"/>
  <c r="H1147" i="4"/>
  <c r="H1151" i="4"/>
  <c r="H1149" i="4"/>
  <c r="H1152" i="4"/>
  <c r="H1154" i="4"/>
  <c r="H1153" i="4"/>
  <c r="H1156" i="4"/>
  <c r="H1155" i="4"/>
  <c r="H1158" i="4"/>
  <c r="H1157" i="4"/>
  <c r="H1161" i="4"/>
  <c r="H1159" i="4"/>
  <c r="H1160" i="4"/>
  <c r="H1164" i="4"/>
  <c r="H1162" i="4"/>
  <c r="H1165" i="4"/>
  <c r="H1163" i="4"/>
  <c r="H1167" i="4"/>
  <c r="H1166" i="4"/>
  <c r="H1170" i="4"/>
  <c r="H1169" i="4"/>
  <c r="H1168" i="4"/>
  <c r="H1173" i="4"/>
  <c r="H1171" i="4"/>
  <c r="H1174" i="4"/>
  <c r="H1172" i="4"/>
  <c r="H1177" i="4"/>
  <c r="H1175" i="4"/>
  <c r="H1176" i="4"/>
  <c r="H1178" i="4"/>
  <c r="H1180" i="4"/>
  <c r="H1179" i="4"/>
  <c r="H1181" i="4"/>
  <c r="H1183" i="4"/>
  <c r="H1182" i="4"/>
  <c r="H1185" i="4"/>
  <c r="H1184" i="4"/>
  <c r="H1186" i="4"/>
  <c r="H1188" i="4"/>
  <c r="H1187" i="4"/>
  <c r="H1189" i="4"/>
  <c r="H1191" i="4"/>
  <c r="H1190" i="4"/>
  <c r="H1194" i="4"/>
  <c r="H1192" i="4"/>
  <c r="H1193" i="4"/>
  <c r="H1196" i="4"/>
  <c r="H1195" i="4"/>
  <c r="H1198" i="4"/>
  <c r="H1197" i="4"/>
  <c r="H1200" i="4"/>
  <c r="H1199" i="4"/>
  <c r="H1202" i="4"/>
  <c r="H1201" i="4"/>
  <c r="H1205" i="4"/>
  <c r="H1203" i="4"/>
  <c r="H1204" i="4"/>
  <c r="H1208" i="4"/>
  <c r="H1206" i="4"/>
  <c r="H1207" i="4"/>
  <c r="H1209" i="4"/>
  <c r="H1212" i="4"/>
  <c r="H1210" i="4"/>
  <c r="H1211" i="4"/>
  <c r="H1215" i="4"/>
  <c r="H1213" i="4"/>
  <c r="H1214" i="4"/>
  <c r="I2" i="4" l="1"/>
</calcChain>
</file>

<file path=xl/sharedStrings.xml><?xml version="1.0" encoding="utf-8"?>
<sst xmlns="http://schemas.openxmlformats.org/spreadsheetml/2006/main" count="10396" uniqueCount="5288">
  <si>
    <t>General Information</t>
  </si>
  <si>
    <t>Purpose of mission</t>
  </si>
  <si>
    <t>BU</t>
  </si>
  <si>
    <t>Visa</t>
  </si>
  <si>
    <t>Travel Tickets</t>
  </si>
  <si>
    <t>Hotel Reservation</t>
  </si>
  <si>
    <t xml:space="preserve">Please tick for the required facilities in the boxes shown above </t>
  </si>
  <si>
    <t>Tickets’ Details</t>
  </si>
  <si>
    <t>No.</t>
  </si>
  <si>
    <t>Required Travel Dates</t>
  </si>
  <si>
    <t>Air Line</t>
  </si>
  <si>
    <t>Class</t>
  </si>
  <si>
    <t>To</t>
  </si>
  <si>
    <t>Hotel Name</t>
  </si>
  <si>
    <t>Period of stay</t>
  </si>
  <si>
    <t>Room</t>
  </si>
  <si>
    <t>Type</t>
  </si>
  <si>
    <t>Rate</t>
  </si>
  <si>
    <t>Hotel Address</t>
  </si>
  <si>
    <t>From</t>
  </si>
  <si>
    <t>Attachments (Please attach the following)</t>
  </si>
  <si>
    <t>Copy of the application of training course and/or seminar (if any)                  (     )</t>
  </si>
  <si>
    <t xml:space="preserve">Copy of anyother supporting documents for the travel                                    (     ) </t>
  </si>
  <si>
    <t>Project/Opportunity Travel Approvals</t>
  </si>
  <si>
    <t>Requested By:</t>
  </si>
  <si>
    <t>Approved By:</t>
  </si>
  <si>
    <t xml:space="preserve">Direct Manager </t>
  </si>
  <si>
    <r>
      <t>Project Manager/</t>
    </r>
    <r>
      <rPr>
        <sz val="12"/>
        <color theme="1"/>
        <rFont val="Times New Roman"/>
        <family val="1"/>
      </rPr>
      <t xml:space="preserve"> </t>
    </r>
    <r>
      <rPr>
        <b/>
        <sz val="9"/>
        <color theme="1"/>
        <rFont val="Microsoft Sans Serif"/>
        <family val="2"/>
      </rPr>
      <t>Country Manager</t>
    </r>
  </si>
  <si>
    <t>Name:</t>
  </si>
  <si>
    <t>Date:</t>
  </si>
  <si>
    <t>Signature:</t>
  </si>
  <si>
    <t>Non-Project Travel Approvals</t>
  </si>
  <si>
    <t>Direct Manager</t>
  </si>
  <si>
    <t>CXO/ LoB/Department Manager</t>
  </si>
  <si>
    <t xml:space="preserve">Signature: </t>
  </si>
  <si>
    <t>Feedback</t>
  </si>
  <si>
    <t>Meet &amp; Assist in Egypt</t>
  </si>
  <si>
    <t>Obtained on:</t>
  </si>
  <si>
    <t>Issued:</t>
  </si>
  <si>
    <t>Reserved on:</t>
  </si>
  <si>
    <t>Admin. Note sent on:</t>
  </si>
  <si>
    <t>Received by:</t>
  </si>
  <si>
    <t>By:</t>
  </si>
  <si>
    <t>Travel Coordiantion</t>
  </si>
  <si>
    <r>
      <t xml:space="preserve">Received by:  </t>
    </r>
    <r>
      <rPr>
        <b/>
        <sz val="9"/>
        <color theme="1"/>
        <rFont val="Microsoft Sans Serif"/>
        <family val="2"/>
      </rPr>
      <t xml:space="preserve">                                                                                       </t>
    </r>
    <r>
      <rPr>
        <sz val="9"/>
        <color theme="1"/>
        <rFont val="Microsoft Sans Serif"/>
        <family val="2"/>
      </rPr>
      <t xml:space="preserve">   Date:</t>
    </r>
  </si>
  <si>
    <r>
      <t xml:space="preserve">Confirmed by:  </t>
    </r>
    <r>
      <rPr>
        <b/>
        <sz val="9"/>
        <color theme="1"/>
        <rFont val="Microsoft Sans Serif"/>
        <family val="2"/>
      </rPr>
      <t xml:space="preserve">                                                                                    </t>
    </r>
    <r>
      <rPr>
        <sz val="9"/>
        <color theme="1"/>
        <rFont val="Microsoft Sans Serif"/>
        <family val="2"/>
      </rPr>
      <t xml:space="preserve">     Date:</t>
    </r>
  </si>
  <si>
    <t>Meet and Assist in Egypt</t>
  </si>
  <si>
    <t>Employee ID:</t>
  </si>
  <si>
    <t>Employee Name</t>
  </si>
  <si>
    <t>Department</t>
  </si>
  <si>
    <t>Request for Travel Facilities</t>
  </si>
  <si>
    <t>HCD</t>
  </si>
  <si>
    <t>Issue.Revision:</t>
  </si>
  <si>
    <t>Document No</t>
  </si>
  <si>
    <t>GS_FOR_92</t>
  </si>
  <si>
    <t>Rev.Date:</t>
  </si>
  <si>
    <t>Issue.Date:</t>
  </si>
  <si>
    <t>Page</t>
  </si>
  <si>
    <t>1 of 1</t>
  </si>
  <si>
    <t xml:space="preserve">Ttile: </t>
  </si>
  <si>
    <t>From:</t>
  </si>
  <si>
    <t>To:</t>
  </si>
  <si>
    <t xml:space="preserve">Date: </t>
  </si>
  <si>
    <t xml:space="preserve">Name: </t>
  </si>
  <si>
    <t>29-10-2019</t>
  </si>
  <si>
    <t>Name</t>
  </si>
  <si>
    <t>ID</t>
  </si>
  <si>
    <t>Mail</t>
  </si>
  <si>
    <t>Job Title</t>
  </si>
  <si>
    <t>Aalaa Ahmed</t>
  </si>
  <si>
    <t>aalaa.ahmed@gizasystems.com</t>
  </si>
  <si>
    <t>Pre-sales Team leader</t>
  </si>
  <si>
    <t>Smart Buildings</t>
  </si>
  <si>
    <t>Abbas Al Brahim</t>
  </si>
  <si>
    <t>unknown</t>
  </si>
  <si>
    <t>abbas.brahim@gizasystems.com</t>
  </si>
  <si>
    <t>Chairman</t>
  </si>
  <si>
    <t>CXO</t>
  </si>
  <si>
    <t>Abdallah Nabil Mahmoud</t>
  </si>
  <si>
    <t>abdallah.nabil@gizasystems.com</t>
  </si>
  <si>
    <t>Sales Account Manager</t>
  </si>
  <si>
    <t>ENAL</t>
  </si>
  <si>
    <t>Abdel Rahman Elfeky</t>
  </si>
  <si>
    <t>abdelrhman.elfky@gizasystems.com</t>
  </si>
  <si>
    <t>Project Manager</t>
  </si>
  <si>
    <t>Process Control</t>
  </si>
  <si>
    <t>Abdelaziz Abdelfatah</t>
  </si>
  <si>
    <t>abdelaziz.abdelfatah@gizasystems.com</t>
  </si>
  <si>
    <t>EBS Development</t>
  </si>
  <si>
    <t>Enterprise Business Solutions</t>
  </si>
  <si>
    <t>abdelaziz antar</t>
  </si>
  <si>
    <t>abdelaziz.antar@gizasystems.com</t>
  </si>
  <si>
    <t>T&amp;D Projects Consultant</t>
  </si>
  <si>
    <t>Transmission &amp; Distribution</t>
  </si>
  <si>
    <t>Abdelfattah Mostafa</t>
  </si>
  <si>
    <t>abdelfattah.mostafa@gizasystems.com</t>
  </si>
  <si>
    <t>Project Engineer</t>
  </si>
  <si>
    <t>SCADA</t>
  </si>
  <si>
    <t>Abdelgawad Mohamed</t>
  </si>
  <si>
    <t>abdelgawad.mohamed@gizasystems.com</t>
  </si>
  <si>
    <t>Technical Office Engineer</t>
  </si>
  <si>
    <t>Abdelhamed Alkady</t>
  </si>
  <si>
    <t>abdelhamed.alkady@gizasystems.com</t>
  </si>
  <si>
    <t>Project Accountant</t>
  </si>
  <si>
    <t>Abdelkareem Ahmed</t>
  </si>
  <si>
    <t>abdelkareem.ahmed@gizasystems.com</t>
  </si>
  <si>
    <t>Junior System Engineer</t>
  </si>
  <si>
    <t>Abdelmonem Abomoslim</t>
  </si>
  <si>
    <t>abdelmonem.abomoslim@gizasystems.com</t>
  </si>
  <si>
    <t>Collaboration Team Leader</t>
  </si>
  <si>
    <t>Technology Infrastructure</t>
  </si>
  <si>
    <t>AbdelRahim Sayed</t>
  </si>
  <si>
    <t>abdelrahim.sayed@gizasystems.com</t>
  </si>
  <si>
    <t>Senior Network Engineer</t>
  </si>
  <si>
    <t>Abdelrahman Afifi</t>
  </si>
  <si>
    <t>abdelrahman.afifi@gizasystems.com</t>
  </si>
  <si>
    <t>Senior Mechanical Engineer</t>
  </si>
  <si>
    <t>GSEC</t>
  </si>
  <si>
    <t>Abdelrahman Ahmed</t>
  </si>
  <si>
    <t>abdelrahman.ahmed@gizasystems.com</t>
  </si>
  <si>
    <t>MEP Drafts Man</t>
  </si>
  <si>
    <t>Abdelrahman alaa</t>
  </si>
  <si>
    <t>abdelrahman.alaa@gizasystems.com</t>
  </si>
  <si>
    <t>Technical Engineer</t>
  </si>
  <si>
    <t>Abdelrahman aldokhayel</t>
  </si>
  <si>
    <t>Abdelrahmanaldokhayel@gizasystems.com</t>
  </si>
  <si>
    <t>Abdelrahman AlMatairi</t>
  </si>
  <si>
    <t>AbdelrahmanAlMatairi@gizasystems.com</t>
  </si>
  <si>
    <t>Abdelrahman Bahier</t>
  </si>
  <si>
    <t>abdelrahman.bahier@gizasystems.com</t>
  </si>
  <si>
    <t>Junior Technical Engineer</t>
  </si>
  <si>
    <t>Abdelrahman Elbieh</t>
  </si>
  <si>
    <t>abdelrahman.elbieh@gizasystems.com</t>
  </si>
  <si>
    <t>S/W Developer</t>
  </si>
  <si>
    <t>Abdelrahman Elshankikiry</t>
  </si>
  <si>
    <t>abdelrahman.elshankikiry@gizasystems.com</t>
  </si>
  <si>
    <t>Abdelrahman Mahmoud</t>
  </si>
  <si>
    <t>abdelrahman.mahmoud@gizasystems.com</t>
  </si>
  <si>
    <t>Abdelrahman Marei</t>
  </si>
  <si>
    <t>abdelrahman.marei@gizasystems.com</t>
  </si>
  <si>
    <t>Giza Arabia</t>
  </si>
  <si>
    <t>Abdelrahman Mohamed</t>
  </si>
  <si>
    <t>abdelrahman.mohamed@gizasystems.com</t>
  </si>
  <si>
    <t>Accountant</t>
  </si>
  <si>
    <t>Abdelrahman Sayed</t>
  </si>
  <si>
    <t>abdelrahman.sayed@gizasystems.com</t>
  </si>
  <si>
    <t>Mechanical Engineer</t>
  </si>
  <si>
    <t>Abdelwahab wakil</t>
  </si>
  <si>
    <t>awahab.wakil@gizasystems.com</t>
  </si>
  <si>
    <t>Senior Technical Office Engineer</t>
  </si>
  <si>
    <t>Abdul Qader</t>
  </si>
  <si>
    <t>abdul.qader@gizasystems.com</t>
  </si>
  <si>
    <t>Sales Manager</t>
  </si>
  <si>
    <t>WECA</t>
  </si>
  <si>
    <t>Abdul razak</t>
  </si>
  <si>
    <t>abdulrazak@gizasystems.com</t>
  </si>
  <si>
    <t>Abdulaziz Al-Owini</t>
  </si>
  <si>
    <t>abdulaziz.alowaini@gizasystems.com</t>
  </si>
  <si>
    <t>IT Specialist</t>
  </si>
  <si>
    <t>AbdulKareem Alshangity</t>
  </si>
  <si>
    <t>AbdulKareemAlshangity@gizasystems.com</t>
  </si>
  <si>
    <t>Abdullah AlBargy</t>
  </si>
  <si>
    <t>AbdullahAlBargy@gizasystems.com</t>
  </si>
  <si>
    <t>Abdullah Alhammadi</t>
  </si>
  <si>
    <t>abdullah.alhammadi@gizasystems.com</t>
  </si>
  <si>
    <t>Abdullah AlMotary</t>
  </si>
  <si>
    <t>AbdullahAlMotary@gizasystems.com</t>
  </si>
  <si>
    <t>Abdulmajeed AlShuaeer</t>
  </si>
  <si>
    <t>abdulmajeed.alshuaeer@gizasystems.com</t>
  </si>
  <si>
    <t>Sales Coordinator</t>
  </si>
  <si>
    <t>Abdulmohsen Soliman</t>
  </si>
  <si>
    <t>abdulmohsen.soliman@gizasystems.com</t>
  </si>
  <si>
    <t>Admin Specialist</t>
  </si>
  <si>
    <t>Abdulrahman Keshta</t>
  </si>
  <si>
    <t>GA1651</t>
  </si>
  <si>
    <t>abdulrahman.keshta@gizasystems.com</t>
  </si>
  <si>
    <t>Abdulrahman Mosalem</t>
  </si>
  <si>
    <t>AbdulrahmanMosalem@gizasystems.com</t>
  </si>
  <si>
    <t>Abeer ElDeeb</t>
  </si>
  <si>
    <t>abeer.eldeeb@gizasystems.com</t>
  </si>
  <si>
    <t>Data Controller</t>
  </si>
  <si>
    <t>GSEF</t>
  </si>
  <si>
    <t>Abobakr Mahmoud</t>
  </si>
  <si>
    <t>abobakr.mahmoud@gizasystems.com</t>
  </si>
  <si>
    <t>Senior Draftsman</t>
  </si>
  <si>
    <t>Aboelhassan Ali</t>
  </si>
  <si>
    <t>aboelhassan.ali@gizasystems.com</t>
  </si>
  <si>
    <t>Collector</t>
  </si>
  <si>
    <t>Finance</t>
  </si>
  <si>
    <t>Abu bakr Ragab</t>
  </si>
  <si>
    <t>abubakr.ragab@gizasystems.com</t>
  </si>
  <si>
    <t>System Engineer</t>
  </si>
  <si>
    <t>AcceSS7</t>
  </si>
  <si>
    <t>AcceSS7@gizasystems.com</t>
  </si>
  <si>
    <t>Acronis Centralized Backup</t>
  </si>
  <si>
    <t>AcronisCentralizedBackup@gizasystems.com</t>
  </si>
  <si>
    <t>Adaay</t>
  </si>
  <si>
    <t>adaay@gizasystems.com</t>
  </si>
  <si>
    <t>Adaay QM</t>
  </si>
  <si>
    <t>adaayqm@gizasystems.com</t>
  </si>
  <si>
    <t>Adel Ibrahim Mohamed</t>
  </si>
  <si>
    <t>adel.ebrahem@gizasystems.com</t>
  </si>
  <si>
    <t>Collectors Supervisor</t>
  </si>
  <si>
    <t>Adel Masoud</t>
  </si>
  <si>
    <t>adel.masoud@gizasystems.com</t>
  </si>
  <si>
    <t>Purchasing &amp; Logistices Manager WECA</t>
  </si>
  <si>
    <t>Procurement</t>
  </si>
  <si>
    <t>Adham Mikewy</t>
  </si>
  <si>
    <t>adham.mikewy@gizasystems.com</t>
  </si>
  <si>
    <t>admin</t>
  </si>
  <si>
    <t>admin@gizasystems.com</t>
  </si>
  <si>
    <t>IT</t>
  </si>
  <si>
    <t>Admin team</t>
  </si>
  <si>
    <t>Adminteam@gizasystems.com</t>
  </si>
  <si>
    <t>AEE</t>
  </si>
  <si>
    <t>aee@gizasystems.com</t>
  </si>
  <si>
    <t>Africa</t>
  </si>
  <si>
    <t>africa@gizasystems.com</t>
  </si>
  <si>
    <t>Ahmad ElRashedy</t>
  </si>
  <si>
    <t>ahmad.elrashedy@gizasystems.com</t>
  </si>
  <si>
    <t>Site Engineer</t>
  </si>
  <si>
    <t>Ahmad El-Samanoudy</t>
  </si>
  <si>
    <t>ahmad.el-samanoudy@gizasystems.com</t>
  </si>
  <si>
    <t>Maintenance Manager</t>
  </si>
  <si>
    <t>Facility - Building</t>
  </si>
  <si>
    <t>Ahmad ElSayed</t>
  </si>
  <si>
    <t>ahmad.elsayed@gizasystems.com</t>
  </si>
  <si>
    <t>Senior Presales Consultant</t>
  </si>
  <si>
    <t>Ahmad Hegazy</t>
  </si>
  <si>
    <t>ahmad.hegazy@gizasystems.com</t>
  </si>
  <si>
    <t>Senior Software Developer (Outsource)</t>
  </si>
  <si>
    <t>Ahmad M Elsayed</t>
  </si>
  <si>
    <t>ahmadm.elsayed@gizasystems.com</t>
  </si>
  <si>
    <t>Ahmad M. Abd ElHamid</t>
  </si>
  <si>
    <t>ahmad.mohamad@gizasystems.com</t>
  </si>
  <si>
    <t>Senior Developer</t>
  </si>
  <si>
    <t>Ahmed Abdel Gawad</t>
  </si>
  <si>
    <t>ahmed.abdelgawad@gizasystems.com</t>
  </si>
  <si>
    <t>Ahmed AbdelAzim</t>
  </si>
  <si>
    <t>ahmed.azim@gizasystems.com</t>
  </si>
  <si>
    <t>Senior Account Manager - Utilities</t>
  </si>
  <si>
    <t>Ahmed Abdelazim Abdelfattah</t>
  </si>
  <si>
    <t>ahmed.abdelfattah@gizasystems.com</t>
  </si>
  <si>
    <t>Senior Bidding Engineer</t>
  </si>
  <si>
    <t>Ahmed Abdelaziz</t>
  </si>
  <si>
    <t>ahmed.abdelaziz@gizasystems.com</t>
  </si>
  <si>
    <t>Senior Presales Engineer</t>
  </si>
  <si>
    <t>Ahmed Abdelbadee</t>
  </si>
  <si>
    <t>ahmed.abdelbadee@gizasystems.com</t>
  </si>
  <si>
    <t>Software Develper</t>
  </si>
  <si>
    <t>Ahmed Abdelbary</t>
  </si>
  <si>
    <t>ahmed.abdelbary@gizasystems.com</t>
  </si>
  <si>
    <t>Presales Engineer</t>
  </si>
  <si>
    <t>Ahmed Abdelgwad</t>
  </si>
  <si>
    <t>ahmed.abdelgwad@gizasystems.com</t>
  </si>
  <si>
    <t>Ahmed Abdelhaleem</t>
  </si>
  <si>
    <t>ahmed.abdelhaleem@gizasystems.com</t>
  </si>
  <si>
    <t>Ahmed Abdelhamid</t>
  </si>
  <si>
    <t>ahmed.abdelhamid@gizasystems.com</t>
  </si>
  <si>
    <t>Site Manager</t>
  </si>
  <si>
    <t>Ahmed AbdelHamid Hussein</t>
  </si>
  <si>
    <t>ahmed.hamid@gizasystems.com</t>
  </si>
  <si>
    <t>Ahmed Abdellatif</t>
  </si>
  <si>
    <t>ahmed.abdellatif@gizasystems.com</t>
  </si>
  <si>
    <t>Fab Lab Specialist</t>
  </si>
  <si>
    <t>Ahmed Abdelmegeed</t>
  </si>
  <si>
    <t>ahmed.abdelmegeed@gizasystems.com</t>
  </si>
  <si>
    <t>Ahmed Abdelmoneim</t>
  </si>
  <si>
    <t>ahmed.abdelmoneim@gizasystems.com</t>
  </si>
  <si>
    <t>Head Of Project Management</t>
  </si>
  <si>
    <t>Ahmed Abdelnasser</t>
  </si>
  <si>
    <t>ahmed.abdelnasser@gizasystems.com</t>
  </si>
  <si>
    <t>Ahmed Adel Abdul Razek</t>
  </si>
  <si>
    <t>ahmed.adel@gizasystems.com</t>
  </si>
  <si>
    <t>Senior Mintenance Engineer</t>
  </si>
  <si>
    <t>Ahmed Ahmed</t>
  </si>
  <si>
    <t>ahmed.ahmed@gizasystems.com</t>
  </si>
  <si>
    <t>Collector A/R</t>
  </si>
  <si>
    <t>Ahmed Al Shehri</t>
  </si>
  <si>
    <t>ahmed.alshehri@gizasystems.com</t>
  </si>
  <si>
    <t>Ahmed Ali</t>
  </si>
  <si>
    <t>ahmed.ali@gizasystems.com</t>
  </si>
  <si>
    <t>Ahmed Ali Abdelrazik</t>
  </si>
  <si>
    <t>ahmed.abdelrazik@gizasystems.com</t>
  </si>
  <si>
    <t>Account Manager Oil &amp; Gas</t>
  </si>
  <si>
    <t>Ahmed alshahri</t>
  </si>
  <si>
    <t>Ahmedalshahri@gizasystems.com</t>
  </si>
  <si>
    <t>Ahmed Amer</t>
  </si>
  <si>
    <t>ahmed.amer@gizasystems.com</t>
  </si>
  <si>
    <t>Software Developer (Outsourcing)</t>
  </si>
  <si>
    <t>Ahmed Ashraf</t>
  </si>
  <si>
    <t>ahmed.ashraf@gizasystems.com</t>
  </si>
  <si>
    <t>Ahmed Ashraf Ahmed Omran</t>
  </si>
  <si>
    <t>ahmed.omran@gizasystems.com</t>
  </si>
  <si>
    <t>Systems Engineer</t>
  </si>
  <si>
    <t>Ahmed Atef</t>
  </si>
  <si>
    <t>ahmed.atef@gizasystems.com</t>
  </si>
  <si>
    <t>Technical Team Leader</t>
  </si>
  <si>
    <t>Ahmed Attia</t>
  </si>
  <si>
    <t>ahmed.attia@gizasystems.com</t>
  </si>
  <si>
    <t>Ahmed Atya</t>
  </si>
  <si>
    <t>ahmed.atya@gizasystems.com</t>
  </si>
  <si>
    <t>Ahmed Awad</t>
  </si>
  <si>
    <t>ahmed.awad@gizasystems.com</t>
  </si>
  <si>
    <t>Talent Acquisition Specialist</t>
  </si>
  <si>
    <t>Ahmed Badr</t>
  </si>
  <si>
    <t>ahmed.badr@gizasystems.com</t>
  </si>
  <si>
    <t>Ahmed Daif</t>
  </si>
  <si>
    <t>ahmed.daif@gizasystems.com</t>
  </si>
  <si>
    <t>OSS Engineer</t>
  </si>
  <si>
    <t>Ahmed Daify</t>
  </si>
  <si>
    <t>ahmed.daify@gizasystems.com</t>
  </si>
  <si>
    <t>Giza Systems &amp; Distribution</t>
  </si>
  <si>
    <t>Ahmed Darweesh</t>
  </si>
  <si>
    <t>ahmed.darwish@gizasystems.com</t>
  </si>
  <si>
    <t>Applications Engineer</t>
  </si>
  <si>
    <t>Ahmed Dawey</t>
  </si>
  <si>
    <t>ahmed.dawey@gizasystems.com</t>
  </si>
  <si>
    <t>Ahmed Doghish</t>
  </si>
  <si>
    <t>ahmed.doghish@gizasystems.com</t>
  </si>
  <si>
    <t>IT Development Lead</t>
  </si>
  <si>
    <t>Ahmed Eid</t>
  </si>
  <si>
    <t>ahmed.eid@gizasystems.com</t>
  </si>
  <si>
    <t>Senior mechanical Engineer</t>
  </si>
  <si>
    <t>Ahmed El Gamal</t>
  </si>
  <si>
    <t>ahmed.elgamal@gizasystems.com</t>
  </si>
  <si>
    <t>Senior Store Keeper</t>
  </si>
  <si>
    <t>Ahmed El Gazzar</t>
  </si>
  <si>
    <t>ahmed.elgazzar@gizasystems.com</t>
  </si>
  <si>
    <t>Technical Procurement Manager</t>
  </si>
  <si>
    <t>Ahmed El Mekkawy</t>
  </si>
  <si>
    <t>ahmed.mekkawy@gizasystems.com</t>
  </si>
  <si>
    <t>Installation and Maintance Manager</t>
  </si>
  <si>
    <t>Ahmed El shehry</t>
  </si>
  <si>
    <t>ahmed.elshehry@gizasystems.com</t>
  </si>
  <si>
    <t>Senior Application Management Engineer</t>
  </si>
  <si>
    <t>Ahmed Elbakary</t>
  </si>
  <si>
    <t>ahmed.elbakary@gizasystems.com</t>
  </si>
  <si>
    <t>Ahmed ElBeshir</t>
  </si>
  <si>
    <t>ahmed.elbeshir@gizasystems.com</t>
  </si>
  <si>
    <t>Ahmed Eldawy</t>
  </si>
  <si>
    <t>ahmed.eldawy@gizasystems.com</t>
  </si>
  <si>
    <t>Ahmed Eldeen</t>
  </si>
  <si>
    <t>ahmed.eldeen@gizasystems.com</t>
  </si>
  <si>
    <t>EBS - Testing</t>
  </si>
  <si>
    <t>Ahmed Eldesokey</t>
  </si>
  <si>
    <t>ahmed.eldesokey@gizasystems.com</t>
  </si>
  <si>
    <t>Senior Quality Assurance Specialist</t>
  </si>
  <si>
    <t>CAO</t>
  </si>
  <si>
    <t>Ahmed Elghandor</t>
  </si>
  <si>
    <t>ahmed.elghandor@gizasystems.com</t>
  </si>
  <si>
    <t>Enterprise Buisness Solutions</t>
  </si>
  <si>
    <t>Ahmed ElKhaberi</t>
  </si>
  <si>
    <t>ahmed.elkhaberi@gizasystems.com</t>
  </si>
  <si>
    <t>Ahmed Ellaithy</t>
  </si>
  <si>
    <t>ahmed.ellaithy@gizasystems.com</t>
  </si>
  <si>
    <t>Senior Presales</t>
  </si>
  <si>
    <t>Ahmed Elmoghazy</t>
  </si>
  <si>
    <t>ahmed.elmoghazy@gizasystems.com</t>
  </si>
  <si>
    <t>Country Finance Manager</t>
  </si>
  <si>
    <t>Ahmed El-Naggar</t>
  </si>
  <si>
    <t>ahmed.elnaggar@gizasystems.com</t>
  </si>
  <si>
    <t>Telecom Sales Manager</t>
  </si>
  <si>
    <t>Sales</t>
  </si>
  <si>
    <t>Ahmed Elsayed</t>
  </si>
  <si>
    <t>ahmed.elsayed@gizasystems.com</t>
  </si>
  <si>
    <t>Ahmed Elsayed Goher</t>
  </si>
  <si>
    <t>ahmed.goher@gizasystems.com</t>
  </si>
  <si>
    <t>Technical Architect</t>
  </si>
  <si>
    <t>Ahmed El-Seifi</t>
  </si>
  <si>
    <t>ahmed.elseifi@gizasystems.com</t>
  </si>
  <si>
    <t>Ahmed ElSherif</t>
  </si>
  <si>
    <t>ahmed.elsherif@gizasystems.com</t>
  </si>
  <si>
    <t>Solutions Implementation Manager</t>
  </si>
  <si>
    <t>Ahmed Elswesy</t>
  </si>
  <si>
    <t>ahmed.elswesy@gizasystems.com</t>
  </si>
  <si>
    <t>Testing</t>
  </si>
  <si>
    <t>Ahmed Emad</t>
  </si>
  <si>
    <t>ahmed.emad@gizasystems.com</t>
  </si>
  <si>
    <t>Ahmed Ezzat</t>
  </si>
  <si>
    <t>ahmed.ezzat@gizasystems.com</t>
  </si>
  <si>
    <t>Ahmed Fadel</t>
  </si>
  <si>
    <t>ahmed.fadel@gizasystems.com</t>
  </si>
  <si>
    <t>Junior Systems Engineer</t>
  </si>
  <si>
    <t>Ahmed Farid</t>
  </si>
  <si>
    <t>ahmed.farid@gizasystems.com</t>
  </si>
  <si>
    <t>Application Managment Engineer</t>
  </si>
  <si>
    <t>Ahmed Farouk Moustafa</t>
  </si>
  <si>
    <t>ahmed.farouk@gizasystems.com</t>
  </si>
  <si>
    <t>Ahmed Fathy</t>
  </si>
  <si>
    <t>ahmed.fathy@gizasystems.com</t>
  </si>
  <si>
    <t>Ahmed Fayek</t>
  </si>
  <si>
    <t>ahmed.fayek@gizasystems.com</t>
  </si>
  <si>
    <t>Software Developer</t>
  </si>
  <si>
    <t>Ahmed Fouad Elsaid</t>
  </si>
  <si>
    <t>ahmed.elsaid@gizasystems.com</t>
  </si>
  <si>
    <t>Ahmed Fouda</t>
  </si>
  <si>
    <t>ahmed.fouda@gizasystems.com</t>
  </si>
  <si>
    <t>Accounting Manager</t>
  </si>
  <si>
    <t>ahmed g mohamed</t>
  </si>
  <si>
    <t>ahmed.g.mohammed@gizasystems.com</t>
  </si>
  <si>
    <t>Ahmed Galal</t>
  </si>
  <si>
    <t>ahmed.galal@gizasystems.com</t>
  </si>
  <si>
    <t>Ahmed Gamal AbdelRazek</t>
  </si>
  <si>
    <t>ahmed.abdelrazek@gizasystems.com</t>
  </si>
  <si>
    <t>Maintance Engineer</t>
  </si>
  <si>
    <t>Ahmed Gamal Moawad</t>
  </si>
  <si>
    <t>ahmed.moawad@gizasystems.com</t>
  </si>
  <si>
    <t>Application Management Engineer</t>
  </si>
  <si>
    <t>Ahmed Gamil</t>
  </si>
  <si>
    <t>ahmed.gamil@gizasystems.com</t>
  </si>
  <si>
    <t>Data Center Engineer</t>
  </si>
  <si>
    <t>Ahmed Gomaa</t>
  </si>
  <si>
    <t>ahmed.gomaa@gizasystems.com</t>
  </si>
  <si>
    <t>Ahmed Hamdy Abdelgany</t>
  </si>
  <si>
    <t>ahmed.abdelgany@gizasystems.com</t>
  </si>
  <si>
    <t>Ahmed Hamdy Khalil</t>
  </si>
  <si>
    <t>GA1604</t>
  </si>
  <si>
    <t>ahmed.hamdy@gizasystems.com</t>
  </si>
  <si>
    <t>Senior Technical Engineer</t>
  </si>
  <si>
    <t>Ahmed Hameed</t>
  </si>
  <si>
    <t>ahmed.hameed@gizasystems.com</t>
  </si>
  <si>
    <t>Regional Operation Manager (ENAL and WECA)</t>
  </si>
  <si>
    <t>Ahmed Hani Saad</t>
  </si>
  <si>
    <t>ahmed.hani@gizasystems.com</t>
  </si>
  <si>
    <t>Presales Team Leader</t>
  </si>
  <si>
    <t>Ahmed Hany</t>
  </si>
  <si>
    <t>ahmed.hany@gizasystems.com</t>
  </si>
  <si>
    <t>Ahmed Hashem</t>
  </si>
  <si>
    <t>ahmed.hashem@gizasystems.com</t>
  </si>
  <si>
    <t>Ahmed Hassan Attia</t>
  </si>
  <si>
    <t>ahmed.hassan@gizasystems.com</t>
  </si>
  <si>
    <t>Lob Accountant</t>
  </si>
  <si>
    <t>Ahmed Hassan Gomaa</t>
  </si>
  <si>
    <t>ahmed.hassangomaa@gizasystems.com</t>
  </si>
  <si>
    <t>Senior System Engineer</t>
  </si>
  <si>
    <t>Ahmed Hassan hegazy</t>
  </si>
  <si>
    <t>ahmed.hassanhegazy@gizasystems.com</t>
  </si>
  <si>
    <t>Ahmed Hegab</t>
  </si>
  <si>
    <t>ahmed.hegab@gizasystems.com</t>
  </si>
  <si>
    <t>Compensation &amp; Benefits Manager</t>
  </si>
  <si>
    <t>Ahmed Hegazy</t>
  </si>
  <si>
    <t>ahmed.hegazy@gizasystems.com</t>
  </si>
  <si>
    <t>Ahmed Helal</t>
  </si>
  <si>
    <t>ahmed.helal@gizasystems.com</t>
  </si>
  <si>
    <t>Presales engineer</t>
  </si>
  <si>
    <t>Ahmed Hesham</t>
  </si>
  <si>
    <t>ahmed.hesham@gizasystems.com</t>
  </si>
  <si>
    <t>Ahmed Hosni</t>
  </si>
  <si>
    <t>ahmed.hosni@gizasystems.com</t>
  </si>
  <si>
    <t>Ahmed Hussein</t>
  </si>
  <si>
    <t>ahmed.hussein@gizasystems.com</t>
  </si>
  <si>
    <t>Draftsman</t>
  </si>
  <si>
    <t>Ahmed Ibrahim Soliman</t>
  </si>
  <si>
    <t>ahmed.ibrahim@gizasystems.com</t>
  </si>
  <si>
    <t>Purchasing Specialist</t>
  </si>
  <si>
    <t>Ahmed Kamal</t>
  </si>
  <si>
    <t>ahmed.kamal@gizasystems.com</t>
  </si>
  <si>
    <t>Ahmed Kazem</t>
  </si>
  <si>
    <t>ahmed.kazem@gizasystems.com</t>
  </si>
  <si>
    <t>Ahmed Khaled</t>
  </si>
  <si>
    <t>ahmed.khaled@gizasystems.com</t>
  </si>
  <si>
    <t>Ahmed Khattab</t>
  </si>
  <si>
    <t>ahmed.khattab@gizasystems.com</t>
  </si>
  <si>
    <t>Engineer</t>
  </si>
  <si>
    <t>Ahmed Kotb Ahmed</t>
  </si>
  <si>
    <t>ahmed.kotb@gizasystems.com</t>
  </si>
  <si>
    <t>Ahmed Koulib</t>
  </si>
  <si>
    <t>ahmed.koulib@gizasystems.com</t>
  </si>
  <si>
    <t>Quality Consaltant</t>
  </si>
  <si>
    <t>Quality</t>
  </si>
  <si>
    <t>Ahmed Mabrouck</t>
  </si>
  <si>
    <t>ahmed.mabrouck@gizasystems.com</t>
  </si>
  <si>
    <t>Ahmed Mahmoud El-Bokl</t>
  </si>
  <si>
    <t>ahmed.elbokl@gizasystems.com</t>
  </si>
  <si>
    <t>Project Coordinator</t>
  </si>
  <si>
    <t>Ahmed Mahmoud Ramadan</t>
  </si>
  <si>
    <t>ahmed.ramadan@gizasystems.com</t>
  </si>
  <si>
    <t>Instrumentation Engineer</t>
  </si>
  <si>
    <t>Field Solutions</t>
  </si>
  <si>
    <t>Ahmed Mahmoud Zayed</t>
  </si>
  <si>
    <t>ahmed.zayed@gizasystems.com</t>
  </si>
  <si>
    <t>Technical Office Mechanical Engineer</t>
  </si>
  <si>
    <t>Ahmed Mamdouh</t>
  </si>
  <si>
    <t>ahmed.mamdouh@gizasystems.com</t>
  </si>
  <si>
    <t>Senior Account Manager</t>
  </si>
  <si>
    <t>Ahmed Mandour</t>
  </si>
  <si>
    <t>ahmed.mandour@gizasystems.com</t>
  </si>
  <si>
    <t>Sales Account Manager, Oil &amp; Gas</t>
  </si>
  <si>
    <t>Ahmed Mansour</t>
  </si>
  <si>
    <t>ahmed.mansour@gizasystems.com</t>
  </si>
  <si>
    <t>Ahmed Masry</t>
  </si>
  <si>
    <t>ahmed.masry@gizasystems.com</t>
  </si>
  <si>
    <t>Senior Project Manager</t>
  </si>
  <si>
    <t>Ahmed Megahed</t>
  </si>
  <si>
    <t>ahmed.megahed@gizasystems.com</t>
  </si>
  <si>
    <t>Ahmed Metwally</t>
  </si>
  <si>
    <t>ahmed.metwally@gizasystems.com</t>
  </si>
  <si>
    <t>Technical Office team leader</t>
  </si>
  <si>
    <t>Ahmed Mohamed Abdel Hamied</t>
  </si>
  <si>
    <t>ahmed.mahmoud@gizasystems.com</t>
  </si>
  <si>
    <t>Expert Application Management Engineer</t>
  </si>
  <si>
    <t>Ahmed Mohamed AbdelAziz</t>
  </si>
  <si>
    <t>ahmedM.abdelaziz@gizasystems.com</t>
  </si>
  <si>
    <t>Cheif System Engineer</t>
  </si>
  <si>
    <t>Ahmed Mohamed Anwar</t>
  </si>
  <si>
    <t>ahmed.anwar@gizasystems.com</t>
  </si>
  <si>
    <t>Technician</t>
  </si>
  <si>
    <t>Ahmed Mohamed Egemy</t>
  </si>
  <si>
    <t>ahmed.egemy@gizasystems.com</t>
  </si>
  <si>
    <t>FalLab Specialist</t>
  </si>
  <si>
    <t>Ahmed Mohamed El-Shazly</t>
  </si>
  <si>
    <t>Ahmed.Elshazly@gizasystems.com</t>
  </si>
  <si>
    <t>Service Team Leader</t>
  </si>
  <si>
    <t>Ahmed Mohamed Mansour</t>
  </si>
  <si>
    <t>ahmed.mohamed@gizasystems.com</t>
  </si>
  <si>
    <t>Ahmed Mohamed Reda</t>
  </si>
  <si>
    <t>ahmed.reda@gizasystems.com</t>
  </si>
  <si>
    <t>Sales &amp; Operation Manager - Water Dept</t>
  </si>
  <si>
    <t>Ahmed Mohamed Saad</t>
  </si>
  <si>
    <t>ahmed.msaad@gizasystems.com</t>
  </si>
  <si>
    <t>Ahmed Mohey</t>
  </si>
  <si>
    <t>ahmed.mohey@gizasystems.com</t>
  </si>
  <si>
    <t>Travel Lead</t>
  </si>
  <si>
    <t>Travel</t>
  </si>
  <si>
    <t>Ahmed Mohsen</t>
  </si>
  <si>
    <t>ahmed.mohsen@gizasystems.com</t>
  </si>
  <si>
    <t>Purchasing &amp; Logistics Team Leader</t>
  </si>
  <si>
    <t>Ahmed Mohsen Zaki</t>
  </si>
  <si>
    <t>ahmed.mzaki@gizasystems.com</t>
  </si>
  <si>
    <t>Developer</t>
  </si>
  <si>
    <t>Ahmed Morsy</t>
  </si>
  <si>
    <t>ahmed.morsy@gizasystems.com</t>
  </si>
  <si>
    <t>Admin Assistant</t>
  </si>
  <si>
    <t>Ahmed Mostafa</t>
  </si>
  <si>
    <t>ahmed.mostafa@gizasystems.com</t>
  </si>
  <si>
    <t>Graphic  engineer</t>
  </si>
  <si>
    <t>Ahmed Motair</t>
  </si>
  <si>
    <t>ahmed.motair@gizasystems.com</t>
  </si>
  <si>
    <t>Senior Software Developer</t>
  </si>
  <si>
    <t>Ahmed Mounir Ali</t>
  </si>
  <si>
    <t>ahmed.mounir@gizasystems.com</t>
  </si>
  <si>
    <t>ahmed Moustafa Ali</t>
  </si>
  <si>
    <t>ahmed.moustafa@gizasystems.com</t>
  </si>
  <si>
    <t>Ahmed Mubarak</t>
  </si>
  <si>
    <t>ahmed.mubarak@gizasystems.com</t>
  </si>
  <si>
    <t>Junior Data Anaylist</t>
  </si>
  <si>
    <t>Ahmed Mustafa</t>
  </si>
  <si>
    <t>ahmed.mustafa@gizasystems.com</t>
  </si>
  <si>
    <t>A/R Accountant</t>
  </si>
  <si>
    <t>Ahmed Nada</t>
  </si>
  <si>
    <t>ahmed.nada@gizasystems.com</t>
  </si>
  <si>
    <t>Senior Technician</t>
  </si>
  <si>
    <t>Ahmed Nagah</t>
  </si>
  <si>
    <t>ahmed.nagah@gizasystems.com</t>
  </si>
  <si>
    <t>Ahmed Nageib</t>
  </si>
  <si>
    <t>ahmed.nageib@gizasystems.com</t>
  </si>
  <si>
    <t>Ahmed Okasha</t>
  </si>
  <si>
    <t>ahmed.okasha@gizasystems.com</t>
  </si>
  <si>
    <t>Ahmed Osman</t>
  </si>
  <si>
    <t>ahmed.osman@gizasystems.com</t>
  </si>
  <si>
    <t>Ahmed Osman Gohar</t>
  </si>
  <si>
    <t>ahmed.gohar@gizasystems.com</t>
  </si>
  <si>
    <t>Head of Technical</t>
  </si>
  <si>
    <t>Ahmed Ossman</t>
  </si>
  <si>
    <t>ahmed.ossman@gizasystems.com</t>
  </si>
  <si>
    <t>Assistive Technology Professional</t>
  </si>
  <si>
    <t>Ahmed Raslan</t>
  </si>
  <si>
    <t>ahmed.raslan@gizasystems.com</t>
  </si>
  <si>
    <t>Senior Communication Engineer</t>
  </si>
  <si>
    <t>Ahmed Rawi</t>
  </si>
  <si>
    <t>ahmed.rawi@gizasystems.com</t>
  </si>
  <si>
    <t>Ahmed Refaat</t>
  </si>
  <si>
    <t>ahmed.refaat@gizasystems.com</t>
  </si>
  <si>
    <t>Ahmed Saad</t>
  </si>
  <si>
    <t>ahmed.saad@gizasystems.com</t>
  </si>
  <si>
    <t>Senior Project Coordinator</t>
  </si>
  <si>
    <t>Ahmed Saber Mohamed</t>
  </si>
  <si>
    <t>ahmed.saber@gizasystems.com</t>
  </si>
  <si>
    <t>Senior Accountant</t>
  </si>
  <si>
    <t>Ahmed Sabry Elsharkawy</t>
  </si>
  <si>
    <t>ahmed.sabry@gizasystems.com</t>
  </si>
  <si>
    <t>Community Engagment Specialist</t>
  </si>
  <si>
    <t>Ahmed Saed</t>
  </si>
  <si>
    <t>ahmed.saed@gizasystems.com</t>
  </si>
  <si>
    <t>Digital Fabrication Engineer</t>
  </si>
  <si>
    <t>Ahmed Saeed</t>
  </si>
  <si>
    <t>ahmed.saeed@gizasystems.com</t>
  </si>
  <si>
    <t>Ahmed Safwat</t>
  </si>
  <si>
    <t>ahmed.safwat@gizasystems.com</t>
  </si>
  <si>
    <t>Technical Manager</t>
  </si>
  <si>
    <t>Ahmed Saher</t>
  </si>
  <si>
    <t>ahmed.saher@gizasystems.com</t>
  </si>
  <si>
    <t>Head of Project Management</t>
  </si>
  <si>
    <t>Ahmed Said</t>
  </si>
  <si>
    <t>ahmed.said@gizasystems.com</t>
  </si>
  <si>
    <t>Ahmed Said Zakaria</t>
  </si>
  <si>
    <t>ahmed.zakaria@gizasystems.com</t>
  </si>
  <si>
    <t>Senior Compensation &amp; Benefits</t>
  </si>
  <si>
    <t>Ahmed Saied</t>
  </si>
  <si>
    <t>ahmed.saied@gizasystems.com</t>
  </si>
  <si>
    <t>Senior HVAC Technician</t>
  </si>
  <si>
    <t>Ahmed Salah</t>
  </si>
  <si>
    <t>ahmed.salah@gizasystems.com</t>
  </si>
  <si>
    <t>Ahmed Sallam</t>
  </si>
  <si>
    <t>ahmed.sallam@gizasystems.com</t>
  </si>
  <si>
    <t>Program Manager</t>
  </si>
  <si>
    <t>Ahmed Sameh Abdel Fattah</t>
  </si>
  <si>
    <t>ahmed.sameh@gizasystems.com</t>
  </si>
  <si>
    <t>Business Process Improvement Specialist</t>
  </si>
  <si>
    <t>Ahmed Samir</t>
  </si>
  <si>
    <t>ahmed.samir@gizasystems.com</t>
  </si>
  <si>
    <t>Costing Supervisor</t>
  </si>
  <si>
    <t>Ahmed samir Amin Khamis</t>
  </si>
  <si>
    <t>GA1531</t>
  </si>
  <si>
    <t>ahmed.amin@gizasystems.com</t>
  </si>
  <si>
    <t>Ahmed Samy</t>
  </si>
  <si>
    <t>ahmed.samy@gizasystems.com</t>
  </si>
  <si>
    <t>System Administrator</t>
  </si>
  <si>
    <t>Ahmed Sayed</t>
  </si>
  <si>
    <t>Ahmed.sayed@gizasystems.com</t>
  </si>
  <si>
    <t>Senior Technision</t>
  </si>
  <si>
    <t>Ahmed Selim</t>
  </si>
  <si>
    <t>ahmed.selim@gizasystems.com</t>
  </si>
  <si>
    <t>Senior DataCenter Engineer</t>
  </si>
  <si>
    <t>Ahmed Shabaan</t>
  </si>
  <si>
    <t>ahmed.shabaan@gizasystems.com</t>
  </si>
  <si>
    <t>Admin Supervisor</t>
  </si>
  <si>
    <t>Facility - ADMIN</t>
  </si>
  <si>
    <t>Ahmed Sharkas</t>
  </si>
  <si>
    <t>ahmed.sharkas@gizasystems.com</t>
  </si>
  <si>
    <t>Electricity Technician</t>
  </si>
  <si>
    <t>GS Free Zone</t>
  </si>
  <si>
    <t>Ahmed Shawky</t>
  </si>
  <si>
    <t>ahmed.shawky@gizasystems.com</t>
  </si>
  <si>
    <t>Inventory Supervisor</t>
  </si>
  <si>
    <t>Ahmed Shawqi</t>
  </si>
  <si>
    <t>ahmed.shawqi@gizasystems.com</t>
  </si>
  <si>
    <t>Installation Engineer</t>
  </si>
  <si>
    <t>Ahmed Shussain</t>
  </si>
  <si>
    <t>Ahmed.Shussain@gizasystems.com</t>
  </si>
  <si>
    <t>Ahmed Soliman</t>
  </si>
  <si>
    <t>ahmed.soliman@gizasystems.com</t>
  </si>
  <si>
    <t>Ahmed Talaat</t>
  </si>
  <si>
    <t>ahmed.talaat@gizasystems.com</t>
  </si>
  <si>
    <t>Partner Manager</t>
  </si>
  <si>
    <t>Ahmed Tawfik Khallaf</t>
  </si>
  <si>
    <t>ahmed.tawfik@gizasystems.com</t>
  </si>
  <si>
    <t>Qatar</t>
  </si>
  <si>
    <t>Ahmed Waheed</t>
  </si>
  <si>
    <t>ahmed.waheed@gizasystems.com</t>
  </si>
  <si>
    <t>Ahmed Yasser</t>
  </si>
  <si>
    <t>ahmed.yasser@gizasystems.com</t>
  </si>
  <si>
    <t>Ahmed Yehia</t>
  </si>
  <si>
    <t>ahmed.yehia@gizasystems.com</t>
  </si>
  <si>
    <t>Pre-Sales</t>
  </si>
  <si>
    <t>Ahmed Youssef</t>
  </si>
  <si>
    <t>ahmed.youssef@gizasystems.com</t>
  </si>
  <si>
    <t>Support Lead</t>
  </si>
  <si>
    <t>Ahmed Youssef Hussein</t>
  </si>
  <si>
    <t>GA1313</t>
  </si>
  <si>
    <t>ahmed.yhussein@gizasystems.com</t>
  </si>
  <si>
    <t>Ahmed Youssry</t>
  </si>
  <si>
    <t>ahmed.youssry@gizasystems.com</t>
  </si>
  <si>
    <t>IT Buisness Soloution Specialist</t>
  </si>
  <si>
    <t>Ahmed Zaki</t>
  </si>
  <si>
    <t>ahmed.zaki@gizasystems.com</t>
  </si>
  <si>
    <t>Senior Testing and Commisioning Engineer</t>
  </si>
  <si>
    <t>AhmedAli Soliman</t>
  </si>
  <si>
    <t>ahmedali.soliman@gizasystems.com</t>
  </si>
  <si>
    <t>Technical Enginer</t>
  </si>
  <si>
    <t>Ahsaa Lab</t>
  </si>
  <si>
    <t>AhsaaLab@gizasystems.com</t>
  </si>
  <si>
    <t>Ahsaa Lab Tech</t>
  </si>
  <si>
    <t>AhsaaLabTech@gizasystems.com</t>
  </si>
  <si>
    <t>Akram ElMenshawi</t>
  </si>
  <si>
    <t>akram.menshawi@gizasystems.com</t>
  </si>
  <si>
    <t>Site Installation Engineer</t>
  </si>
  <si>
    <t>Akram Mohamed</t>
  </si>
  <si>
    <t>akram.mohamed@gizasystems.com</t>
  </si>
  <si>
    <t>RFP2 Project Consultant</t>
  </si>
  <si>
    <t>Alaa Emam</t>
  </si>
  <si>
    <t>alaa.emam@gizasystems.com</t>
  </si>
  <si>
    <t>Alaa Khater</t>
  </si>
  <si>
    <t>alaa.khater@gizasystems.com</t>
  </si>
  <si>
    <t>Senior Project Engineer</t>
  </si>
  <si>
    <t>alaa.kamaleldin</t>
  </si>
  <si>
    <t>alaa.kamaleldin@gizasystems.com</t>
  </si>
  <si>
    <t>Logistics Section Head</t>
  </si>
  <si>
    <t>Alexander Gatobu</t>
  </si>
  <si>
    <t>alexander.gatobu@gizasystems.com</t>
  </si>
  <si>
    <t>Debt Collector</t>
  </si>
  <si>
    <t>Ali Abd El Fattah</t>
  </si>
  <si>
    <t>ali.fattah@gizasystems.com</t>
  </si>
  <si>
    <t>Inventory Control Team Leader</t>
  </si>
  <si>
    <t>Ali ElNagar</t>
  </si>
  <si>
    <t>ali.elnaggar@gizasystems.com</t>
  </si>
  <si>
    <t>Ali Fouad</t>
  </si>
  <si>
    <t>ali.fouad@gizasystems.com</t>
  </si>
  <si>
    <t>Ali Shaheen</t>
  </si>
  <si>
    <t>ali.shaheen@gizasystems.com</t>
  </si>
  <si>
    <t>Bank Agent</t>
  </si>
  <si>
    <t>Ali Zarea</t>
  </si>
  <si>
    <t>ali.zarea@gizasystems.com</t>
  </si>
  <si>
    <t>Allan Jay Cana</t>
  </si>
  <si>
    <t>allan.cana@gizasystems.com</t>
  </si>
  <si>
    <t>AlModather Mostafa</t>
  </si>
  <si>
    <t>almodather.mostafa@gizasystems.com</t>
  </si>
  <si>
    <t>Senior Site Engineer</t>
  </si>
  <si>
    <t>Alsaeed Adel</t>
  </si>
  <si>
    <t>alsaeed.adel@gizasystems.com</t>
  </si>
  <si>
    <t>Site Admin</t>
  </si>
  <si>
    <t>Alsayed AlSaadany</t>
  </si>
  <si>
    <t>alsayed.alsaadany@gizasystems.com</t>
  </si>
  <si>
    <t>AlSayed mohamed Alsayed Torkiah</t>
  </si>
  <si>
    <t>alsayed.torkiah@gizasystems.com</t>
  </si>
  <si>
    <t>Alstom</t>
  </si>
  <si>
    <t>Alstom@gizasystems.com</t>
  </si>
  <si>
    <t>Alyaa ElShamy</t>
  </si>
  <si>
    <t>alyaa.elshamy@gizasystems.com</t>
  </si>
  <si>
    <t>Amal Mohasseb</t>
  </si>
  <si>
    <t>amal.mohasseb@gizasystems.com</t>
  </si>
  <si>
    <t>Senior Admin Assistant</t>
  </si>
  <si>
    <t>Amany Hashem</t>
  </si>
  <si>
    <t>amany.hashem@gizasystems.com</t>
  </si>
  <si>
    <t>Amany Taha Hussein</t>
  </si>
  <si>
    <t>amany.hussein@gizasystems.com</t>
  </si>
  <si>
    <t>Amer Khater</t>
  </si>
  <si>
    <t>amer.khater@gizasystems.com</t>
  </si>
  <si>
    <t>Account Manager</t>
  </si>
  <si>
    <t>Amgad Ibrahim</t>
  </si>
  <si>
    <t>amgad.ibrahim@gizasystems.com</t>
  </si>
  <si>
    <t>Amin younis</t>
  </si>
  <si>
    <t>Amin.younis@gizasystems.com</t>
  </si>
  <si>
    <t>Amir elhefny</t>
  </si>
  <si>
    <t>amir.elhefny@gizasystems.com</t>
  </si>
  <si>
    <t>T&amp;D LOB Admin</t>
  </si>
  <si>
    <t>Amir Khaled AboTaha</t>
  </si>
  <si>
    <t>amir.abotaha@gizasystems.com</t>
  </si>
  <si>
    <t>Project Leader</t>
  </si>
  <si>
    <t>Amir Mostafa</t>
  </si>
  <si>
    <t>amir.mostafa@gizasystems.com</t>
  </si>
  <si>
    <t>Senior Software Developer (Outsourcing)</t>
  </si>
  <si>
    <t>Amira Shaker</t>
  </si>
  <si>
    <t>amira.shaker@gizasystems.com</t>
  </si>
  <si>
    <t>Aml Alqahtani</t>
  </si>
  <si>
    <t>aml.alqahtani@gizasystems.com</t>
  </si>
  <si>
    <t>Purchasing Officer</t>
  </si>
  <si>
    <t>Ammar Azooz</t>
  </si>
  <si>
    <t>ammar.azooz@gizasystems.com</t>
  </si>
  <si>
    <t>Ammar Rashad</t>
  </si>
  <si>
    <t>ammar.rashad@gizasystems.com</t>
  </si>
  <si>
    <t>Accounting Supervisor</t>
  </si>
  <si>
    <t>Amr Abdelkader</t>
  </si>
  <si>
    <t>amr.abdelkader@gizasystems.com</t>
  </si>
  <si>
    <t>Amr Abdelrazek</t>
  </si>
  <si>
    <t>amr.abdelrazek@gizasystems.com</t>
  </si>
  <si>
    <t>Amr Abdulkader</t>
  </si>
  <si>
    <t>amr.abdulkader@gizasystems.com</t>
  </si>
  <si>
    <t>Expert Systems Engineer</t>
  </si>
  <si>
    <t>Amr Abou Ali</t>
  </si>
  <si>
    <t>amr.abouali@gizasystems.com</t>
  </si>
  <si>
    <t>Amr Abulhassan Elsaidy</t>
  </si>
  <si>
    <t>amr.abulhassan@gizasystems.com</t>
  </si>
  <si>
    <t>Senior Systems Engineer</t>
  </si>
  <si>
    <t>Amr Afifi</t>
  </si>
  <si>
    <t>amr.afifi@gizasystems.com</t>
  </si>
  <si>
    <t>Project Management Office Manager</t>
  </si>
  <si>
    <t>Amr Ahmed Fawzi</t>
  </si>
  <si>
    <t>amr.fawzi@gizasystems.com</t>
  </si>
  <si>
    <t>Amr Ahmed Sobhy</t>
  </si>
  <si>
    <t>amr.ahmed@gizasystems.com</t>
  </si>
  <si>
    <t>Amr Ashraf</t>
  </si>
  <si>
    <t>amr.ashraf@gizasystems.com</t>
  </si>
  <si>
    <t>Amr El Gabry</t>
  </si>
  <si>
    <t>amr.elgabry@gizasystems.com</t>
  </si>
  <si>
    <t>Regional Key Account Manager</t>
  </si>
  <si>
    <t>Amr El Sayed</t>
  </si>
  <si>
    <t>amr.elsayed@gizasystems.com</t>
  </si>
  <si>
    <t>Head Of Presales</t>
  </si>
  <si>
    <t>Amr ElShekh</t>
  </si>
  <si>
    <t>amr.elshekh@gizasystems.com</t>
  </si>
  <si>
    <t>Amr Emad</t>
  </si>
  <si>
    <t>amr.emad@gizasystems.com</t>
  </si>
  <si>
    <t>Amr Emara</t>
  </si>
  <si>
    <t>amr.emara@gizasystems.com</t>
  </si>
  <si>
    <t>Amr Ezzat Sayed Hemdan</t>
  </si>
  <si>
    <t>amr.hemdan@gizasystems.com</t>
  </si>
  <si>
    <t>Communications Team Leader</t>
  </si>
  <si>
    <t>Amr Fathy</t>
  </si>
  <si>
    <t>amr.fathy@gizasystems.com</t>
  </si>
  <si>
    <t>Quality Control Leader</t>
  </si>
  <si>
    <t>Amr Gado</t>
  </si>
  <si>
    <t>amr.gado@gizasystems.com</t>
  </si>
  <si>
    <t>Sales Manager - Utilities</t>
  </si>
  <si>
    <t>Amr Ghareeb</t>
  </si>
  <si>
    <t>amr.ghareeb@gizasystems.com</t>
  </si>
  <si>
    <t>Amr Habib</t>
  </si>
  <si>
    <t>amr.habib@gizasystems.com</t>
  </si>
  <si>
    <t>Amr Kamel</t>
  </si>
  <si>
    <t>amr.kamel@gizasystems.com</t>
  </si>
  <si>
    <t>Architects Head</t>
  </si>
  <si>
    <t>Amr Mahmoud AbdelEmam</t>
  </si>
  <si>
    <t>amr.emam@gizasystems.com</t>
  </si>
  <si>
    <t>Amr Manaa</t>
  </si>
  <si>
    <t>amr.manaa@gizasystems.com</t>
  </si>
  <si>
    <t>Purchasing Team Leader</t>
  </si>
  <si>
    <t>Amr Mohamed Samy</t>
  </si>
  <si>
    <t>amr.mohamed@gizasystems.com</t>
  </si>
  <si>
    <t>Construction Manager</t>
  </si>
  <si>
    <t>Amr Roshdi</t>
  </si>
  <si>
    <t>amr.roshdi@gizasystems.com</t>
  </si>
  <si>
    <t>Amr Selim</t>
  </si>
  <si>
    <t>amr.selim@gizasystems.com</t>
  </si>
  <si>
    <t>Amr Sherif</t>
  </si>
  <si>
    <t>amr.sherif@gizasystems.com</t>
  </si>
  <si>
    <t>LOB GM - T&amp;D</t>
  </si>
  <si>
    <t>Amr Tawfiq</t>
  </si>
  <si>
    <t>amr.tawfiq@gizasystems.com</t>
  </si>
  <si>
    <t>Electrical Engineer</t>
  </si>
  <si>
    <t>Amr Wagih</t>
  </si>
  <si>
    <t>amr.wagih@gizasystems.com</t>
  </si>
  <si>
    <t>Amr waheed</t>
  </si>
  <si>
    <t>Amr.waheed@gizasystems.com</t>
  </si>
  <si>
    <t>Andrew Nashaat</t>
  </si>
  <si>
    <t>andrew.nashaat@gizasystems.com</t>
  </si>
  <si>
    <t>Angela Mwangi</t>
  </si>
  <si>
    <t>angela.mwangi@gizasystems.com</t>
  </si>
  <si>
    <t>Anis Tawfek</t>
  </si>
  <si>
    <t>anis.tawfek@gizasystems.com</t>
  </si>
  <si>
    <t>Senior AutoCad Designer</t>
  </si>
  <si>
    <t>Anita Carpenter</t>
  </si>
  <si>
    <t>anita.carpenter@gizasystems.com</t>
  </si>
  <si>
    <t>Anthony Muema</t>
  </si>
  <si>
    <t>anthony.muema@gizasystems.com</t>
  </si>
  <si>
    <t>Appraisal</t>
  </si>
  <si>
    <t>Appraisal@gizasystems.com</t>
  </si>
  <si>
    <t>Appsupport</t>
  </si>
  <si>
    <t>Appsupport@gizasystems.com</t>
  </si>
  <si>
    <t>Aprroval</t>
  </si>
  <si>
    <t>approval@gizasystems.com</t>
  </si>
  <si>
    <t>AQM</t>
  </si>
  <si>
    <t>aday@gizasystems.com</t>
  </si>
  <si>
    <t>Aries Dumo</t>
  </si>
  <si>
    <t>aries.dumo@gizasystems.com</t>
  </si>
  <si>
    <t>Arwa Elatreby</t>
  </si>
  <si>
    <t>arwa.mohamed@gizasystems.com</t>
  </si>
  <si>
    <t>BI Developer</t>
  </si>
  <si>
    <t>Ashraf Abd Elrahman</t>
  </si>
  <si>
    <t>ashraf.abdelrahman@gizasystems.com</t>
  </si>
  <si>
    <t>Specialist Application Management Engineer</t>
  </si>
  <si>
    <t>Ashraf Attia</t>
  </si>
  <si>
    <t>ashraf.attia@gizasystems.com</t>
  </si>
  <si>
    <t>Chief Commercial Officer</t>
  </si>
  <si>
    <t>Ashraf El-Bosty</t>
  </si>
  <si>
    <t>ashraf.elbosty@gizasystems.com</t>
  </si>
  <si>
    <t>Technision</t>
  </si>
  <si>
    <t>Ashraf Hisham Soliman</t>
  </si>
  <si>
    <t>ashraf.hisham@gizasystems.com</t>
  </si>
  <si>
    <t>Ashraf Sabry Abdallah</t>
  </si>
  <si>
    <t>ashraf.sabry@gizasystems.com</t>
  </si>
  <si>
    <t>Team Leader</t>
  </si>
  <si>
    <t>ASK</t>
  </si>
  <si>
    <t>askusanything@gizasystems.com</t>
  </si>
  <si>
    <t>Asmaa Emad</t>
  </si>
  <si>
    <t>asmaa.emad@gizasystems.com</t>
  </si>
  <si>
    <t>Asmaa Ibrahim</t>
  </si>
  <si>
    <t>asmaa.ibrahim@gizasystems.com</t>
  </si>
  <si>
    <t>Asmaa Marie</t>
  </si>
  <si>
    <t>asmaa.marie@gizasystems.com</t>
  </si>
  <si>
    <t>Senior Software Tester</t>
  </si>
  <si>
    <t>Asmaa Mohammad Mounir</t>
  </si>
  <si>
    <t>asmaa.mounir@gizasystems.com</t>
  </si>
  <si>
    <t>Products Engineer</t>
  </si>
  <si>
    <t>Asmaa Soliman</t>
  </si>
  <si>
    <t>asmaa.soliman@gizasystems.com</t>
  </si>
  <si>
    <t>Sr. Presales consultant</t>
  </si>
  <si>
    <t>Technology Office</t>
  </si>
  <si>
    <t>Asmaa Tarek</t>
  </si>
  <si>
    <t>asmaa.tarek@gizasystems.com</t>
  </si>
  <si>
    <t>Assem ElGazzar</t>
  </si>
  <si>
    <t>asem.elgazzar@gizasystems.com</t>
  </si>
  <si>
    <t>ASU Mentorship</t>
  </si>
  <si>
    <t>ASUMentorship@gizasystems.com</t>
  </si>
  <si>
    <t>Attya Habib</t>
  </si>
  <si>
    <t>attya.habib@gizasystems.com</t>
  </si>
  <si>
    <t>AX ADMIN</t>
  </si>
  <si>
    <t>ax.admin@gizasystems.com</t>
  </si>
  <si>
    <t>AX Finance Team</t>
  </si>
  <si>
    <t>axfinanceteam@gizasystems.com</t>
  </si>
  <si>
    <t>AX IT</t>
  </si>
  <si>
    <t>ax.it@gizasystems.com</t>
  </si>
  <si>
    <t>Service Accounts</t>
  </si>
  <si>
    <t>Ax Notifications</t>
  </si>
  <si>
    <t>ax.notifications@gizasystems.com</t>
  </si>
  <si>
    <t>AX Service</t>
  </si>
  <si>
    <t>axservice@gizasystems.com</t>
  </si>
  <si>
    <t>AX SQL</t>
  </si>
  <si>
    <t>ax.sql@gizasystems.com</t>
  </si>
  <si>
    <t>AX STG</t>
  </si>
  <si>
    <t>ax.stg@gizasystems.com</t>
  </si>
  <si>
    <t>AX Test One</t>
  </si>
  <si>
    <t>axtest.one@gizasystems.com</t>
  </si>
  <si>
    <t>AX Test Two</t>
  </si>
  <si>
    <t>axtest.two@gizasystems.com</t>
  </si>
  <si>
    <t>AX Upgrade</t>
  </si>
  <si>
    <t>ax.upgrade@gizasystems.com</t>
  </si>
  <si>
    <t>AX Users</t>
  </si>
  <si>
    <t>AXUsers@gizasystems.com</t>
  </si>
  <si>
    <t>AX.SERVICE</t>
  </si>
  <si>
    <t>AX@gizasystems.com</t>
  </si>
  <si>
    <t>AXTestAdmin</t>
  </si>
  <si>
    <t>axtest.admin@gizasystems.com</t>
  </si>
  <si>
    <t>Aya Hassan Farag</t>
  </si>
  <si>
    <t>aya.farag@gizasystems.com</t>
  </si>
  <si>
    <t>Aya Hegazy</t>
  </si>
  <si>
    <t>aya.hegazy@gizasystems.com</t>
  </si>
  <si>
    <t>Aya Rashad</t>
  </si>
  <si>
    <t>aya.rashad@gizasystems.com</t>
  </si>
  <si>
    <t>Aya Sayed El Desouky</t>
  </si>
  <si>
    <t>aya.sayed@gizasystems.com</t>
  </si>
  <si>
    <t>Public Relations Specialist</t>
  </si>
  <si>
    <t>Aya Shaffai</t>
  </si>
  <si>
    <t>aya.shaffai@gizasystems.com</t>
  </si>
  <si>
    <t>Country Accounting Manager</t>
  </si>
  <si>
    <t>Ayman AbdAlSamie</t>
  </si>
  <si>
    <t>ayman.abdalsamie@gizasystems.com</t>
  </si>
  <si>
    <t>Ayman Mohamed Metwally</t>
  </si>
  <si>
    <t>ayman.metwally@gizasystems.com</t>
  </si>
  <si>
    <t>Engineering &amp; Services Manager</t>
  </si>
  <si>
    <t>Ayman Sadek</t>
  </si>
  <si>
    <t>ayman.sadek@gizasystems.com</t>
  </si>
  <si>
    <t>Ayman Salem</t>
  </si>
  <si>
    <t>ayman.salem@gizasystems.com</t>
  </si>
  <si>
    <t>Ayman Sami</t>
  </si>
  <si>
    <t>ayman.sami@gizasystems.com</t>
  </si>
  <si>
    <t>Ayman Samy</t>
  </si>
  <si>
    <t>ayman.samy@gizasystems.com</t>
  </si>
  <si>
    <t>Babiker Mahjoob</t>
  </si>
  <si>
    <t>babiker.mahjoob@gizasystems.com</t>
  </si>
  <si>
    <t>Badr AbdelGhany</t>
  </si>
  <si>
    <t>badr.abdelghany@gizasystems.com</t>
  </si>
  <si>
    <t>Badr Mordy Elanazi</t>
  </si>
  <si>
    <t>badr.elanazi@gizasystems.com</t>
  </si>
  <si>
    <t>Badri.rehab</t>
  </si>
  <si>
    <t>Badri.rehab@gizasystems.com</t>
  </si>
  <si>
    <t>Badria AlOtaibi</t>
  </si>
  <si>
    <t>badria.alotaibi@gizasystems.com</t>
  </si>
  <si>
    <t>BAGroup</t>
  </si>
  <si>
    <t>BAGroup@gizasystems.com</t>
  </si>
  <si>
    <t>Baher Esmat</t>
  </si>
  <si>
    <t>baher.esmat@gizasystems.com</t>
  </si>
  <si>
    <t>Baher Metwally</t>
  </si>
  <si>
    <t>baher.metwally@gizasystems.com</t>
  </si>
  <si>
    <t>BaherEsmat</t>
  </si>
  <si>
    <t>BaherEsmat@gizasystems.com</t>
  </si>
  <si>
    <t>BANKS</t>
  </si>
  <si>
    <t>banks@gizasystems.com</t>
  </si>
  <si>
    <t>Basem Ahmed</t>
  </si>
  <si>
    <t>basem.ahmed@gizasystems.com</t>
  </si>
  <si>
    <t>Basem Alshaer</t>
  </si>
  <si>
    <t>basem.alshaer@gizasystems.com</t>
  </si>
  <si>
    <t>Basem Mahmoud</t>
  </si>
  <si>
    <t>basem.mahmoud@gizasystems.com</t>
  </si>
  <si>
    <t>Basma Ashraf</t>
  </si>
  <si>
    <t>basma.ashraf@gizasystems.com</t>
  </si>
  <si>
    <t>Basma Osama</t>
  </si>
  <si>
    <t>basma.osama@gizasystems.com</t>
  </si>
  <si>
    <t>Bassam ElMansoury</t>
  </si>
  <si>
    <t>bassam.elmansoury@gizasystems.com</t>
  </si>
  <si>
    <t>Bassant ElBardisy</t>
  </si>
  <si>
    <t>bassant.elbardisy@gizasystems.com</t>
  </si>
  <si>
    <t>Technical</t>
  </si>
  <si>
    <t>Bassant Fawzi</t>
  </si>
  <si>
    <t>bassant.fawzi@gizasystems.com</t>
  </si>
  <si>
    <t>bbadmins</t>
  </si>
  <si>
    <t>bbadmins@gizasystems.com</t>
  </si>
  <si>
    <t>BC</t>
  </si>
  <si>
    <t>bc@gizasystems.com</t>
  </si>
  <si>
    <t>BC ADMIN</t>
  </si>
  <si>
    <t>bc.admin@gizasystems.com</t>
  </si>
  <si>
    <t>Bears</t>
  </si>
  <si>
    <t>Bears@gizasystems.com</t>
  </si>
  <si>
    <t>BEAUTY</t>
  </si>
  <si>
    <t>beauty@gizasystems.com</t>
  </si>
  <si>
    <t>Benard Kipkoech</t>
  </si>
  <si>
    <t>benard.kipkoech@gizasystems.com</t>
  </si>
  <si>
    <t>BEVERAGES</t>
  </si>
  <si>
    <t>beverages@gizasystems.com</t>
  </si>
  <si>
    <t>BI &amp; Analytics</t>
  </si>
  <si>
    <t>BIAnalytics@gizasystems.com</t>
  </si>
  <si>
    <t>BI Solutions</t>
  </si>
  <si>
    <t>bi.solutions@gizasystems.com</t>
  </si>
  <si>
    <t>BIadmin</t>
  </si>
  <si>
    <t>biadmin@gizasystems.com</t>
  </si>
  <si>
    <t>BIDWAHdmin</t>
  </si>
  <si>
    <t>bidwahdmin@gizasystems.com</t>
  </si>
  <si>
    <t>BIDWHUser</t>
  </si>
  <si>
    <t>bidwhuser@gizasystems.com</t>
  </si>
  <si>
    <t>Bill Oketch</t>
  </si>
  <si>
    <t>bill.oketch@gizasystems.com</t>
  </si>
  <si>
    <t>BlackRoom (Integration)</t>
  </si>
  <si>
    <t>BlackRoom@gizasystems.com</t>
  </si>
  <si>
    <t>Board Foundation</t>
  </si>
  <si>
    <t>BoardFoundation@gizasystems.com</t>
  </si>
  <si>
    <t>BPM</t>
  </si>
  <si>
    <t>bpm@gizasystems.com</t>
  </si>
  <si>
    <t>BPM Team</t>
  </si>
  <si>
    <t>BPM@gizasystems.com</t>
  </si>
  <si>
    <t>BSC</t>
  </si>
  <si>
    <t>BSC@gizasystems.com</t>
  </si>
  <si>
    <t>BSC New</t>
  </si>
  <si>
    <t>bsc.new@gizasystems.com</t>
  </si>
  <si>
    <t>BSC Project</t>
  </si>
  <si>
    <t>BSCProject@gizasystems.com</t>
  </si>
  <si>
    <t>BSUEnactus</t>
  </si>
  <si>
    <t>BSUEnactus@gizasystems.com</t>
  </si>
  <si>
    <t>BU Managers</t>
  </si>
  <si>
    <t>BUManagers@gizasystems.com</t>
  </si>
  <si>
    <t>Budget Reallocation</t>
  </si>
  <si>
    <t>BudgetReallocation@gizasystems.com</t>
  </si>
  <si>
    <t>BudgetReallocation754@gizasystems.com</t>
  </si>
  <si>
    <t>BU-Operation Managers</t>
  </si>
  <si>
    <t>BU-OperationManagers@gizasystems.com</t>
  </si>
  <si>
    <t>Bus Champions</t>
  </si>
  <si>
    <t>BusChampions@gizasystems.com</t>
  </si>
  <si>
    <t>Business Request</t>
  </si>
  <si>
    <t>BusinessRequest@gizasystems.com</t>
  </si>
  <si>
    <t>Business Solutions Team</t>
  </si>
  <si>
    <t>BusinessSolutionsTeam@gizasystems.com</t>
  </si>
  <si>
    <t>Business Support</t>
  </si>
  <si>
    <t>BusinessSupport@gizasystems.com</t>
  </si>
  <si>
    <t>businesscards</t>
  </si>
  <si>
    <t>businesscards@gizasystems.com</t>
  </si>
  <si>
    <t>BusMembers</t>
  </si>
  <si>
    <t>BusMembers@gizasystems.com</t>
  </si>
  <si>
    <t>C&amp;I</t>
  </si>
  <si>
    <t>CI@gizasystems.com</t>
  </si>
  <si>
    <t>Cairo Conferance</t>
  </si>
  <si>
    <t>cairo.conferance@gizasystems.com</t>
  </si>
  <si>
    <t>Call.Application</t>
  </si>
  <si>
    <t>call.application@gizasystems.com</t>
  </si>
  <si>
    <t>CAO Team</t>
  </si>
  <si>
    <t>CAOTeam@gizasystems.com</t>
  </si>
  <si>
    <t>Careers</t>
  </si>
  <si>
    <t>careers@gizasystems.com</t>
  </si>
  <si>
    <t>CC Support mail</t>
  </si>
  <si>
    <t>cc.supp@gizasystems.com</t>
  </si>
  <si>
    <t>CHRA</t>
  </si>
  <si>
    <t>CHRA@gizasystems.com</t>
  </si>
  <si>
    <t>Christine Nageh</t>
  </si>
  <si>
    <t>christine.nageh@gizasystems.com</t>
  </si>
  <si>
    <t>CITC.NPC.SUPPORT</t>
  </si>
  <si>
    <t>citc.npc.support@gizasystems.com</t>
  </si>
  <si>
    <t>Clearence</t>
  </si>
  <si>
    <t>Clearence@gizasystems.com</t>
  </si>
  <si>
    <t>CMMI.CC</t>
  </si>
  <si>
    <t>CMMI.CC@gizasystems.com</t>
  </si>
  <si>
    <t>CMMI.EPG</t>
  </si>
  <si>
    <t>CMMI.EPG@gizasystems.com</t>
  </si>
  <si>
    <t>CMMI.MC</t>
  </si>
  <si>
    <t>CMMI.MC@gizasystems.com</t>
  </si>
  <si>
    <t>CMMI.PQE</t>
  </si>
  <si>
    <t>CMMI.PQE@gizasystems.com</t>
  </si>
  <si>
    <t>CMO Commettie</t>
  </si>
  <si>
    <t>cmo.commettie@gizasystems.com</t>
  </si>
  <si>
    <t>CMO.Comiette</t>
  </si>
  <si>
    <t>CMO.Comiette@gizasystems.com</t>
  </si>
  <si>
    <t>CMO_Culture Team</t>
  </si>
  <si>
    <t>CMO_CultureTeam@gizasystems.com</t>
  </si>
  <si>
    <t>Collection Team</t>
  </si>
  <si>
    <t>collection.team@gizasystems.com</t>
  </si>
  <si>
    <t>Competions Committee</t>
  </si>
  <si>
    <t>CompetionsCommittee@gizasystems.com</t>
  </si>
  <si>
    <t>Condolences</t>
  </si>
  <si>
    <t>condolences@gizasystems.com</t>
  </si>
  <si>
    <t>Consolidation Project group</t>
  </si>
  <si>
    <t>Consolidation.Projectgroup@gizasystems.com</t>
  </si>
  <si>
    <t>CONSTRUCTION</t>
  </si>
  <si>
    <t>construction@gizasystems.com</t>
  </si>
  <si>
    <t>ContactCenter.Support</t>
  </si>
  <si>
    <t>ContactCenter.Support@gizasystems.com</t>
  </si>
  <si>
    <t>ContactCenters.Team</t>
  </si>
  <si>
    <t>ContactCenters.Team@gizasystems.com</t>
  </si>
  <si>
    <t>Contract Management</t>
  </si>
  <si>
    <t>ContractManagement@gizasystems.com</t>
  </si>
  <si>
    <t>contracts</t>
  </si>
  <si>
    <t>contracts@gizasystems.com</t>
  </si>
  <si>
    <t>Controlroom</t>
  </si>
  <si>
    <t>controlroom@gizasystems.com</t>
  </si>
  <si>
    <t>COR_Giza</t>
  </si>
  <si>
    <t>cor_giza@gizasystems.com</t>
  </si>
  <si>
    <t>COR_GKSA</t>
  </si>
  <si>
    <t>cor_gksa@gizasystems.com</t>
  </si>
  <si>
    <t>Cosmas Ayieko</t>
  </si>
  <si>
    <t>cosmas.ayieko@gizasystems.com</t>
  </si>
  <si>
    <t>CSG</t>
  </si>
  <si>
    <t>CSG@gizasystems.com</t>
  </si>
  <si>
    <t>Customer Service Group</t>
  </si>
  <si>
    <t>CustomerServiceGroup@gizasystems.com</t>
  </si>
  <si>
    <t>CVG TE-Billing support</t>
  </si>
  <si>
    <t>CVGTE-Billingsupport@gizasystems.com</t>
  </si>
  <si>
    <t>Daisy Kasoha</t>
  </si>
  <si>
    <t>daisy.kasoha@gizasystems.com</t>
  </si>
  <si>
    <t>HR Coordinator</t>
  </si>
  <si>
    <t>Dalia ElRafie</t>
  </si>
  <si>
    <t>dalia.elrafie@gizasystems.com</t>
  </si>
  <si>
    <t>Dalia Emam El Negmy</t>
  </si>
  <si>
    <t>dalia.emam@gizasystems.com</t>
  </si>
  <si>
    <t>Executive Assistant</t>
  </si>
  <si>
    <t>Dalia Hosny</t>
  </si>
  <si>
    <t>dalia.hosny@gizasystems.com</t>
  </si>
  <si>
    <t>Database Notifications</t>
  </si>
  <si>
    <t>DatabaseNotifications@gizasystems.com</t>
  </si>
  <si>
    <t>DataCenter.Support</t>
  </si>
  <si>
    <t>DataCenter.Support@gizasystems.com</t>
  </si>
  <si>
    <t>David Kariuki</t>
  </si>
  <si>
    <t>david.kariuki@gizasystems.com</t>
  </si>
  <si>
    <t>David nyamiaka</t>
  </si>
  <si>
    <t>david.nyamiaka@gizasystems.com</t>
  </si>
  <si>
    <t>Dawod Albattat</t>
  </si>
  <si>
    <t>DawodAlbattat@gizasystems.com</t>
  </si>
  <si>
    <t>DBA</t>
  </si>
  <si>
    <t>DBA@gizasystems.com</t>
  </si>
  <si>
    <t>DBAdmin</t>
  </si>
  <si>
    <t>dbadmin@gizasystems.com</t>
  </si>
  <si>
    <t>DBAdmins</t>
  </si>
  <si>
    <t>DBAdmins@gizasystems.com</t>
  </si>
  <si>
    <t>DC Committee</t>
  </si>
  <si>
    <t>DCCommittee@gizasystems.com</t>
  </si>
  <si>
    <t>DC Steering Committee</t>
  </si>
  <si>
    <t>DCSteeringCommittee@gizasystems.com</t>
  </si>
  <si>
    <t>Dennis Kawaka</t>
  </si>
  <si>
    <t>dennis.kawaka@gizasystems.com</t>
  </si>
  <si>
    <t>Deskoy Abd El Kader</t>
  </si>
  <si>
    <t>deskoy.elkader@gizasystems.com</t>
  </si>
  <si>
    <t>Customs Representative</t>
  </si>
  <si>
    <t>Dev</t>
  </si>
  <si>
    <t>dev@gizasystems.com</t>
  </si>
  <si>
    <t>devadmin</t>
  </si>
  <si>
    <t>devadmin@gizasystems.com</t>
  </si>
  <si>
    <t>Development Admin</t>
  </si>
  <si>
    <t>development.admin@gizasystems.com</t>
  </si>
  <si>
    <t>Diaa El Haqe M.Abdel Hady</t>
  </si>
  <si>
    <t>diaa.mohamad@gizasystems.com</t>
  </si>
  <si>
    <t>Country Manager</t>
  </si>
  <si>
    <t>Diana Matsalia</t>
  </si>
  <si>
    <t>diana.matsalia@gizasystems.com</t>
  </si>
  <si>
    <t>Logistics Coordinator</t>
  </si>
  <si>
    <t>Dina ElZanfaly</t>
  </si>
  <si>
    <t>DinaElZanfaly@gizasystems.com</t>
  </si>
  <si>
    <t>Dina Ghounem</t>
  </si>
  <si>
    <t>dina.ghounem@gizasystems.com</t>
  </si>
  <si>
    <t>Dina Kotb</t>
  </si>
  <si>
    <t>dina.kotb@gizasystems.com</t>
  </si>
  <si>
    <t>Dina Mohamed</t>
  </si>
  <si>
    <t>dina.mohamed@gizasystems.com</t>
  </si>
  <si>
    <t>Dina Mosallem</t>
  </si>
  <si>
    <t>dina.mosallem@gizasystems.com</t>
  </si>
  <si>
    <t>Sr.Presales Consultent</t>
  </si>
  <si>
    <t>Dina Saad</t>
  </si>
  <si>
    <t>dina.saad@gizasystems.com</t>
  </si>
  <si>
    <t>Dina Salama</t>
  </si>
  <si>
    <t>dina.salama@gizasystems.com</t>
  </si>
  <si>
    <t>IT Service Delivery Specialist</t>
  </si>
  <si>
    <t>Dina Zobaa</t>
  </si>
  <si>
    <t>dina.zobaa@gizasystems.com</t>
  </si>
  <si>
    <t>Presales</t>
  </si>
  <si>
    <t>Doa Zaki</t>
  </si>
  <si>
    <t>doa.zaki@gizasystems.com</t>
  </si>
  <si>
    <t>Doaa Ibrahim</t>
  </si>
  <si>
    <t>doaa.ibrahim@gizasystems.com</t>
  </si>
  <si>
    <t>Doaa Saeed</t>
  </si>
  <si>
    <t>doaa.saeed@gizasystems.com</t>
  </si>
  <si>
    <t>Admin Asistant</t>
  </si>
  <si>
    <t>Doaa Selim</t>
  </si>
  <si>
    <t>doaa.selim@gizasystems.com</t>
  </si>
  <si>
    <t>Specialist Software Developer</t>
  </si>
  <si>
    <t>Dominic Karuma</t>
  </si>
  <si>
    <t>dominic.karuma@gizasystems.com</t>
  </si>
  <si>
    <t>Technical Supervisor</t>
  </si>
  <si>
    <t>Douglas Mwirigi</t>
  </si>
  <si>
    <t>douglas.mwirigi@gizasystems.com</t>
  </si>
  <si>
    <t>Dragons</t>
  </si>
  <si>
    <t>Dragons@gizasystems.com</t>
  </si>
  <si>
    <t>dsr.stc</t>
  </si>
  <si>
    <t>dsr.stc@gizasystems.com</t>
  </si>
  <si>
    <t>DU NPG Support</t>
  </si>
  <si>
    <t>du.npg.support@gizasystems.com</t>
  </si>
  <si>
    <t>DWadmin</t>
  </si>
  <si>
    <t>dwadmin@gizasystems.com</t>
  </si>
  <si>
    <t>E&amp;S</t>
  </si>
  <si>
    <t>ES@gizasystems.com</t>
  </si>
  <si>
    <t>EAH project</t>
  </si>
  <si>
    <t>eahproject@gizasystems.com</t>
  </si>
  <si>
    <t>Ebrahim Ahmed</t>
  </si>
  <si>
    <t>GA1756</t>
  </si>
  <si>
    <t>ebrahim.ahmed@gizasystems.com</t>
  </si>
  <si>
    <t>Senior project Engineer</t>
  </si>
  <si>
    <t>Ebrahim Gamal</t>
  </si>
  <si>
    <t>ebrahim.gamal@gizasystems.com</t>
  </si>
  <si>
    <t>Ebrahim Hessain</t>
  </si>
  <si>
    <t>ebrahim.hessain@gizasystems.com</t>
  </si>
  <si>
    <t>Junior Products Engineer</t>
  </si>
  <si>
    <t>EBS</t>
  </si>
  <si>
    <t>EBS@gizasystems.com</t>
  </si>
  <si>
    <t>EBS Project Management</t>
  </si>
  <si>
    <t>EBSProjectManagement@gizasystems.com</t>
  </si>
  <si>
    <t>EBS Technical-Egypt</t>
  </si>
  <si>
    <t>EBSTechnicalEgypt@gizasystems.com</t>
  </si>
  <si>
    <t>EBS Technical-KSA</t>
  </si>
  <si>
    <t>EBSTechnical-KSA@gizasystems.com</t>
  </si>
  <si>
    <t>EBS Test Team</t>
  </si>
  <si>
    <t>EBSTestTeam@gizasystems.com</t>
  </si>
  <si>
    <t>EBS-Service Management</t>
  </si>
  <si>
    <t>EBS-ServiceManagement@gizasystems.com</t>
  </si>
  <si>
    <t>Ebtihal Kahled</t>
  </si>
  <si>
    <t>ebtihal.khaled@gizasystems.com</t>
  </si>
  <si>
    <t>Personnel Specialist</t>
  </si>
  <si>
    <t>ECMS Team</t>
  </si>
  <si>
    <t>ecms@gizasystems.com</t>
  </si>
  <si>
    <t>EDUCATION</t>
  </si>
  <si>
    <t>education@gizasystems.com</t>
  </si>
  <si>
    <t>Edward Emmanuel</t>
  </si>
  <si>
    <t>edward.emmanuel@gizasystems.com</t>
  </si>
  <si>
    <t>EECinstallation</t>
  </si>
  <si>
    <t>eecinstallation@gizasystems.com</t>
  </si>
  <si>
    <t>EECMaintenance</t>
  </si>
  <si>
    <t>eecmaintenance@gizasystems.com</t>
  </si>
  <si>
    <t>EECoperation</t>
  </si>
  <si>
    <t>eecoperation@gizasystems.com</t>
  </si>
  <si>
    <t>EEHC</t>
  </si>
  <si>
    <t>eehc@gizasystems.com</t>
  </si>
  <si>
    <t>EEHC.OracleSupport</t>
  </si>
  <si>
    <t>EEHCOracleSupport@gizasystems.com</t>
  </si>
  <si>
    <t>EFG.Support@gizasystems.com</t>
  </si>
  <si>
    <t>Ehab AlQabbani</t>
  </si>
  <si>
    <t>ehab.alqabbani@gizasystems.com</t>
  </si>
  <si>
    <t>Specialist Developer - Oracle</t>
  </si>
  <si>
    <t>Ehab George</t>
  </si>
  <si>
    <t>ehab.george@gizasystems.com</t>
  </si>
  <si>
    <t>Ehab Ghobashi</t>
  </si>
  <si>
    <t>ehab.ghobashi@gizasystems.com</t>
  </si>
  <si>
    <t>Project Manger</t>
  </si>
  <si>
    <t>Ehab mahmoud</t>
  </si>
  <si>
    <t>ehab.mahmoud@gizasystems.com</t>
  </si>
  <si>
    <t>Ehab Salah</t>
  </si>
  <si>
    <t>ehab.salah@gizasystems.com</t>
  </si>
  <si>
    <t>El sayed Helmy</t>
  </si>
  <si>
    <t>elsayed.helmy@gizasystems.com</t>
  </si>
  <si>
    <t>Senior Logistics Specialist</t>
  </si>
  <si>
    <t>ELECTRICAL CONTRACTORS</t>
  </si>
  <si>
    <t>electricalcontractors@gizasystems.com</t>
  </si>
  <si>
    <t>Emam Al Gendy</t>
  </si>
  <si>
    <t>emam.algendy@gizasystems.com</t>
  </si>
  <si>
    <t>Eman Hamdy</t>
  </si>
  <si>
    <t>eman.hamdy@gizasystems.com</t>
  </si>
  <si>
    <t>Compensation&amp;Benefits Supervisor</t>
  </si>
  <si>
    <t>Eman Quotb</t>
  </si>
  <si>
    <t>eman.quotb@gizasystems.com</t>
  </si>
  <si>
    <t>Communications Manager</t>
  </si>
  <si>
    <t>Corporate Communications</t>
  </si>
  <si>
    <t>Eman Sayed</t>
  </si>
  <si>
    <t>eman.sayed@gizasystems.com</t>
  </si>
  <si>
    <t>Business Analyst</t>
  </si>
  <si>
    <t>Strategy Office</t>
  </si>
  <si>
    <t>Eman Wahby</t>
  </si>
  <si>
    <t>Eman.Wahby@gizasystems.com</t>
  </si>
  <si>
    <t>Purchasing &amp; Logistics Manager – MENA</t>
  </si>
  <si>
    <t>EMC_ETA</t>
  </si>
  <si>
    <t>EMC_ETA@gizasystems.com</t>
  </si>
  <si>
    <t>EMC_FCO</t>
  </si>
  <si>
    <t>EMC_FCO@gizasystems.com</t>
  </si>
  <si>
    <t>Emile Sidhom</t>
  </si>
  <si>
    <t>emile.sidhom@gizasystems.com</t>
  </si>
  <si>
    <t>Senior IT Infrastructure Engineer</t>
  </si>
  <si>
    <t>ENAL sales team</t>
  </si>
  <si>
    <t>ENALsalesteam@gizasystems.com</t>
  </si>
  <si>
    <t>ENAL.Contracts</t>
  </si>
  <si>
    <t>ENAL.Contracts@gizasystems.com</t>
  </si>
  <si>
    <t>ENERGY</t>
  </si>
  <si>
    <t>energy@gizasystems.com</t>
  </si>
  <si>
    <t>Engineering-DCS&amp;Safety</t>
  </si>
  <si>
    <t>Engineering-DCSSafety@gizasystems.com</t>
  </si>
  <si>
    <t>Engineering-PLC&amp;SCADA</t>
  </si>
  <si>
    <t>Engineering-PLCSCADA@gizasystems.com</t>
  </si>
  <si>
    <t>ENGINEERS- CONSULTING</t>
  </si>
  <si>
    <t>engineers-consulting@gizasystems.com</t>
  </si>
  <si>
    <t>Engy Adel</t>
  </si>
  <si>
    <t>engy.adel@gizasystems.com</t>
  </si>
  <si>
    <t>Engy Darwish</t>
  </si>
  <si>
    <t>engy.darwish@gizasystems.com</t>
  </si>
  <si>
    <t>Junior Treasury Accountant</t>
  </si>
  <si>
    <t>Enterprise</t>
  </si>
  <si>
    <t>enterprise@gizasystems.com</t>
  </si>
  <si>
    <t>Epayment.support</t>
  </si>
  <si>
    <t>Epayment.support@gizasystems.com</t>
  </si>
  <si>
    <t>E-Proc</t>
  </si>
  <si>
    <t>e-proc@gizasystems.com</t>
  </si>
  <si>
    <t>ERP Committee</t>
  </si>
  <si>
    <t>erpcommittee@gizasystems.com</t>
  </si>
  <si>
    <t>ES Architect Team</t>
  </si>
  <si>
    <t>ESArchitectTeam@gizasystems.com</t>
  </si>
  <si>
    <t>ES Development Team</t>
  </si>
  <si>
    <t>ESDevelopmentTeam@gizasystems.com</t>
  </si>
  <si>
    <t>ES Presales Team</t>
  </si>
  <si>
    <t>ESPresalesTeam@gizasystems.com</t>
  </si>
  <si>
    <t>ES Services Team</t>
  </si>
  <si>
    <t>EsServicesTeam@gizasystems.com</t>
  </si>
  <si>
    <t>ES SME-Consultant</t>
  </si>
  <si>
    <t>ESSME-Consultant@gizasystems.com</t>
  </si>
  <si>
    <t>ES TestingTeam</t>
  </si>
  <si>
    <t>ESTestingTeam@gizasystems.com</t>
  </si>
  <si>
    <t>Esci</t>
  </si>
  <si>
    <t>esci@gizasystems.com</t>
  </si>
  <si>
    <t>Eslam Khedr</t>
  </si>
  <si>
    <t>EslamKhedr@gizasystems.com</t>
  </si>
  <si>
    <t>Eslam Mohamed</t>
  </si>
  <si>
    <t>eslam.mohamed@gizasystems.com</t>
  </si>
  <si>
    <t>Eslam Mohamed Saed</t>
  </si>
  <si>
    <t>eslam.saed@gizasystems.com</t>
  </si>
  <si>
    <t>Eslam Samy</t>
  </si>
  <si>
    <t>eslam.samy@gizasystems.com</t>
  </si>
  <si>
    <t>Esraa Helmy</t>
  </si>
  <si>
    <t>esraa.helmy@gizasystems.com</t>
  </si>
  <si>
    <t>Junior Presales Engineer</t>
  </si>
  <si>
    <t>Esraa Ibrahim</t>
  </si>
  <si>
    <t>esraa.ibrahim@gizasystems.com</t>
  </si>
  <si>
    <t>Community Out Reach</t>
  </si>
  <si>
    <t>Essam Elkoshairy</t>
  </si>
  <si>
    <t>essam.elkoshairy@gizasystems.com</t>
  </si>
  <si>
    <t>Software Developer Expert</t>
  </si>
  <si>
    <t>Essam ElShamla</t>
  </si>
  <si>
    <t>essam.elshamla@gizasystems.com</t>
  </si>
  <si>
    <t>Senior Service Engineer</t>
  </si>
  <si>
    <t>Essam Galal</t>
  </si>
  <si>
    <t>Essam.Galal@gizasystems.com</t>
  </si>
  <si>
    <t>Essam Gomaa</t>
  </si>
  <si>
    <t>essam.gomaa@gizasystems.com</t>
  </si>
  <si>
    <t>Essam Mansor</t>
  </si>
  <si>
    <t>essam.mansor@gizasystems.com</t>
  </si>
  <si>
    <t>Cashier</t>
  </si>
  <si>
    <t>Essam Mostafa</t>
  </si>
  <si>
    <t>essam.mostafa@gizasystems.com</t>
  </si>
  <si>
    <t>Essam Raafat</t>
  </si>
  <si>
    <t>essam.raafat@gizasystems.com</t>
  </si>
  <si>
    <t>Senior Applications Engineer</t>
  </si>
  <si>
    <t>Essam Saeed</t>
  </si>
  <si>
    <t>essam.saeed@gizasystems.com</t>
  </si>
  <si>
    <t>Procurement Specialist</t>
  </si>
  <si>
    <t>Ethiopia Team</t>
  </si>
  <si>
    <t>EthiopiaTeam@gizasystems.com</t>
  </si>
  <si>
    <t>etisalatmisr sm support</t>
  </si>
  <si>
    <t>etisalatmisr.sm.support@gizasystems.com</t>
  </si>
  <si>
    <t>EtisalatMisr.IVR.support</t>
  </si>
  <si>
    <t>EtisalatMisr.IVR.support@gizasystems.com</t>
  </si>
  <si>
    <t>Eunice Munga</t>
  </si>
  <si>
    <t>eunice.munga@gizasystems.com</t>
  </si>
  <si>
    <t>Technical Coordinator</t>
  </si>
  <si>
    <t>Events</t>
  </si>
  <si>
    <t>Events@gizasystems.com</t>
  </si>
  <si>
    <t>Expence</t>
  </si>
  <si>
    <t>expence@gizasystems.com</t>
  </si>
  <si>
    <t>Ezzat Mohamed</t>
  </si>
  <si>
    <t>ezzat.mohamed@gizasystems.com</t>
  </si>
  <si>
    <t>FAB 15 Conference</t>
  </si>
  <si>
    <t>FAB15Conference@gizasystems.com</t>
  </si>
  <si>
    <t>Fab Lab</t>
  </si>
  <si>
    <t>fablab@gizasystems.com</t>
  </si>
  <si>
    <t>Fab15 GS Committee</t>
  </si>
  <si>
    <t>Fab15GSCommittee20180926131510@gizasystems.com</t>
  </si>
  <si>
    <t>FabLab Benisuef</t>
  </si>
  <si>
    <t>fablab.benisuef@gizasystems.com</t>
  </si>
  <si>
    <t>Fablab expansion</t>
  </si>
  <si>
    <t>Fablabexpansion@gizasystems.com</t>
  </si>
  <si>
    <t>FabLab Fayoum</t>
  </si>
  <si>
    <t>fablab.fayoum@gizasystems.com</t>
  </si>
  <si>
    <t>FabLab Minya</t>
  </si>
  <si>
    <t>fablabminya@gizasystems.com</t>
  </si>
  <si>
    <t>Fablab On Wheels</t>
  </si>
  <si>
    <t>fablabonwheels@gizasystems.com</t>
  </si>
  <si>
    <t>FabLab Sohag</t>
  </si>
  <si>
    <t>fablabsohag@gizasystems.com</t>
  </si>
  <si>
    <t>Fab-lab-on-wheels</t>
  </si>
  <si>
    <t>Fab-lab-on-wheels@gizasystems.com</t>
  </si>
  <si>
    <t>facility maintenance</t>
  </si>
  <si>
    <t>facilitymaintenance@gizasystems.com</t>
  </si>
  <si>
    <t>FAMOracle Ooredoo</t>
  </si>
  <si>
    <t>FAMOracle.Ooredoo@gizasystems.com</t>
  </si>
  <si>
    <t>Farida Eldeeb</t>
  </si>
  <si>
    <t>farida.eldeeb@gizasystems.com</t>
  </si>
  <si>
    <t>Faris AlQahtani</t>
  </si>
  <si>
    <t>FarisAlQahtani@gizasystems.com</t>
  </si>
  <si>
    <t>Fasi Mohiuddin</t>
  </si>
  <si>
    <t>fasi.mohiuddin@gizasystems.com</t>
  </si>
  <si>
    <t>Fathy Abdallah</t>
  </si>
  <si>
    <t>fathy.abdallah@gizasystems.com</t>
  </si>
  <si>
    <t>Fathy Khaled Abaza</t>
  </si>
  <si>
    <t>fathy.abaza@gizasystems.com</t>
  </si>
  <si>
    <t>Purchasing Intern</t>
  </si>
  <si>
    <t>Fatouh Mohamed Maree</t>
  </si>
  <si>
    <t>fatouh.mohamed@gizasystems.com</t>
  </si>
  <si>
    <t>Fayrouz Hany</t>
  </si>
  <si>
    <t>fayrouz.hany@gizasystems.com</t>
  </si>
  <si>
    <t>Fekry Botros</t>
  </si>
  <si>
    <t>fekry.botros@gizasystems.com</t>
  </si>
  <si>
    <t>Comp &amp; Ben Manager</t>
  </si>
  <si>
    <t>field.soutions@gizasystems.com</t>
  </si>
  <si>
    <t>Fifth Floor</t>
  </si>
  <si>
    <t>FifthFloor@gizasystems.com</t>
  </si>
  <si>
    <t>Fifth floor (Cazablanca)</t>
  </si>
  <si>
    <t>cazablanca@gizasystems.com</t>
  </si>
  <si>
    <t>Fifth Floor (Sun Flower)</t>
  </si>
  <si>
    <t>sunflower@gizasystems.com</t>
  </si>
  <si>
    <t>FINANCE</t>
  </si>
  <si>
    <t>finance@gizasystems.com</t>
  </si>
  <si>
    <t>Finance Report</t>
  </si>
  <si>
    <t>finance.report@gizasystems.com</t>
  </si>
  <si>
    <t>Finance Team</t>
  </si>
  <si>
    <t>FinanceTeam@gizasystems.com</t>
  </si>
  <si>
    <t>Finance-Printer</t>
  </si>
  <si>
    <t>Finance-Printer@gizasystems.com</t>
  </si>
  <si>
    <t>FIRE AND SECURITY</t>
  </si>
  <si>
    <t>fireandsecurity@gizasystems.com</t>
  </si>
  <si>
    <t>First Aider</t>
  </si>
  <si>
    <t>FirstAider@gizasystems.com</t>
  </si>
  <si>
    <t>First Floor</t>
  </si>
  <si>
    <t>FirstFloor@gizasystems.com</t>
  </si>
  <si>
    <t>Forth Floor</t>
  </si>
  <si>
    <t>forthfloor@gizasystems.com</t>
  </si>
  <si>
    <t>Fourth Floor</t>
  </si>
  <si>
    <t>FourthFloor@gizasystems.com</t>
  </si>
  <si>
    <t>Fraud support</t>
  </si>
  <si>
    <t>Fraudsupport@gizasystems.com</t>
  </si>
  <si>
    <t>French Course Team</t>
  </si>
  <si>
    <t>FrenchCourseTeam20180926131543@gizasystems.com</t>
  </si>
  <si>
    <t>Front Desk</t>
  </si>
  <si>
    <t>frontdesk@gizasystems.com</t>
  </si>
  <si>
    <t>Function Add-Hoc Tasks</t>
  </si>
  <si>
    <t>FunctionAdd-HocTasks@gizasystems.com</t>
  </si>
  <si>
    <t>Function Plan 2018</t>
  </si>
  <si>
    <t>FunctionPlan2018@gizasystems.com</t>
  </si>
  <si>
    <t>Function Tasks</t>
  </si>
  <si>
    <t>FunctionTasks@gizasystems.com</t>
  </si>
  <si>
    <t>GA Sales Team</t>
  </si>
  <si>
    <t>GASalesTeam@gizasystems.com</t>
  </si>
  <si>
    <t>Gaber Eid</t>
  </si>
  <si>
    <t>gaber.eid@gizasystems.com</t>
  </si>
  <si>
    <t>Gamal Abdel Moonis</t>
  </si>
  <si>
    <t>gamal.moonis@gizasystems.com</t>
  </si>
  <si>
    <t>Presales Consultant</t>
  </si>
  <si>
    <t>Gamal El Din Abdel Rahman</t>
  </si>
  <si>
    <t>gamal.abdelrahman@gizasystems.com</t>
  </si>
  <si>
    <t>Operation Manager</t>
  </si>
  <si>
    <t>Gamal Saud</t>
  </si>
  <si>
    <t>gamal.saud@gizasystems.com</t>
  </si>
  <si>
    <t>Gamal Sharaf el deen</t>
  </si>
  <si>
    <t>gamal.sharafeldeen@gizasystems.com</t>
  </si>
  <si>
    <t>Sales Engineer</t>
  </si>
  <si>
    <t>Gamel ElGohary</t>
  </si>
  <si>
    <t>gamel.elgohary@gizasystems.com</t>
  </si>
  <si>
    <t>Tecnision Team Leader</t>
  </si>
  <si>
    <t>Gehad Mohamed</t>
  </si>
  <si>
    <t>gehad.mohamed@gizasystems.com</t>
  </si>
  <si>
    <t>Digital Fabrication Specialist</t>
  </si>
  <si>
    <t>Ghada Ahmed</t>
  </si>
  <si>
    <t>ghada.ahmed@gizasystems.com</t>
  </si>
  <si>
    <t>Ghada Mostafa</t>
  </si>
  <si>
    <t>ghada.mostafa@gizasystems.com</t>
  </si>
  <si>
    <t>Gidraphu Omuyaku</t>
  </si>
  <si>
    <t>gidraphu.omuyaku@gizasystems.com</t>
  </si>
  <si>
    <t>Gihad Hesham Fouad Ibrahim</t>
  </si>
  <si>
    <t>gihad.ibrahim@gizasystems.com</t>
  </si>
  <si>
    <t>Projects coordinator</t>
  </si>
  <si>
    <t>Gihan Hafez</t>
  </si>
  <si>
    <t>gihan.hafez@gizasystems.com</t>
  </si>
  <si>
    <t>GIS group</t>
  </si>
  <si>
    <t>GISgroup@gizasystems.com</t>
  </si>
  <si>
    <t>Giza Building Survey</t>
  </si>
  <si>
    <t>Gizabuildingsurvey@gizasystems.com</t>
  </si>
  <si>
    <t>Giza Call Center</t>
  </si>
  <si>
    <t>GizaCallCenter@gizasystems.com</t>
  </si>
  <si>
    <t>Giza Data Collection</t>
  </si>
  <si>
    <t>Giza.DataCollection@gizasystems.com</t>
  </si>
  <si>
    <t>Giza Distribution List</t>
  </si>
  <si>
    <t>GizaDistributionList@gizasystems.com</t>
  </si>
  <si>
    <t>Giza Robot</t>
  </si>
  <si>
    <t>giza.robot@gizasystems.com</t>
  </si>
  <si>
    <t>Giza Support Management - EBS</t>
  </si>
  <si>
    <t>GizaSupportManagementEBS@gizasystems.com</t>
  </si>
  <si>
    <t>giza systems</t>
  </si>
  <si>
    <t>gizasystems@gizasystems.com</t>
  </si>
  <si>
    <t>Giza Systems Comms</t>
  </si>
  <si>
    <t>marketing@gizasystems.com</t>
  </si>
  <si>
    <t>Giza Systems Education Foundation</t>
  </si>
  <si>
    <t>gizasystems.foundation@gizasystems.com</t>
  </si>
  <si>
    <t>Giza Systems Group</t>
  </si>
  <si>
    <t>GizaSystemsGroup@gizasystems.com</t>
  </si>
  <si>
    <t>Giza Systems JLT</t>
  </si>
  <si>
    <t>GizaSystemsJLT@gizasystems.com</t>
  </si>
  <si>
    <t>Giza Test</t>
  </si>
  <si>
    <t>GizaTest@gizasystems.com</t>
  </si>
  <si>
    <t>Giza VideoBill</t>
  </si>
  <si>
    <t>giza.videobill@gizasystems.com</t>
  </si>
  <si>
    <t>giza.bms</t>
  </si>
  <si>
    <t>giza.bms@gizasystems.com</t>
  </si>
  <si>
    <t>Giza.NMS.Support</t>
  </si>
  <si>
    <t>GizaNMSSupport@gizasystems.com</t>
  </si>
  <si>
    <t>Giza.NPC.Helpdesk</t>
  </si>
  <si>
    <t>Giza.NPC.Helpdesk@gizasystems.com</t>
  </si>
  <si>
    <t>giza.npc.support</t>
  </si>
  <si>
    <t>giza.npc.support@gizasystems.com</t>
  </si>
  <si>
    <t>GizaarabiaDistributionList</t>
  </si>
  <si>
    <t>GizaarabiaDistributionList@gizasystems.com</t>
  </si>
  <si>
    <t>GizaIPXteam</t>
  </si>
  <si>
    <t>GizaIPXteam@gizasystems.com</t>
  </si>
  <si>
    <t>GizaLadies</t>
  </si>
  <si>
    <t>GizaLadies@gizasystems.com</t>
  </si>
  <si>
    <t>GizaMnp.Support</t>
  </si>
  <si>
    <t>gizamnp.support@gizasystems.com</t>
  </si>
  <si>
    <t>Telecom</t>
  </si>
  <si>
    <t>Giza-Qlik-support</t>
  </si>
  <si>
    <t>Giza-Qlik-support@gizasystems.com</t>
  </si>
  <si>
    <t>Giza-RA-FM</t>
  </si>
  <si>
    <t>Giza-RA-FM@gizasystems.com</t>
  </si>
  <si>
    <t>Gizasystems telephony support</t>
  </si>
  <si>
    <t>Gizasystemstelephonysupport@gizasystems.com</t>
  </si>
  <si>
    <t>Giza-VC-Support</t>
  </si>
  <si>
    <t>GizaVCSupport@gizasystems.com</t>
  </si>
  <si>
    <t>Goher Ibrahim</t>
  </si>
  <si>
    <t>goher.ibrahim@gizasystems.com</t>
  </si>
  <si>
    <t>Goma Ragab</t>
  </si>
  <si>
    <t>goma.ragab@gizasystems.com</t>
  </si>
  <si>
    <t>Technision Supervisor</t>
  </si>
  <si>
    <t>Gomaa Manna</t>
  </si>
  <si>
    <t>gomaa.manaa@gizasystems.com</t>
  </si>
  <si>
    <t>GOVERNMENT</t>
  </si>
  <si>
    <t>government@gizasystems.com</t>
  </si>
  <si>
    <t>GPS</t>
  </si>
  <si>
    <t>GPS@gizasystems.com</t>
  </si>
  <si>
    <t>Grace Onkoba</t>
  </si>
  <si>
    <t>grace.onkoba@gizasystems.com</t>
  </si>
  <si>
    <t>Presales Coordinator</t>
  </si>
  <si>
    <t>Graduation Projects</t>
  </si>
  <si>
    <t>graduationprojects@gizasystems.com</t>
  </si>
  <si>
    <t>GS</t>
  </si>
  <si>
    <t>GS@gizasystems.com</t>
  </si>
  <si>
    <t>gs hps</t>
  </si>
  <si>
    <t>gs_hps@gizasystems.com</t>
  </si>
  <si>
    <t>GSD</t>
  </si>
  <si>
    <t>GSD@gizasystems.com</t>
  </si>
  <si>
    <t>GSEC@gizasystems.com</t>
  </si>
  <si>
    <t>Gsec Procurement</t>
  </si>
  <si>
    <t>gsec.procurement@gizasystems.com</t>
  </si>
  <si>
    <t>GSEF Team</t>
  </si>
  <si>
    <t>GSEFTeam@gizasystems.com</t>
  </si>
  <si>
    <t>Gulf.Contracts</t>
  </si>
  <si>
    <t>Gulf.Contracts@gizasystems.com</t>
  </si>
  <si>
    <t>gwwc.support</t>
  </si>
  <si>
    <t>gwwc.support@gizasystems.com</t>
  </si>
  <si>
    <t>Hadeer Alaa</t>
  </si>
  <si>
    <t>hadeer.alaa@gizasystems.com</t>
  </si>
  <si>
    <t>Hafez Abdelmohsen</t>
  </si>
  <si>
    <t>hafez.abdelmohsen@gizasystems.com</t>
  </si>
  <si>
    <t>Senior S/W Developer</t>
  </si>
  <si>
    <t>Hagar ElAnsary</t>
  </si>
  <si>
    <t>hagar.elansary@gizasystems.com</t>
  </si>
  <si>
    <t>Legal Coordinator</t>
  </si>
  <si>
    <t>Contracts Managment</t>
  </si>
  <si>
    <t>Haitham Bahlool</t>
  </si>
  <si>
    <t>haitham.bahlool@gizasystems.com</t>
  </si>
  <si>
    <t>Haitham Shaheen</t>
  </si>
  <si>
    <t>haitham.shaheen@gizasystems.com</t>
  </si>
  <si>
    <t>haithem Badr</t>
  </si>
  <si>
    <t>Haithem.badr@gizasystems.com</t>
  </si>
  <si>
    <t>Hamada Soliman</t>
  </si>
  <si>
    <t>hamada.soliman@gizasystems.com</t>
  </si>
  <si>
    <t>Hamada Taleb</t>
  </si>
  <si>
    <t>hamada.taleb@gizasystems.com</t>
  </si>
  <si>
    <t>Hamdi Fehr</t>
  </si>
  <si>
    <t>hamdi.fehr@gizasystems.com</t>
  </si>
  <si>
    <t>Hamdy Aziz</t>
  </si>
  <si>
    <t>hamdy.aziz@gizasystems.com</t>
  </si>
  <si>
    <t>Treasury Agent</t>
  </si>
  <si>
    <t>Hamdy Mohamed</t>
  </si>
  <si>
    <t>hamdy.mohamed@gizasystems.com</t>
  </si>
  <si>
    <t>Hamed Hakem</t>
  </si>
  <si>
    <t>hamed.hakem@gizasystems.com</t>
  </si>
  <si>
    <t>Business Process Improvement Team Leader, Quality Assurance</t>
  </si>
  <si>
    <t>Hanaa Faisal</t>
  </si>
  <si>
    <t>hanaa.faisal@gizasystems.com</t>
  </si>
  <si>
    <t>Senior Presales engineer</t>
  </si>
  <si>
    <t>Hani Abdel Halim</t>
  </si>
  <si>
    <t>hani.abdelhalim@gizasystems.com</t>
  </si>
  <si>
    <t>Hani Hamdi Abdalla</t>
  </si>
  <si>
    <t>hani.abdalla@gizasystems.com</t>
  </si>
  <si>
    <t>Presales Solution Architect</t>
  </si>
  <si>
    <t>Hani Saber</t>
  </si>
  <si>
    <t>hani.saber@gizasystems.com</t>
  </si>
  <si>
    <t>Senior OSS Engineer</t>
  </si>
  <si>
    <t>Hany Ali Hussein Abdel Rahman</t>
  </si>
  <si>
    <t>HanyAbdelRahman@gizasystems.com</t>
  </si>
  <si>
    <t>Hany Ali Hussen</t>
  </si>
  <si>
    <t>hany.ali@gizasystems.com</t>
  </si>
  <si>
    <t>OSS Specialist</t>
  </si>
  <si>
    <t>Hany Badawy</t>
  </si>
  <si>
    <t>hany.badawy@gizasystems.com</t>
  </si>
  <si>
    <t>Strategic Planning Manager</t>
  </si>
  <si>
    <t>Hany Mohamed Ibrahim</t>
  </si>
  <si>
    <t>hany.mohamed@gizasystems.com</t>
  </si>
  <si>
    <t>Pre Sales Team Leader</t>
  </si>
  <si>
    <t>Hany Mounir</t>
  </si>
  <si>
    <t>hany.mounir@gizasystems.com</t>
  </si>
  <si>
    <t>Hany Saleh</t>
  </si>
  <si>
    <t>hany.saleh@gizasystems.com</t>
  </si>
  <si>
    <t>Collections Manager</t>
  </si>
  <si>
    <t>Hany Yehia Ibrahim</t>
  </si>
  <si>
    <t>GA1753</t>
  </si>
  <si>
    <t>hany.ibrahim@gizasystems.com</t>
  </si>
  <si>
    <t>Hashem Said</t>
  </si>
  <si>
    <t>hashem.said@gizasystems.com</t>
  </si>
  <si>
    <t>Technical team leader</t>
  </si>
  <si>
    <t>Hassan Darwish</t>
  </si>
  <si>
    <t>hassan.darwish@gizasystems.com</t>
  </si>
  <si>
    <t>Hassan Elabd</t>
  </si>
  <si>
    <t>hassan.elabd@gizasystems.com</t>
  </si>
  <si>
    <t>Hassan Tahoun</t>
  </si>
  <si>
    <t>hassan.tahoun@gizasystems.com</t>
  </si>
  <si>
    <t>Hassan Wael</t>
  </si>
  <si>
    <t>hassan.wael@gizasystems.com</t>
  </si>
  <si>
    <t>Hassan Youssef</t>
  </si>
  <si>
    <t>hassan.youssef@gizasystems.com</t>
  </si>
  <si>
    <t>Archiving</t>
  </si>
  <si>
    <t>Hatem Habib</t>
  </si>
  <si>
    <t>hatem.habib@gizasystems.com</t>
  </si>
  <si>
    <t>Hatem Hossam Afifi</t>
  </si>
  <si>
    <t>hatem.afifi@gizasystems.com</t>
  </si>
  <si>
    <t>Operations Improvement Leader</t>
  </si>
  <si>
    <t>Haytham Abd Elgany</t>
  </si>
  <si>
    <t>haytham.abdelgany@gizasystems.com</t>
  </si>
  <si>
    <t>Senior Admin Clerk</t>
  </si>
  <si>
    <t>Haytham Abo Zaid</t>
  </si>
  <si>
    <t>GA0810</t>
  </si>
  <si>
    <t>haytham.abozaid@gizasystems.com</t>
  </si>
  <si>
    <t>Haytham Mohamed Attia</t>
  </si>
  <si>
    <t>haytham.attia@gizasystems.com</t>
  </si>
  <si>
    <t>Finance Manager</t>
  </si>
  <si>
    <t>Haytham Mostafa</t>
  </si>
  <si>
    <t>haytham.mostafa@gizasystems.com</t>
  </si>
  <si>
    <t>Database Administrator</t>
  </si>
  <si>
    <t>Hazem Hassan</t>
  </si>
  <si>
    <t>hazem.hassan@gizasystems.com</t>
  </si>
  <si>
    <t>Hazem Khalifa</t>
  </si>
  <si>
    <t>hazem.khalifa@gizasystems.com</t>
  </si>
  <si>
    <t>Hazem Maharem</t>
  </si>
  <si>
    <t>hazem.maharem@gizasystems.com</t>
  </si>
  <si>
    <t>Chief Financial Officer</t>
  </si>
  <si>
    <t>Hazem Rabie</t>
  </si>
  <si>
    <t>hazem.rabie@gizasystems.com</t>
  </si>
  <si>
    <t>Hazem Yehia</t>
  </si>
  <si>
    <t>hazem.yehia@gizasystems.com</t>
  </si>
  <si>
    <t>Hazim Magdi</t>
  </si>
  <si>
    <t>hazim.magdi@gizasystems.com</t>
  </si>
  <si>
    <t>HCD@gizasystems.com</t>
  </si>
  <si>
    <t>HCD Appraisal</t>
  </si>
  <si>
    <t>hcdappraisal@gizasystems.com</t>
  </si>
  <si>
    <t>HCD Printer</t>
  </si>
  <si>
    <t>HCD-Printer@gizasystems.com</t>
  </si>
  <si>
    <t>Headway</t>
  </si>
  <si>
    <t>headway@gizasystems.com</t>
  </si>
  <si>
    <t>Headway FabLab</t>
  </si>
  <si>
    <t>headway.fablab@gizasystems.com</t>
  </si>
  <si>
    <t>HEALTH</t>
  </si>
  <si>
    <t>health@gizasystems.com</t>
  </si>
  <si>
    <t>Heba Altahawy</t>
  </si>
  <si>
    <t>heba.altahawy@gizasystems.com</t>
  </si>
  <si>
    <t>Procurement Engineer</t>
  </si>
  <si>
    <t>Helm Volunteers</t>
  </si>
  <si>
    <t>HelmVolunteers@gizasystems.com</t>
  </si>
  <si>
    <t>helpdesk</t>
  </si>
  <si>
    <t>helpdesk@gizasystems.com</t>
  </si>
  <si>
    <t>Hend Ali</t>
  </si>
  <si>
    <t>hend.ali@gizasystems.com</t>
  </si>
  <si>
    <t>Hend Ali Shokir</t>
  </si>
  <si>
    <t>hend.shokir@gizasystems.com</t>
  </si>
  <si>
    <t>Hesham Abboud</t>
  </si>
  <si>
    <t>hesham.abboud@gizasystems.com</t>
  </si>
  <si>
    <t>Hesham Abdel Meguid</t>
  </si>
  <si>
    <t>hesham.abdelmeguid@gizasystems.com</t>
  </si>
  <si>
    <t>Regional Manager - ENAL</t>
  </si>
  <si>
    <t>Hesham Amer</t>
  </si>
  <si>
    <t>hesham.amer@gizasystems.com</t>
  </si>
  <si>
    <t>Hesham Anwar</t>
  </si>
  <si>
    <t>hesham.anwar@gizasystems.com</t>
  </si>
  <si>
    <t>Hesham Ashraf Hamed</t>
  </si>
  <si>
    <t>hesham.hamed@gizasystems.com</t>
  </si>
  <si>
    <t>Senior A\R</t>
  </si>
  <si>
    <t>Hesham Ezz</t>
  </si>
  <si>
    <t>hesham.ezz@gizasystems.com</t>
  </si>
  <si>
    <t>Brand and Event Manager</t>
  </si>
  <si>
    <t>Hesham Oraby</t>
  </si>
  <si>
    <t>hesham.oraby@gizasystems.com</t>
  </si>
  <si>
    <t>Junior Strategy Execution Specialist</t>
  </si>
  <si>
    <t>HF Giza Systems Ltd</t>
  </si>
  <si>
    <t>hfgizasystems@gizasystems.com</t>
  </si>
  <si>
    <t>HFGiza</t>
  </si>
  <si>
    <t>HFGiza@gizasystems.com</t>
  </si>
  <si>
    <t>HFGS2.0</t>
  </si>
  <si>
    <t>HFGS2.0@gizasystems.com</t>
  </si>
  <si>
    <t>Hisham Karm</t>
  </si>
  <si>
    <t>hisham.karm@gizasystems.com</t>
  </si>
  <si>
    <t>Hisham khodeir</t>
  </si>
  <si>
    <t>Hishamkhodeir@gizasystems.com</t>
  </si>
  <si>
    <t>Hisham Mohamed Refaat</t>
  </si>
  <si>
    <t>hisham.mohamed@gizasystems.com</t>
  </si>
  <si>
    <t>Hisham Raafat</t>
  </si>
  <si>
    <t>hisham.rafaat@gizasystems.com</t>
  </si>
  <si>
    <t>Hitham M.Abo Bakr</t>
  </si>
  <si>
    <t>hitham.abobakr@gizasystems.com</t>
  </si>
  <si>
    <t>HITS Personnel Update</t>
  </si>
  <si>
    <t>HITSPersonnelUpdate@gizasystems.com</t>
  </si>
  <si>
    <t>Hoda Abdelhamid</t>
  </si>
  <si>
    <t>hoda.abdelhamid@gizasystems.com</t>
  </si>
  <si>
    <t>Honeywell</t>
  </si>
  <si>
    <t>Honeywell@gizasystems.com</t>
  </si>
  <si>
    <t>HOSPITALITY</t>
  </si>
  <si>
    <t>hospitality@gizasystems.com</t>
  </si>
  <si>
    <t>Hossam Abdelhady</t>
  </si>
  <si>
    <t>hossam.abdelhady@gizasystems.com</t>
  </si>
  <si>
    <t>Specialist Testing Engineer</t>
  </si>
  <si>
    <t>Hossam Barakat</t>
  </si>
  <si>
    <t>hossam.barakat@gizasystems.com</t>
  </si>
  <si>
    <t>Hossam Eldin</t>
  </si>
  <si>
    <t>hossam.eldin@gizasystems.com</t>
  </si>
  <si>
    <t>Store Keeper</t>
  </si>
  <si>
    <t>Hossam Eldin Mohamed Saad</t>
  </si>
  <si>
    <t>hossam.saad@gizasystems.com</t>
  </si>
  <si>
    <t>Hossam Fahmy</t>
  </si>
  <si>
    <t>hossam.fahmy@gizasystems.com</t>
  </si>
  <si>
    <t>Hossam Gamgoum</t>
  </si>
  <si>
    <t>hossam.gamgoum@gizasystems.com</t>
  </si>
  <si>
    <t>Senior Application Management</t>
  </si>
  <si>
    <t>Hossam Khaled</t>
  </si>
  <si>
    <t>hossam.khaled@gizasystems.com</t>
  </si>
  <si>
    <t>Hossam Mahmoud Ahmed</t>
  </si>
  <si>
    <t>hossam.mahmoud@gizasystems.com</t>
  </si>
  <si>
    <t>Junior Service Engineer</t>
  </si>
  <si>
    <t>Hossam Ragab Ebaed</t>
  </si>
  <si>
    <t>hossam.ebaed@gizasystems.com</t>
  </si>
  <si>
    <t>Solution Architect</t>
  </si>
  <si>
    <t>Howaida Ahmed</t>
  </si>
  <si>
    <t>howaida.ahmed@gizasystems.com</t>
  </si>
  <si>
    <t>HP Channel</t>
  </si>
  <si>
    <t>HPChannel@gizasystems.com</t>
  </si>
  <si>
    <t>hr</t>
  </si>
  <si>
    <t>hr@gizasystems.com</t>
  </si>
  <si>
    <t>HR Account Management</t>
  </si>
  <si>
    <t>HRAccountManagement@gizasystems.com</t>
  </si>
  <si>
    <t>HR Events</t>
  </si>
  <si>
    <t>hrevents@gizasystems.com</t>
  </si>
  <si>
    <t>HR Library</t>
  </si>
  <si>
    <t>hr.library@gizasystems.com</t>
  </si>
  <si>
    <t>HR Weca</t>
  </si>
  <si>
    <t>hr.weca@gizasystems.com</t>
  </si>
  <si>
    <t>HRGroup</t>
  </si>
  <si>
    <t>HRGroup@gizasystems.com</t>
  </si>
  <si>
    <t>HRIS</t>
  </si>
  <si>
    <t>HRIS@gizasystems.com</t>
  </si>
  <si>
    <t>HSBC</t>
  </si>
  <si>
    <t>HSBC@gizasystems.com</t>
  </si>
  <si>
    <t>HSE Admin</t>
  </si>
  <si>
    <t>hse.admin@gizasystems.com</t>
  </si>
  <si>
    <t>HSE</t>
  </si>
  <si>
    <t>Hussein Hashish</t>
  </si>
  <si>
    <t>hussein.hashish@gizasystems.com</t>
  </si>
  <si>
    <t>Contracts Manager</t>
  </si>
  <si>
    <t>Hussein Mamdouh</t>
  </si>
  <si>
    <t>hussein.mamdouh@gizasystems.com</t>
  </si>
  <si>
    <t>Headway Intern</t>
  </si>
  <si>
    <t>Hytham Hamed</t>
  </si>
  <si>
    <t>hytham.hamed@gizasystems.com</t>
  </si>
  <si>
    <t>IA - PCI sales</t>
  </si>
  <si>
    <t>IA-PCITSales@gizasystems.com</t>
  </si>
  <si>
    <t>IA – Presales</t>
  </si>
  <si>
    <t>IAPresales@gizasystems.com</t>
  </si>
  <si>
    <t>IA Oracle Implementation Group</t>
  </si>
  <si>
    <t>IAOracleImplementationGroup@gizasystems.com</t>
  </si>
  <si>
    <t>IA Printer</t>
  </si>
  <si>
    <t>IA-Printer@gizasystems.com</t>
  </si>
  <si>
    <t>IA Sales</t>
  </si>
  <si>
    <t>IASales@gizasystems.com</t>
  </si>
  <si>
    <t>IA-ProjectsDCC</t>
  </si>
  <si>
    <t>IA-ProjectsDCC@gizasystems.com</t>
  </si>
  <si>
    <t>Ibrahem Bayomi</t>
  </si>
  <si>
    <t>ibrahem.bayoumi@gizasystems.com</t>
  </si>
  <si>
    <t>Senior I&amp;M Engineer</t>
  </si>
  <si>
    <t>Ibrahim  Karumi</t>
  </si>
  <si>
    <t>ibrahim.karumi@gizasystems.com</t>
  </si>
  <si>
    <t>Ibrahim Abdelhady</t>
  </si>
  <si>
    <t>ibrahim.abdelhady@gizasystems.com</t>
  </si>
  <si>
    <t>Ibrahim Abdelhamed</t>
  </si>
  <si>
    <t>ibrahim.abdelhamed@gizasystems.com</t>
  </si>
  <si>
    <t>Techincal Engineer</t>
  </si>
  <si>
    <t>Ibrahim AbuBakr</t>
  </si>
  <si>
    <t>ibrahim.abubakr@gizasystems.com</t>
  </si>
  <si>
    <t>Ibrahim Abuzeid</t>
  </si>
  <si>
    <t>ibrahim.abuzeid@gizasystems.com</t>
  </si>
  <si>
    <t>Ibrahim Ahmed Ibrahim</t>
  </si>
  <si>
    <t>ibrahim.ahmed@gizasystems.com</t>
  </si>
  <si>
    <t>software developer</t>
  </si>
  <si>
    <t>Ibrahim Desouky</t>
  </si>
  <si>
    <t>ibrahim.desouky@gizasystems.com</t>
  </si>
  <si>
    <t>Ibrahim Harfoush</t>
  </si>
  <si>
    <t>ibrahim.harfoush@gizasystems.com</t>
  </si>
  <si>
    <t>Ibrahim Labib</t>
  </si>
  <si>
    <t>ibrahim.labib@gizasystems.com</t>
  </si>
  <si>
    <t>OHTL &amp; UGC Consultant</t>
  </si>
  <si>
    <t>Ibrahim Mahdy</t>
  </si>
  <si>
    <t>imahdy@gizasystems.com</t>
  </si>
  <si>
    <t>Ibrahim Mahmoud</t>
  </si>
  <si>
    <t>ibrahim.mahmoud@gizasystems.com</t>
  </si>
  <si>
    <t>Enterprise buisness Solutions</t>
  </si>
  <si>
    <t>Ibrahim Osama</t>
  </si>
  <si>
    <t>ibrahim.osama@gizasystems.com</t>
  </si>
  <si>
    <t>Ibrahim Sadeck</t>
  </si>
  <si>
    <t>ibrahim.sadeck@gizasystems.com</t>
  </si>
  <si>
    <t>Specialist OSS Engineer</t>
  </si>
  <si>
    <t>Ibrahim Samir</t>
  </si>
  <si>
    <t>Ibrahim.Samir@gizasystems.com</t>
  </si>
  <si>
    <t>Ibtehal Mohamed</t>
  </si>
  <si>
    <t>ibtehal.mohamed@gizasystems.com</t>
  </si>
  <si>
    <t>Admin</t>
  </si>
  <si>
    <t>ICT GizaSupport</t>
  </si>
  <si>
    <t>ict.gizasupport@gizasystems.com</t>
  </si>
  <si>
    <t>idea-evaluation</t>
  </si>
  <si>
    <t>idea-evaluation@gizasystems.com</t>
  </si>
  <si>
    <t>ideas</t>
  </si>
  <si>
    <t>ideas@gizasystems.com</t>
  </si>
  <si>
    <t>Ihab Abdelghani</t>
  </si>
  <si>
    <t>ihab.abdelghani@gizasystems.com</t>
  </si>
  <si>
    <t>Ihab Samaan</t>
  </si>
  <si>
    <t>ihab.samaan@gizasystems.com</t>
  </si>
  <si>
    <t>Chief Analytics Officer</t>
  </si>
  <si>
    <t>II Lob</t>
  </si>
  <si>
    <t>IILOB@gizasystems.com</t>
  </si>
  <si>
    <t>II-Data Center</t>
  </si>
  <si>
    <t>II-DataCenter@gizasystems.com</t>
  </si>
  <si>
    <t>Iman El Kholy</t>
  </si>
  <si>
    <t>iman.elkholy@gizasystems.com</t>
  </si>
  <si>
    <t>Alex Admin. Manager</t>
  </si>
  <si>
    <t>IMC</t>
  </si>
  <si>
    <t>IMC@gizasystems.com</t>
  </si>
  <si>
    <t>imc portal</t>
  </si>
  <si>
    <t>imc.portal@gizasystems.com</t>
  </si>
  <si>
    <t>Industrial Applications BU</t>
  </si>
  <si>
    <t>InstrumentationUnit@gizasystems.com</t>
  </si>
  <si>
    <t>industrial support</t>
  </si>
  <si>
    <t>industrial.support@gizasystems.com</t>
  </si>
  <si>
    <t>Industry leaders</t>
  </si>
  <si>
    <t>Industryleaders@gizasystems.com</t>
  </si>
  <si>
    <t>Industry SMEs</t>
  </si>
  <si>
    <t>IndustrySMEs@gizasystems.com</t>
  </si>
  <si>
    <t>Info</t>
  </si>
  <si>
    <t>info@gizasystems.com</t>
  </si>
  <si>
    <t>Info Weca</t>
  </si>
  <si>
    <t>info.weca@gizasystems.com</t>
  </si>
  <si>
    <t>Info.Gsd</t>
  </si>
  <si>
    <t>info.gsd@gizasystems.com</t>
  </si>
  <si>
    <t>Info.gsec</t>
  </si>
  <si>
    <t>infogsec@gizasystems.com</t>
  </si>
  <si>
    <t>Information</t>
  </si>
  <si>
    <t>Information@gizasystems.com</t>
  </si>
  <si>
    <t>Information Infrastructure</t>
  </si>
  <si>
    <t>information.infrastructure@gizasystems.com</t>
  </si>
  <si>
    <t>infratiba</t>
  </si>
  <si>
    <t>infratiba@gizasystems.com</t>
  </si>
  <si>
    <t>INSURANCE</t>
  </si>
  <si>
    <t>insurance@gizasystems.com</t>
  </si>
  <si>
    <t>integration printer</t>
  </si>
  <si>
    <t>integration-printer@gizasystems.com</t>
  </si>
  <si>
    <t>Integration team</t>
  </si>
  <si>
    <t>Integrationteam@gizasystems.com</t>
  </si>
  <si>
    <t>Inventory</t>
  </si>
  <si>
    <t>Inventory@gizasystems.com</t>
  </si>
  <si>
    <t>Iot Solutions</t>
  </si>
  <si>
    <t>iot.solutions@gizasystems.com</t>
  </si>
  <si>
    <t>IPCheck</t>
  </si>
  <si>
    <t>IPCheck@gizasystems.com</t>
  </si>
  <si>
    <t>IPCheckAPP</t>
  </si>
  <si>
    <t>IPCheckAPP@gizasystems.com</t>
  </si>
  <si>
    <t>IPCheck-APP</t>
  </si>
  <si>
    <t>IPCheck-APP@gizasystems.com</t>
  </si>
  <si>
    <t>Isaac Maguhwa</t>
  </si>
  <si>
    <t>isaac.maguhwa@gizasystems.com</t>
  </si>
  <si>
    <t>Isabelle Portebois</t>
  </si>
  <si>
    <t>isabelle.portebois@gizasystems.com</t>
  </si>
  <si>
    <t>Isaq Mohamed</t>
  </si>
  <si>
    <t>isaq.mohamed@gizasystems.com</t>
  </si>
  <si>
    <t>Technical Guru</t>
  </si>
  <si>
    <t>ISG Administration</t>
  </si>
  <si>
    <t>ISGAdministration@gizasystems.com</t>
  </si>
  <si>
    <t>ISG Business Solution Team</t>
  </si>
  <si>
    <t>ISGBusinessSolutionTeam@gizasystems.com</t>
  </si>
  <si>
    <t>ISG Support</t>
  </si>
  <si>
    <t>ISGSupportteam@gizasystems.com</t>
  </si>
  <si>
    <t>ISG-Staff</t>
  </si>
  <si>
    <t>ISG-Staff@gizasystems.com</t>
  </si>
  <si>
    <t>Islam El-Kotabi</t>
  </si>
  <si>
    <t>islam.elkotabi@gizasystems.com</t>
  </si>
  <si>
    <t>senior instrumentation Engineer</t>
  </si>
  <si>
    <t>Islam Essam</t>
  </si>
  <si>
    <t>islam.essam@gizasystems.com</t>
  </si>
  <si>
    <t>Islam Nabil</t>
  </si>
  <si>
    <t>islam.nabil@gizasystems.com</t>
  </si>
  <si>
    <t>Islam Siraj</t>
  </si>
  <si>
    <t>islam.siraj@gizasystems.com</t>
  </si>
  <si>
    <t>Islam Tawfik</t>
  </si>
  <si>
    <t>islam.tawfik@gizasystems.com</t>
  </si>
  <si>
    <t>Ismael Mohamed</t>
  </si>
  <si>
    <t>ismael.mohamed@gizasystems.com</t>
  </si>
  <si>
    <t>Accountant - Collection &amp; Sites Accounting</t>
  </si>
  <si>
    <t>Ismail Mohammed Ali Hamada</t>
  </si>
  <si>
    <t>ismail.hamada@gizasystems.com</t>
  </si>
  <si>
    <t>IT Business Solutions Support</t>
  </si>
  <si>
    <t>ITBusinessSolutionsSupport@gizasystems.com</t>
  </si>
  <si>
    <t>IT Ops</t>
  </si>
  <si>
    <t>ITOps@gizasystems.com</t>
  </si>
  <si>
    <t>IT Plan</t>
  </si>
  <si>
    <t>ITPlan@gizasystems.com</t>
  </si>
  <si>
    <t>IT Plan 2019-2022</t>
  </si>
  <si>
    <t>ITPlan2019-2022@gizasystems.com</t>
  </si>
  <si>
    <t>IT Team</t>
  </si>
  <si>
    <t>ITTeam@gizasystems.com</t>
  </si>
  <si>
    <t>IT technical team</t>
  </si>
  <si>
    <t>ITtechnicalteam@gizasystems.com</t>
  </si>
  <si>
    <t>IT.Reporting</t>
  </si>
  <si>
    <t>itreporting@gizasystems.com</t>
  </si>
  <si>
    <t>IT-Development-Team</t>
  </si>
  <si>
    <t>Development@gizasystems.com</t>
  </si>
  <si>
    <t>ITEngineers</t>
  </si>
  <si>
    <t>itengineers@gizasystems.com</t>
  </si>
  <si>
    <t>IT-Engineers</t>
  </si>
  <si>
    <t>IT-Engineers@gizasystems.com</t>
  </si>
  <si>
    <t>IT-Function-Team</t>
  </si>
  <si>
    <t>Function@gizasystems.com</t>
  </si>
  <si>
    <t>ITservicedesk</t>
  </si>
  <si>
    <t>ITservicedesk@gizasystems.com</t>
  </si>
  <si>
    <t>ITU GizaSupport</t>
  </si>
  <si>
    <t>ITU.GizaSupport@gizasystems.com</t>
  </si>
  <si>
    <t>ITU.Support</t>
  </si>
  <si>
    <t>ITU.Support@gizasystems.com</t>
  </si>
  <si>
    <t>IT-Unleash-Knowledge</t>
  </si>
  <si>
    <t>IT-Unleash-Knowledge@gizasystems.com</t>
  </si>
  <si>
    <t>Jackeline  Wanjiru</t>
  </si>
  <si>
    <t>jackline.wanjiru@gizasystems.com</t>
  </si>
  <si>
    <t>Jacqueline Omar Mahmoud</t>
  </si>
  <si>
    <t>jacqueline.omar@gizasystems.com</t>
  </si>
  <si>
    <t>Sharepoint &amp; Database Team Leader</t>
  </si>
  <si>
    <t>Jaliya Sampath Singhabahu</t>
  </si>
  <si>
    <t>JaliyaSinghabahu@gizasystems.com</t>
  </si>
  <si>
    <t>Jared Otieno</t>
  </si>
  <si>
    <t>jared.otieno@gizasystems.com</t>
  </si>
  <si>
    <t>Java Development Team</t>
  </si>
  <si>
    <t>javadevelopmentteam@gizasystems.com</t>
  </si>
  <si>
    <t>JAZAN Project_HWL-KSA</t>
  </si>
  <si>
    <t>jazanproject_hwl-ksa@gizasystems.com</t>
  </si>
  <si>
    <t>John Magdy</t>
  </si>
  <si>
    <t>john.magdy@gizasystems.com</t>
  </si>
  <si>
    <t>jose caluya</t>
  </si>
  <si>
    <t>jose.caluya@gizasystems.com</t>
  </si>
  <si>
    <t>Joseph Gourgy</t>
  </si>
  <si>
    <t>joseph.gourgy@gizasystems.com</t>
  </si>
  <si>
    <t>Joseph Mutisya</t>
  </si>
  <si>
    <t>joseph.mutisya@gizasystems.com</t>
  </si>
  <si>
    <t>Josephine Wanjiru</t>
  </si>
  <si>
    <t>josephine.wanjiru@gizasystems.com</t>
  </si>
  <si>
    <t>Judges</t>
  </si>
  <si>
    <t>Judges@gizasystems.com</t>
  </si>
  <si>
    <t>Julius Waithaka</t>
  </si>
  <si>
    <t>julius.waithaka@gizasystems.com</t>
  </si>
  <si>
    <t>Local Purchaser</t>
  </si>
  <si>
    <t>July.rehab</t>
  </si>
  <si>
    <t>July.rehab@gizasystems.com</t>
  </si>
  <si>
    <t>Juniors PM</t>
  </si>
  <si>
    <t>JuniorsPM@gizasystems.com</t>
  </si>
  <si>
    <t>Kareem Abbas</t>
  </si>
  <si>
    <t>kareem.abbas@gizasystems.com</t>
  </si>
  <si>
    <t>Kareem Abdelgawwad</t>
  </si>
  <si>
    <t>kareem.abdelgawwad@gizasystems.com</t>
  </si>
  <si>
    <t>Kareem Gamal</t>
  </si>
  <si>
    <t>kareem.gamal@gizasystems.com</t>
  </si>
  <si>
    <t>Kareem GamalElDin</t>
  </si>
  <si>
    <t>kareem.gamaleldin@gizasystems.com</t>
  </si>
  <si>
    <t>Kareem Safwat</t>
  </si>
  <si>
    <t>kareem.safwat@gizasystems.com</t>
  </si>
  <si>
    <t>Business Development Mamager</t>
  </si>
  <si>
    <t>Kareem Samy</t>
  </si>
  <si>
    <t>kareem.samy@gizasystems.com</t>
  </si>
  <si>
    <t>Kareem Taha</t>
  </si>
  <si>
    <t>kareem.taha@gizasystems.com</t>
  </si>
  <si>
    <t>Brands &amp; Events Specialist</t>
  </si>
  <si>
    <t>Karim Ahmed</t>
  </si>
  <si>
    <t>karim.ahmed@gizasystems.com</t>
  </si>
  <si>
    <t>Senior AP Accountant</t>
  </si>
  <si>
    <t>Karim Aly</t>
  </si>
  <si>
    <t>karim.aly@gizasystems.com</t>
  </si>
  <si>
    <t>Karim Elsharkawy</t>
  </si>
  <si>
    <t>karim.elsharkawy@gizasystems.com</t>
  </si>
  <si>
    <t>Karim Gebril</t>
  </si>
  <si>
    <t>karim.gebril@gizasystems.com</t>
  </si>
  <si>
    <t>Senior Collaboration Engineer</t>
  </si>
  <si>
    <t>Karim Ibrahim</t>
  </si>
  <si>
    <t>karim.ibrahim@gizasystems.com</t>
  </si>
  <si>
    <t>Quality Control Engineering Leader</t>
  </si>
  <si>
    <t>Karim Kamel</t>
  </si>
  <si>
    <t>karim.kamel@gizasystems.com</t>
  </si>
  <si>
    <t>LoB Accountant</t>
  </si>
  <si>
    <t>Karim Saad</t>
  </si>
  <si>
    <t>karim.saad@gizasystems.com</t>
  </si>
  <si>
    <t>Kariman Khatab</t>
  </si>
  <si>
    <t>kariman.khatab@gizasystems.com</t>
  </si>
  <si>
    <t>SW Tester</t>
  </si>
  <si>
    <t>Kariman Saad</t>
  </si>
  <si>
    <t>kariman.saad@gizasystems.com</t>
  </si>
  <si>
    <t>Software Tester</t>
  </si>
  <si>
    <t>Kaspersky</t>
  </si>
  <si>
    <t>kaspersky@gizasystems.com</t>
  </si>
  <si>
    <t>Kelvin Otieno</t>
  </si>
  <si>
    <t>kelvin.otieno@gizasystems.com</t>
  </si>
  <si>
    <t>Kenya Conferance</t>
  </si>
  <si>
    <t>kenya.conferance@gizasystems.com</t>
  </si>
  <si>
    <t>Kenya Team</t>
  </si>
  <si>
    <t>KenyaTeam@gizasystems.com</t>
  </si>
  <si>
    <t>Kevin  Sunguti</t>
  </si>
  <si>
    <t>kevin.sunguti@gizasystems.com</t>
  </si>
  <si>
    <t>Kevin Chore</t>
  </si>
  <si>
    <t>kevin.chore@gizasystems.com</t>
  </si>
  <si>
    <t>Techncian</t>
  </si>
  <si>
    <t>Kevin Malo</t>
  </si>
  <si>
    <t>kevin.malo@gizasystems.com</t>
  </si>
  <si>
    <t>Kevin Wasidia</t>
  </si>
  <si>
    <t>kevin.wasidia@gizasystems.com</t>
  </si>
  <si>
    <t>Khaled Abdelfattah</t>
  </si>
  <si>
    <t>khaled.abdelfattah@gizasystems.com</t>
  </si>
  <si>
    <t>Security Team Leader</t>
  </si>
  <si>
    <t>Facility - Security</t>
  </si>
  <si>
    <t>Khaled Abdo</t>
  </si>
  <si>
    <t>khaled.abdo@gizasystems.com</t>
  </si>
  <si>
    <t>Khaled AbdulRahman</t>
  </si>
  <si>
    <t>khaled.abdulrahman@gizasystems.com</t>
  </si>
  <si>
    <t>Buisness Development Manager</t>
  </si>
  <si>
    <t>Khaled Ahmed Abdel Karim</t>
  </si>
  <si>
    <t>khaled.abdelkarim@gizasystems.com</t>
  </si>
  <si>
    <t>Khaled Ali Farag</t>
  </si>
  <si>
    <t>khaled.farag@gizasystems.com</t>
  </si>
  <si>
    <t>Lead SME</t>
  </si>
  <si>
    <t>SMES</t>
  </si>
  <si>
    <t>Khaled ElSadaawy</t>
  </si>
  <si>
    <t>khaled.elsadaawy@gizasystems.com</t>
  </si>
  <si>
    <t>Security Survalance Employee</t>
  </si>
  <si>
    <t>Khaled Mahedab</t>
  </si>
  <si>
    <t>KhaledMahedab@gizasystems.com</t>
  </si>
  <si>
    <t>Khaled Mohamed Helmy</t>
  </si>
  <si>
    <t>khaled.helmy@gizasystems.com</t>
  </si>
  <si>
    <t>Enal &amp; Weca Technical Manager</t>
  </si>
  <si>
    <t>Khaled Mohamed Youssef</t>
  </si>
  <si>
    <t>kh.youssef@gizasystems.com</t>
  </si>
  <si>
    <t>IT Business Solutions Manager</t>
  </si>
  <si>
    <t>Khaled Mohey</t>
  </si>
  <si>
    <t>khaled.mohey@gizasystems.com</t>
  </si>
  <si>
    <t>Khaled Mostafa</t>
  </si>
  <si>
    <t>khaled.mostafa@gizasystems.com</t>
  </si>
  <si>
    <t>Khaled Nabhan</t>
  </si>
  <si>
    <t>khaled.nabhan@gizasystems.com</t>
  </si>
  <si>
    <t>Instrumentaion Engineer</t>
  </si>
  <si>
    <t>Khaled Ragheb</t>
  </si>
  <si>
    <t>khaled.ragheb@gizasystems.com</t>
  </si>
  <si>
    <t>Senior Business Process Specialist</t>
  </si>
  <si>
    <t>Khaled Risha</t>
  </si>
  <si>
    <t>khaled.risha@gizasystems.com</t>
  </si>
  <si>
    <t>Khaled Samy</t>
  </si>
  <si>
    <t>khaled.samy@gizasystems.com</t>
  </si>
  <si>
    <t>Khaled Sherif</t>
  </si>
  <si>
    <t>khaled.sherif@gizasystems.com</t>
  </si>
  <si>
    <t>T&amp;M Sales Manager</t>
  </si>
  <si>
    <t>Khaled Wageeh</t>
  </si>
  <si>
    <t>khaled.wageeh@gizasystems.com</t>
  </si>
  <si>
    <t>Khaled Yousef</t>
  </si>
  <si>
    <t>khaled.yousef@gizasystems.com</t>
  </si>
  <si>
    <t>Supervisor</t>
  </si>
  <si>
    <t>Khalid Mohammed Thani Hassan</t>
  </si>
  <si>
    <t>khalid.hassan@gizasystems.com</t>
  </si>
  <si>
    <t>Khalid Muhammed</t>
  </si>
  <si>
    <t>khalid.mohammed@gizasystems.com</t>
  </si>
  <si>
    <t>Kholoud Darwish</t>
  </si>
  <si>
    <t>kholoud.darwish@gizasystems.com</t>
  </si>
  <si>
    <t>Sr. Project Manager</t>
  </si>
  <si>
    <t>KM</t>
  </si>
  <si>
    <t>km@gizasystems.com</t>
  </si>
  <si>
    <t>KMReview</t>
  </si>
  <si>
    <t>kmreview@gizasystems.com</t>
  </si>
  <si>
    <t>KMUser</t>
  </si>
  <si>
    <t>kmuser@gizasystems.com</t>
  </si>
  <si>
    <t>knowledgebase Approval</t>
  </si>
  <si>
    <t>knowledgebase.Approval@gizasystems.com</t>
  </si>
  <si>
    <t>KSA Conferance</t>
  </si>
  <si>
    <t>ksa.conferance@gizasystems.com</t>
  </si>
  <si>
    <t>KSA.Contracts</t>
  </si>
  <si>
    <t>KSA.Contracts@gizasystems.com</t>
  </si>
  <si>
    <t>Laila Ashraf</t>
  </si>
  <si>
    <t>laila.ashraf@gizasystems.com</t>
  </si>
  <si>
    <t>Senior HR Specialist</t>
  </si>
  <si>
    <t>Lara Shawky</t>
  </si>
  <si>
    <t>lara.shawky@gizasystems.com</t>
  </si>
  <si>
    <t>Group Marketing Director</t>
  </si>
  <si>
    <t>LC Letter of Credit</t>
  </si>
  <si>
    <t>LCLetterofCredit@gizasystems.com</t>
  </si>
  <si>
    <t>LCR.GizaSupport</t>
  </si>
  <si>
    <t>lcr.gizasupport@gizasystems.com</t>
  </si>
  <si>
    <t>LCR.Support</t>
  </si>
  <si>
    <t>LCR.Support@gizasystems.com</t>
  </si>
  <si>
    <t>Legal Newsletter</t>
  </si>
  <si>
    <t>LegalNewsletter@gizasystems.com</t>
  </si>
  <si>
    <t>Liliana Hajj</t>
  </si>
  <si>
    <t>liliana.hajj@gizasystems.com</t>
  </si>
  <si>
    <t>LIVE-OPGW</t>
  </si>
  <si>
    <t>LIVE-OPGW@gizasystems.com</t>
  </si>
  <si>
    <t>LNI</t>
  </si>
  <si>
    <t>LNI@gizasystems.com</t>
  </si>
  <si>
    <t>LOB Heads</t>
  </si>
  <si>
    <t>LOBHeads@gizasystems.com</t>
  </si>
  <si>
    <t>m</t>
  </si>
  <si>
    <t>m@gizasystems.com</t>
  </si>
  <si>
    <t>M.S. Support</t>
  </si>
  <si>
    <t>M.S.Support@gizasystems.com</t>
  </si>
  <si>
    <t>Magdy Sleem</t>
  </si>
  <si>
    <t>magdy.sleem@gizasystems.com</t>
  </si>
  <si>
    <t>Public Relations Officer</t>
  </si>
  <si>
    <t>Magdy Zaher</t>
  </si>
  <si>
    <t>magdy.zaher@gizasystems.com</t>
  </si>
  <si>
    <t>Sales Manager - Military</t>
  </si>
  <si>
    <t>Maged Fathy</t>
  </si>
  <si>
    <t>Maged.Fathy@gizasystems.com</t>
  </si>
  <si>
    <t>Maged Guindi</t>
  </si>
  <si>
    <t>maged.guindi@gizasystems.com</t>
  </si>
  <si>
    <t>Business Development Manager</t>
  </si>
  <si>
    <t>Magid Fatihy</t>
  </si>
  <si>
    <t>magid.fatihy@gizasystems.com</t>
  </si>
  <si>
    <t>Senior Database Administrator</t>
  </si>
  <si>
    <t>Maha Sabry</t>
  </si>
  <si>
    <t>maha.sabry@gizasystems.com</t>
  </si>
  <si>
    <t>Treasury Coordinator</t>
  </si>
  <si>
    <t>Mahaaboob Basha</t>
  </si>
  <si>
    <t>mahaaboob.basha@gizasystems.com</t>
  </si>
  <si>
    <t>Maher Gamal</t>
  </si>
  <si>
    <t>maher.gamal@gizasystems.com</t>
  </si>
  <si>
    <t>Electrical Section Head - Water Dept</t>
  </si>
  <si>
    <t>Mahmoud  Abdel Aziz</t>
  </si>
  <si>
    <t>mahmoud.aziz@gizasystems.com</t>
  </si>
  <si>
    <t>Mahmoud  Abdel Rahman</t>
  </si>
  <si>
    <t>mahmoud.rahman@gizasystems.com</t>
  </si>
  <si>
    <t>Assistant Installation Manager</t>
  </si>
  <si>
    <t>Mahmoud  Abdel Raouf</t>
  </si>
  <si>
    <t>mahmoud.abdelraouf@gizasystems.com</t>
  </si>
  <si>
    <t>Mahmoud  Ahmed Ali Taha</t>
  </si>
  <si>
    <t>mahmoud.taha@gizasystems.com</t>
  </si>
  <si>
    <t>Senior Site engineer</t>
  </si>
  <si>
    <t>Mahmoud  Hany</t>
  </si>
  <si>
    <t>mahmoud.hany@gizasystems.com</t>
  </si>
  <si>
    <t>Mahmoud Abdel Galel</t>
  </si>
  <si>
    <t>mahmoud.abdelgalel@gizasystems.com</t>
  </si>
  <si>
    <t>Mahmoud Abdelaziz</t>
  </si>
  <si>
    <t>mahmoud.abdelaziz@gizasystems.com</t>
  </si>
  <si>
    <t>Mahmoud AbdelGhafaar</t>
  </si>
  <si>
    <t>mahmoud.abdelghafaar@gizasystems.com</t>
  </si>
  <si>
    <t>Mahmoud Abdelhady</t>
  </si>
  <si>
    <t>mahmoud.abdelhady@gizasystems.com</t>
  </si>
  <si>
    <t>Senior Procurement Engineer</t>
  </si>
  <si>
    <t>Mahmoud Abdelhafez</t>
  </si>
  <si>
    <t>mahmoud.ah@gizasystems.com</t>
  </si>
  <si>
    <t>Mahmoud Abdelkader</t>
  </si>
  <si>
    <t>mahmoud.abdelkader@gizasystems.com</t>
  </si>
  <si>
    <t>Mahmoud Ahmed</t>
  </si>
  <si>
    <t>mahmoud.Ahmed@gizasystems.com</t>
  </si>
  <si>
    <t>Maintenance Engineer</t>
  </si>
  <si>
    <t>Mahmoud Ahmed Shalaby</t>
  </si>
  <si>
    <t>mahmoud.shalaby@gizasystems.com</t>
  </si>
  <si>
    <t>Mahmoud Allam soheim</t>
  </si>
  <si>
    <t>mahmoud.allam@gizasystems.com</t>
  </si>
  <si>
    <t>Mahmoud AlMughazy</t>
  </si>
  <si>
    <t>mahmoud.almughazy@gizasystems.com</t>
  </si>
  <si>
    <t>Mahmoud Atef</t>
  </si>
  <si>
    <t>mahmoud.atef@gizasystems.com</t>
  </si>
  <si>
    <t>Mahmoud Atef ElSharkawy</t>
  </si>
  <si>
    <t>mahmoud.elsharkawy@gizasystems.com</t>
  </si>
  <si>
    <t>Mahmoud Barakat</t>
  </si>
  <si>
    <t>mahmoud.barakat@gizasystems.com</t>
  </si>
  <si>
    <t>Mahmoud Dawood</t>
  </si>
  <si>
    <t>mahmoud.dawood@gizasystems.com</t>
  </si>
  <si>
    <t>Mahmoud El Deeb</t>
  </si>
  <si>
    <t>mahmoud.deeb@gizasystems.com</t>
  </si>
  <si>
    <t>Mahmoud El Sheikh</t>
  </si>
  <si>
    <t>mahmoud.elsheikh@gizasystems.com</t>
  </si>
  <si>
    <t>Network Engineer</t>
  </si>
  <si>
    <t>Mahmoud Eldaly</t>
  </si>
  <si>
    <t>mahmoud.eldaly@gizasystems.com</t>
  </si>
  <si>
    <t>Mahmoud ElSaqqa</t>
  </si>
  <si>
    <t>mahmoud.elsaqqa@gizasystems.com</t>
  </si>
  <si>
    <t>Mahmoud ElSayed</t>
  </si>
  <si>
    <t>mahmoud.elsayed@gizasystems.com</t>
  </si>
  <si>
    <t>Mahmoud Farahat</t>
  </si>
  <si>
    <t>mahmoud.faraht@gizasystems.com</t>
  </si>
  <si>
    <t>Mahmoud Fathi</t>
  </si>
  <si>
    <t>mahmoud.fathi@gizasystems.com</t>
  </si>
  <si>
    <t>Mahmoud Fathi Mahmoud</t>
  </si>
  <si>
    <t>mahmoud.mfathi@gizasystems.com</t>
  </si>
  <si>
    <t>Oracle DBA Team leader</t>
  </si>
  <si>
    <t>Mahmoud Geratallah</t>
  </si>
  <si>
    <t>mahmoud.geratallah@gizasystems.com</t>
  </si>
  <si>
    <t>Mahmoud Ghoname</t>
  </si>
  <si>
    <t>mahmoud.ghoname@gizasystems.com</t>
  </si>
  <si>
    <t>Senior Electrical Engineer</t>
  </si>
  <si>
    <t>Mahmoud Hashish</t>
  </si>
  <si>
    <t>mahmoud.hashish@gizasystems.com</t>
  </si>
  <si>
    <t>Sales Manager - HCR</t>
  </si>
  <si>
    <t>Mahmoud Hassan</t>
  </si>
  <si>
    <t>mahmoud.hassan@gizasystems.com</t>
  </si>
  <si>
    <t>Mahmoud Hussien</t>
  </si>
  <si>
    <t>mahmoud.hussien@gizasystems.com</t>
  </si>
  <si>
    <t>Mahmoud Khairy</t>
  </si>
  <si>
    <t>mahmoud.khairy@gizasystems.com</t>
  </si>
  <si>
    <t>Senior Installation and maintenance Engineer</t>
  </si>
  <si>
    <t>Mahmoud Mahran</t>
  </si>
  <si>
    <t>mahmoud.mahran@gizasystems.com</t>
  </si>
  <si>
    <t>Mahmoud Marzouk</t>
  </si>
  <si>
    <t>mahmoud.marzouk@gizasystems.com</t>
  </si>
  <si>
    <t>Mahmoud Medhat Ahmed</t>
  </si>
  <si>
    <t>mahmoud.medhat@gizasystems.com</t>
  </si>
  <si>
    <t>Mahmoud Metwally</t>
  </si>
  <si>
    <t>mahmoud.metwally@gizasystems.com</t>
  </si>
  <si>
    <t>Document Controller</t>
  </si>
  <si>
    <t>Mahmoud Mohamed Abdel Rahman</t>
  </si>
  <si>
    <t>mahmoud.mohamed@gizasystems.com</t>
  </si>
  <si>
    <t>Mahmoud Naguib Ibrahim</t>
  </si>
  <si>
    <t>mahmoud.naguib@gizasystems.com</t>
  </si>
  <si>
    <t>Mahmoud Nouh Abdel Hafez</t>
  </si>
  <si>
    <t>mahmoud.nouh@gizasystems.com</t>
  </si>
  <si>
    <t>IT Infrastructure / Administration Team Leader</t>
  </si>
  <si>
    <t>Mahmoud Raafat</t>
  </si>
  <si>
    <t>mahmoud.raafat@gizasystems.com</t>
  </si>
  <si>
    <t>Mahmoud Ramadan</t>
  </si>
  <si>
    <t>mahmoud.ramadan@gizasystems.com</t>
  </si>
  <si>
    <t>Mahmoud Reda</t>
  </si>
  <si>
    <t>mahmoud.reda@gizasystems.com</t>
  </si>
  <si>
    <t>Contracts Coordinator</t>
  </si>
  <si>
    <t>Mahmoud Saied</t>
  </si>
  <si>
    <t>mahmoud.saied@gizasystems.com</t>
  </si>
  <si>
    <t>HSE Specialist</t>
  </si>
  <si>
    <t>Mahmoud Salah</t>
  </si>
  <si>
    <t>mahmoud.salah@gizasystems.com</t>
  </si>
  <si>
    <t>Mahmoud Salama</t>
  </si>
  <si>
    <t>mahmoud.salama@gizasystems.com</t>
  </si>
  <si>
    <t>Instrumentation Team Leader</t>
  </si>
  <si>
    <t>Mahmoud Sayed</t>
  </si>
  <si>
    <t>mahmoud.sayed@gizasystems.com</t>
  </si>
  <si>
    <t>Solutions Architect</t>
  </si>
  <si>
    <t>Mahmoud Shaheen</t>
  </si>
  <si>
    <t>mahmoud.shaheen@gizasystems.com</t>
  </si>
  <si>
    <t>Mahmoud Shawky</t>
  </si>
  <si>
    <t>mahmoud.shawky@gizasystems.com</t>
  </si>
  <si>
    <t>Senior Software Engineer</t>
  </si>
  <si>
    <t>Mahmoud Shehata</t>
  </si>
  <si>
    <t>mahmoud.shehata@gizasystems.com</t>
  </si>
  <si>
    <t>Mahmoud Swedan</t>
  </si>
  <si>
    <t>mahmoud.swedan@gizasystems.com</t>
  </si>
  <si>
    <t>Senior Network Admin</t>
  </si>
  <si>
    <t>Mahmoud Tawfik</t>
  </si>
  <si>
    <t>mahmoud.tawfik@gizasystems.com</t>
  </si>
  <si>
    <t>Mahmoud Youssef</t>
  </si>
  <si>
    <t>mahmoud.youssef@gizasystems.com</t>
  </si>
  <si>
    <t>Mahmoud Youssry Abdel Aziz</t>
  </si>
  <si>
    <t>mahmoud.yousry@gizasystems.com</t>
  </si>
  <si>
    <t>Mai Mohamed</t>
  </si>
  <si>
    <t>mai.mohamed@gizasystems.com</t>
  </si>
  <si>
    <t>Mai Rihan</t>
  </si>
  <si>
    <t>mai.rihan@gizasystems.com</t>
  </si>
  <si>
    <t>Logistics Manager</t>
  </si>
  <si>
    <t>Mai Taki</t>
  </si>
  <si>
    <t>mai.taki@gizasystems.com</t>
  </si>
  <si>
    <t>Market Research Associate</t>
  </si>
  <si>
    <t>Maintenance</t>
  </si>
  <si>
    <t>maintenance@gizasystems.com</t>
  </si>
  <si>
    <t>Majed Elanazi</t>
  </si>
  <si>
    <t>majed.elanazi@gizasystems.com</t>
  </si>
  <si>
    <t>Maker Space</t>
  </si>
  <si>
    <t>MakerSpace@gizasystems.com</t>
  </si>
  <si>
    <t>Makerspace Team</t>
  </si>
  <si>
    <t>makerspaceteam@gizasystems.com</t>
  </si>
  <si>
    <t>Malek Elanazi</t>
  </si>
  <si>
    <t>malek.elanazi@gizasystems.com</t>
  </si>
  <si>
    <t>Junior Accountant</t>
  </si>
  <si>
    <t>Manal ElShalakany</t>
  </si>
  <si>
    <t>manal.elshalakany@gizasystems.com</t>
  </si>
  <si>
    <t>Corporate Contract Manager</t>
  </si>
  <si>
    <t>Manalebsh Tamrat</t>
  </si>
  <si>
    <t>manalebsh.tamrat@gizasystems.com</t>
  </si>
  <si>
    <t>Manufacturing</t>
  </si>
  <si>
    <t>manufacturing@gizasystems.com</t>
  </si>
  <si>
    <t>Marco zaki</t>
  </si>
  <si>
    <t>marco.zaki@gizasystems.com</t>
  </si>
  <si>
    <t>Technical Office &amp; Procurement Leader - MEP Dept</t>
  </si>
  <si>
    <t>Maria Bahaa</t>
  </si>
  <si>
    <t>maria.bahaa@gizasystems.com</t>
  </si>
  <si>
    <t>Mariam Nabil Mohamed</t>
  </si>
  <si>
    <t>mariam.nabil@gizasystems.com</t>
  </si>
  <si>
    <t>Technical Office Coordinator</t>
  </si>
  <si>
    <t>Mariam Osama</t>
  </si>
  <si>
    <t>mariam.osama@gizasystems.com</t>
  </si>
  <si>
    <t>Mariam Sherien ElTanany</t>
  </si>
  <si>
    <t>mariam.eltanany@gizasystems.com</t>
  </si>
  <si>
    <t>Junior Financial Reporting</t>
  </si>
  <si>
    <t>Marihan Hamed</t>
  </si>
  <si>
    <t>marihan.hamed@gizasystems.com</t>
  </si>
  <si>
    <t>Mark Khalil</t>
  </si>
  <si>
    <t>mark.khalil@gizasystems.com</t>
  </si>
  <si>
    <t>Marriage</t>
  </si>
  <si>
    <t>Marriage@gizasystems.com</t>
  </si>
  <si>
    <t>Martin Bickety</t>
  </si>
  <si>
    <t>martin.bickety@gizasystems.com</t>
  </si>
  <si>
    <t>Project Manager - WECA</t>
  </si>
  <si>
    <t>Martina Bekheet</t>
  </si>
  <si>
    <t>martina.bekheet@gizasystems.com</t>
  </si>
  <si>
    <t>Training Coordinator</t>
  </si>
  <si>
    <t>Marwa Atia Hassan</t>
  </si>
  <si>
    <t>marwa.atia@gizasystems.com</t>
  </si>
  <si>
    <t>Marwa ElSayed</t>
  </si>
  <si>
    <t>marwa.elsayed@gizasystems.com</t>
  </si>
  <si>
    <t>Public Relations</t>
  </si>
  <si>
    <t>Marwa Fares</t>
  </si>
  <si>
    <t>marwa.fares@gizasystems.com</t>
  </si>
  <si>
    <t>Marwa Fouad</t>
  </si>
  <si>
    <t>marwa.fouad@gizasystems.com</t>
  </si>
  <si>
    <t>Marwa Mahmoud</t>
  </si>
  <si>
    <t>marwa.mahmoud@gizasystems.com</t>
  </si>
  <si>
    <t>Marwan Masoud</t>
  </si>
  <si>
    <t>marwan.masoud@gizasystems.com</t>
  </si>
  <si>
    <t>Marwan Salem</t>
  </si>
  <si>
    <t>marwan.salem@gizasystems.com</t>
  </si>
  <si>
    <t>LOB GM - TI</t>
  </si>
  <si>
    <t>Maureen Ngemu</t>
  </si>
  <si>
    <t>maureen.ngemu@gizasystems.com</t>
  </si>
  <si>
    <t>Maurice Makau</t>
  </si>
  <si>
    <t>maurice.makau@gizasystems.com</t>
  </si>
  <si>
    <t>Warehouse Specialist</t>
  </si>
  <si>
    <t>May El Dardiry</t>
  </si>
  <si>
    <t>may.eldardiry@gizasystems.com</t>
  </si>
  <si>
    <t>Education Program Manager</t>
  </si>
  <si>
    <t>Mazen Hassanein</t>
  </si>
  <si>
    <t>GA1323</t>
  </si>
  <si>
    <t>mazen.hassanein@gizasystems.com</t>
  </si>
  <si>
    <t>MBR_ Financial</t>
  </si>
  <si>
    <t>MBR_Financial@gizasystems.com</t>
  </si>
  <si>
    <t>MBR_Operations</t>
  </si>
  <si>
    <t>MBR_Operations@gizasystems.com</t>
  </si>
  <si>
    <t>MCM</t>
  </si>
  <si>
    <t>MCM@gizasystems.com</t>
  </si>
  <si>
    <t>MECHANICAL ENGINEERS</t>
  </si>
  <si>
    <t>mechanicalengineers@gizasystems.com</t>
  </si>
  <si>
    <t>Medhat Aboelrouss</t>
  </si>
  <si>
    <t>medhat.aboelrouss@gizasystems.com</t>
  </si>
  <si>
    <t>Medhat Fouad</t>
  </si>
  <si>
    <t>medhat.fouad@gizasystems.com</t>
  </si>
  <si>
    <t>Medhat Ragheb</t>
  </si>
  <si>
    <t>medhat.ragheb@gizasystems.com</t>
  </si>
  <si>
    <t>Mediation.support</t>
  </si>
  <si>
    <t>Mediation.support@gizasystems.com</t>
  </si>
  <si>
    <t>mediation_ict team</t>
  </si>
  <si>
    <t>mediation_ictteam@gizasystems.com</t>
  </si>
  <si>
    <t>Mediation_team</t>
  </si>
  <si>
    <t>Mediation_team@gizasystems.com</t>
  </si>
  <si>
    <t>Mekides Abebe</t>
  </si>
  <si>
    <t>mekides.abebe@gizasystems.com</t>
  </si>
  <si>
    <t>Mennatullah Ehab</t>
  </si>
  <si>
    <t>mennatuallah.ehab@gizasystems.com</t>
  </si>
  <si>
    <t>Mentors</t>
  </si>
  <si>
    <t>Mentors@gizasystems.com</t>
  </si>
  <si>
    <t>Mentorship</t>
  </si>
  <si>
    <t>mentorship@gizasystems.com</t>
  </si>
  <si>
    <t>Meshal Nasser Saad Alnifaey Alotabi</t>
  </si>
  <si>
    <t>MeshalAlotabi@gizasystems.com</t>
  </si>
  <si>
    <t>Miand Mamdouh</t>
  </si>
  <si>
    <t>miand.mamdouh@gizasystems.com</t>
  </si>
  <si>
    <t>Senior Developer - Oracle</t>
  </si>
  <si>
    <t>Mina Emad</t>
  </si>
  <si>
    <t>mina.emad@gizasystems.com</t>
  </si>
  <si>
    <t>Minoo Sharma</t>
  </si>
  <si>
    <t>minoo.sharma@gizasystems.com</t>
  </si>
  <si>
    <t>Mireille Kamel Farag</t>
  </si>
  <si>
    <t>mireille.kamel@gizasystems.com</t>
  </si>
  <si>
    <t>Mirette Zaki</t>
  </si>
  <si>
    <t>mirette.zaki@gizasystems.com</t>
  </si>
  <si>
    <t>Group HR Director</t>
  </si>
  <si>
    <t>Mirielle Ehab</t>
  </si>
  <si>
    <t>mirielle.ehab@gizasystems.com</t>
  </si>
  <si>
    <t>Planning Engineer</t>
  </si>
  <si>
    <t>MIS Financial Group</t>
  </si>
  <si>
    <t>MISFinancialGroup@gizasystems.com</t>
  </si>
  <si>
    <t>MIS Steering Committee</t>
  </si>
  <si>
    <t>MISSteeringCommittee@gizasystems.com</t>
  </si>
  <si>
    <t>Mishari Mohamed Hamed Alnifaiy</t>
  </si>
  <si>
    <t>MishariAlnifaiy@gizasystems.com</t>
  </si>
  <si>
    <t>MKT Group</t>
  </si>
  <si>
    <t>MKTGroup@gizasystems.com</t>
  </si>
  <si>
    <t>mmakhlouf</t>
  </si>
  <si>
    <t>mmakhlouf@gizasystems.com</t>
  </si>
  <si>
    <t>Moamen Maarek</t>
  </si>
  <si>
    <t>moamen.maarek@gizasystems.com</t>
  </si>
  <si>
    <t>Moamen Marzoq</t>
  </si>
  <si>
    <t>moamen.marzoq@gizasystems.com</t>
  </si>
  <si>
    <t>Moamen Mohamed</t>
  </si>
  <si>
    <t>moamen.mohamed@gizasystems.com</t>
  </si>
  <si>
    <t>Senior IT Service Delivery Specialist</t>
  </si>
  <si>
    <t>Moataz  Rady</t>
  </si>
  <si>
    <t>moataz.rady@gizasystems.com</t>
  </si>
  <si>
    <t>Moataz ElHusseiny</t>
  </si>
  <si>
    <t>moataz.elhusseiny@gizasystems.com</t>
  </si>
  <si>
    <t>Moataz Magdi Mohamed</t>
  </si>
  <si>
    <t>moataz.magdi@gizasystems.com</t>
  </si>
  <si>
    <t>Moataz Maher</t>
  </si>
  <si>
    <t>moataz.maher@gizasystems.com</t>
  </si>
  <si>
    <t>Moataz Negm</t>
  </si>
  <si>
    <t>moataz.negm@gizasystems.com</t>
  </si>
  <si>
    <t>Moaz Mohamed</t>
  </si>
  <si>
    <t>moaz.mohamed@gizasystems.com</t>
  </si>
  <si>
    <t>mobbesadmin</t>
  </si>
  <si>
    <t>mobbesadmin@gizasystems.com</t>
  </si>
  <si>
    <t>MobileWallet-GS</t>
  </si>
  <si>
    <t>MobileWalletGS@gizasystems.com</t>
  </si>
  <si>
    <t>Mobi-npg-supp</t>
  </si>
  <si>
    <t>Mobi-npg-supp@gizasystems.com</t>
  </si>
  <si>
    <t>Mohamed  Abdalhalem</t>
  </si>
  <si>
    <t>mohamed.abdelhalem@gizasystems.com</t>
  </si>
  <si>
    <t>Mohamed  Abdalhalim</t>
  </si>
  <si>
    <t>mohamed.abdelhalim@gizasystems.com</t>
  </si>
  <si>
    <t>Mohamed  Saleh</t>
  </si>
  <si>
    <t>mohamed.salah1@gizasystems.com</t>
  </si>
  <si>
    <t>Mohamed A.Gawad Shelbaya</t>
  </si>
  <si>
    <t>mohamed.gawad@gizasystems.com</t>
  </si>
  <si>
    <t>General Manager</t>
  </si>
  <si>
    <t>Mohamed Abd El Aziz Abdallah</t>
  </si>
  <si>
    <t>mohamed.abdallah@gizasystems.com</t>
  </si>
  <si>
    <t>Scada LOB GM</t>
  </si>
  <si>
    <t>Mohamed Abd El Wahed</t>
  </si>
  <si>
    <t>mohammed.abdelwahed@gizasystems.com</t>
  </si>
  <si>
    <t>Mohamed Abd ElHakim Youssef</t>
  </si>
  <si>
    <t>mohamed.youssef@gizasystems.com</t>
  </si>
  <si>
    <t>Voip Engineer</t>
  </si>
  <si>
    <t>Mohamed Abdallah Haridy</t>
  </si>
  <si>
    <t>abdallah.haridy@gizasystems.com</t>
  </si>
  <si>
    <t>Mohamed Abdel Azeem</t>
  </si>
  <si>
    <t>mohammed.abdelazeem@gizasystems.com</t>
  </si>
  <si>
    <t>Mohamed Abdel Aziz</t>
  </si>
  <si>
    <t>M.Aziz@gizasystems.com</t>
  </si>
  <si>
    <t>Senior Treasury Accountant</t>
  </si>
  <si>
    <t>Mohamed Abdel Hakim</t>
  </si>
  <si>
    <t>mohamed.abdelhakim@gizasystems.com</t>
  </si>
  <si>
    <t>Mohamed Abdel Rahim</t>
  </si>
  <si>
    <t>mohamed.abdelrahim@gizasystems.com</t>
  </si>
  <si>
    <t>Mohamed Abdel Shafy</t>
  </si>
  <si>
    <t>mohamed.abdelshafy@gizasystems.com</t>
  </si>
  <si>
    <t>Mohamed Abdelaziz</t>
  </si>
  <si>
    <t>mohamed.abdelaziz@gizasystems.com</t>
  </si>
  <si>
    <t>Mohamed Abdelhalem</t>
  </si>
  <si>
    <t>Mohamed Abdelhamid</t>
  </si>
  <si>
    <t>mohamed.abdelhamid@gizasystems.com</t>
  </si>
  <si>
    <t>Fundraising Specialist</t>
  </si>
  <si>
    <t>Mohamed Abdelkhalek</t>
  </si>
  <si>
    <t>mohamed.abdelkhalek@gizasystems.com</t>
  </si>
  <si>
    <t>Mohamed Abdelkhalik</t>
  </si>
  <si>
    <t>mohamed.abdelkhalik@gizasystems.com</t>
  </si>
  <si>
    <t>Mohamed Abdellatif</t>
  </si>
  <si>
    <t>mohamed.latif@gizasystems.com</t>
  </si>
  <si>
    <t>Mohamed Abdrabou</t>
  </si>
  <si>
    <t>mohamed.abdrabou@gizasystems.com</t>
  </si>
  <si>
    <t>Computer Technician</t>
  </si>
  <si>
    <t>Mohamed Abdulah Hassan</t>
  </si>
  <si>
    <t>mohamed.abdulah@gizasystems.com</t>
  </si>
  <si>
    <t>Mohamed Abdullah Fahd Elmotlaq El Dossary</t>
  </si>
  <si>
    <t>MohamedElDossary@gizasystems.com</t>
  </si>
  <si>
    <t>Mohamed Abogazya</t>
  </si>
  <si>
    <t>mohamed.abogazya@gizasystems.com</t>
  </si>
  <si>
    <t>Mohamed Abouelrous</t>
  </si>
  <si>
    <t>mohamed.abouelrous@gizasystems.com</t>
  </si>
  <si>
    <t>Mohamed Abourayya</t>
  </si>
  <si>
    <t>mohamed.abourayya@gizasystems.com</t>
  </si>
  <si>
    <t>LOB GM</t>
  </si>
  <si>
    <t>Mohamed Abuleala</t>
  </si>
  <si>
    <t>mohamed.abuleala@gizasystems.com</t>
  </si>
  <si>
    <t>Mohamed Adam</t>
  </si>
  <si>
    <t>mohamed.adam@gizasystems.com</t>
  </si>
  <si>
    <t>Mohamed Adel</t>
  </si>
  <si>
    <t>mohamed.adel@gizasystems.com</t>
  </si>
  <si>
    <t>Mohamed Adel Sabal</t>
  </si>
  <si>
    <t>mohamed.sabal@gizasystems.com</t>
  </si>
  <si>
    <t>Mohamed Ahmed</t>
  </si>
  <si>
    <t>mohamed.ahmed@gizasystems.com</t>
  </si>
  <si>
    <t>Mohamed Ahmed Abdel Salam</t>
  </si>
  <si>
    <t>mohamed.abdelsalam@gizasystems.com</t>
  </si>
  <si>
    <t>Mohamed Ahmed Alaa</t>
  </si>
  <si>
    <t>mohamed.alaa@gizasystems.com</t>
  </si>
  <si>
    <t>Mohamed Ahmed Balah</t>
  </si>
  <si>
    <t>mohamed.balah@gizasystems.com</t>
  </si>
  <si>
    <t>Design Engineer</t>
  </si>
  <si>
    <t>Mohamed Ahmed El Araby</t>
  </si>
  <si>
    <t>mohamed.elaraby@gizasystems.com</t>
  </si>
  <si>
    <t>Mohamed Ahmed Gad</t>
  </si>
  <si>
    <t>mohamed.gad@gizasystems.com</t>
  </si>
  <si>
    <t>EBS Technician</t>
  </si>
  <si>
    <t>Mohamed Ahmed Hafez Diab</t>
  </si>
  <si>
    <t>mohamed.diab@gizasystems.com</t>
  </si>
  <si>
    <t>Mohamed Alamin</t>
  </si>
  <si>
    <t>mohamed.alamin@gizasystems.com</t>
  </si>
  <si>
    <t>Managing Director</t>
  </si>
  <si>
    <t>Mohamed Alfarsi</t>
  </si>
  <si>
    <t>mohamed.alfarsi@gizasystems.com</t>
  </si>
  <si>
    <t>Business Development</t>
  </si>
  <si>
    <t>Mohamed Ali Abdelhak</t>
  </si>
  <si>
    <t>mohamed.abdelhak@gizasystems.com</t>
  </si>
  <si>
    <t>Mohamed Ali Farid</t>
  </si>
  <si>
    <t>mohamed.farid@gizasystems.com</t>
  </si>
  <si>
    <t>Mohamed Ali Mohamed</t>
  </si>
  <si>
    <t>mohamed.aly@gizasystems.com</t>
  </si>
  <si>
    <t>Mohamed Allam</t>
  </si>
  <si>
    <t>mohamed.allam@gizasystems.com</t>
  </si>
  <si>
    <t>Mohamed Alowany</t>
  </si>
  <si>
    <t>mhmd@gizasystems.com</t>
  </si>
  <si>
    <t>Mohamed Anees</t>
  </si>
  <si>
    <t>mohamed.anees@gizasystems.com</t>
  </si>
  <si>
    <t>Personnel Coordinator</t>
  </si>
  <si>
    <t>Mohamed Ansari</t>
  </si>
  <si>
    <t>mohamed.ansari@gizasystems.com</t>
  </si>
  <si>
    <t>Sales Account Manager Oil&amp;Gas</t>
  </si>
  <si>
    <t>Mohamed Arafa</t>
  </si>
  <si>
    <t>mohamed.arafa@gizasystems.com</t>
  </si>
  <si>
    <t>Mohamed Ashmawy</t>
  </si>
  <si>
    <t>mohamed.ashmawy@gizasystems.com</t>
  </si>
  <si>
    <t>Mohamed Ashraf</t>
  </si>
  <si>
    <t>mohamed.ashraf@gizasystems.com</t>
  </si>
  <si>
    <t>Mohamed Atia</t>
  </si>
  <si>
    <t>mohamed.atia@gizasystems.com</t>
  </si>
  <si>
    <t>Mohamed Ayman</t>
  </si>
  <si>
    <t>mohamed.ayman@gizasystems.com</t>
  </si>
  <si>
    <t>Community Engagement Specialist</t>
  </si>
  <si>
    <t>Mohamed Badr</t>
  </si>
  <si>
    <t>mohamed.badr@gizasystems.com</t>
  </si>
  <si>
    <t>Mohamed Desouky</t>
  </si>
  <si>
    <t>mohamed.desouky@gizasystems.com</t>
  </si>
  <si>
    <t>Mohamed Diaa Abed</t>
  </si>
  <si>
    <t>mohamed.diaa@gizasystems.com</t>
  </si>
  <si>
    <t>Solutions Manager</t>
  </si>
  <si>
    <t>Mohamed Ebrahim</t>
  </si>
  <si>
    <t>mohamed.ebrahim@gizasystems.com</t>
  </si>
  <si>
    <t>Senior IT Specialist</t>
  </si>
  <si>
    <t>Mohamed Eid</t>
  </si>
  <si>
    <t>mohamed.eid@gizasystems.com</t>
  </si>
  <si>
    <t>EBS - Development</t>
  </si>
  <si>
    <t>Mohamed El Berry</t>
  </si>
  <si>
    <t>mohamed.elberry@gizasystems.com</t>
  </si>
  <si>
    <t>Mohamed El Dakak</t>
  </si>
  <si>
    <t>mohamed.dakak@gizasystems.com</t>
  </si>
  <si>
    <t>Mohamed El Faramawi</t>
  </si>
  <si>
    <t>mohamed.elfaramawy@gizasystems.com</t>
  </si>
  <si>
    <t>Administration Manager</t>
  </si>
  <si>
    <t>Mohamed El Hawary</t>
  </si>
  <si>
    <t>mohamed.hawary@gizasystems.com</t>
  </si>
  <si>
    <t>Datacenter Team Leader</t>
  </si>
  <si>
    <t>Mohamed El Hossary</t>
  </si>
  <si>
    <t>mohamed.elhossary@gizasystems.com</t>
  </si>
  <si>
    <t>Mohamed El Kady</t>
  </si>
  <si>
    <t>mohamed.elkady@gizasystems.com</t>
  </si>
  <si>
    <t>Mohamed Eladawy</t>
  </si>
  <si>
    <t>mohamed.eladawy@gizasystems.com</t>
  </si>
  <si>
    <t>Senior Quality Control Engineer</t>
  </si>
  <si>
    <t>Mohamed Elewa</t>
  </si>
  <si>
    <t>mohamed.elewa@gizasystems.com</t>
  </si>
  <si>
    <t>Senior Developer - Java</t>
  </si>
  <si>
    <t>Mohamed ElGhawas</t>
  </si>
  <si>
    <t>mohamed.elghawas@gizasystems.com</t>
  </si>
  <si>
    <t>Senior Account Manager - GB</t>
  </si>
  <si>
    <t>Mohamed ElHalfawy</t>
  </si>
  <si>
    <t>mohamed.elhalfawy@gizasystems.com</t>
  </si>
  <si>
    <t>Mohamed El-Kelany</t>
  </si>
  <si>
    <t>mohamed.elkelany@gizasystems.com</t>
  </si>
  <si>
    <t>Key Account Manager</t>
  </si>
  <si>
    <t>Mohamed ElKhateeb</t>
  </si>
  <si>
    <t>mohamed.elkhateeb@gizasystems.com</t>
  </si>
  <si>
    <t>Mohamed Elmaghrbil</t>
  </si>
  <si>
    <t>mohamed.elmaghrbil@gizasystems.com</t>
  </si>
  <si>
    <t>BMS Specialist</t>
  </si>
  <si>
    <t>Mohamed ElMeligy</t>
  </si>
  <si>
    <t>mohamed.elmeligy@gizasystems.com</t>
  </si>
  <si>
    <t>Mohamed ElMistkawy</t>
  </si>
  <si>
    <t>mohamed.elmistkawy@gizasystems.com</t>
  </si>
  <si>
    <t>Smart buildings</t>
  </si>
  <si>
    <t>Mohamed Elsayad</t>
  </si>
  <si>
    <t>mohamed.elsayad@gizasystems.com</t>
  </si>
  <si>
    <t>Senior Account Manager – Oil&amp;Gas</t>
  </si>
  <si>
    <t>Mohamed Elsayed</t>
  </si>
  <si>
    <t>mohamed.elsayed@gizasystems.com</t>
  </si>
  <si>
    <t>Mohamed El-Sayed Saad</t>
  </si>
  <si>
    <t>mohamed.el-sayed@gizasystems.com</t>
  </si>
  <si>
    <t>Senior Application Managment Engineer</t>
  </si>
  <si>
    <t>Mohamed Elshazly</t>
  </si>
  <si>
    <t>mohamed.elshazly@gizasystems.com</t>
  </si>
  <si>
    <t>Mohamed El-Tohamy</t>
  </si>
  <si>
    <t>mohamed.tohamy@gizasystems.com</t>
  </si>
  <si>
    <t>Mohamed Essam</t>
  </si>
  <si>
    <t>mahmoud.essam@gizasystems.com</t>
  </si>
  <si>
    <t>mohamed.essam@gizasystems.com</t>
  </si>
  <si>
    <t>Mohamed Ezz</t>
  </si>
  <si>
    <t>mohamed.ezz@gizasystems.com</t>
  </si>
  <si>
    <t>Network Team Leader</t>
  </si>
  <si>
    <t>Mohamed Ezzat</t>
  </si>
  <si>
    <t>mohamed.ezzat@gizasystems.com</t>
  </si>
  <si>
    <t>Mohamed Farag</t>
  </si>
  <si>
    <t>mohamed.farag@gizasystems.com</t>
  </si>
  <si>
    <t>Mohamed farouk</t>
  </si>
  <si>
    <t>mohamed.farouk@gizasystems.com</t>
  </si>
  <si>
    <t>Mohamed Fathy</t>
  </si>
  <si>
    <t>mohamed.fathy@gizasystems.com</t>
  </si>
  <si>
    <t>Mohamed Fouad</t>
  </si>
  <si>
    <t>mohamed.fouad@gizasystems.com</t>
  </si>
  <si>
    <t>Mohamed Gaber</t>
  </si>
  <si>
    <t>mohamed.gaber@gizasystems.com</t>
  </si>
  <si>
    <t>Senior Oracle DBA</t>
  </si>
  <si>
    <t>Mohamed Galal El-Masry</t>
  </si>
  <si>
    <t>mohamed.galal@gizasystems.com</t>
  </si>
  <si>
    <t>Senior System Administrator</t>
  </si>
  <si>
    <t>Mohamed Gamal Abdelaziz</t>
  </si>
  <si>
    <t>mohamed.gamal@gizasystems.com</t>
  </si>
  <si>
    <t>Mohamed Gamal Abdelhay</t>
  </si>
  <si>
    <t>mohamed.abdelhay@gizasystems.com</t>
  </si>
  <si>
    <t>Technical Office</t>
  </si>
  <si>
    <t>Mohamed Gameel Abdelfattah</t>
  </si>
  <si>
    <t>mohamed.abdelfattah@gizasystems.com</t>
  </si>
  <si>
    <t>GL Supervisor</t>
  </si>
  <si>
    <t>Mohamed Ghareeb</t>
  </si>
  <si>
    <t>mohamed.ghareeb@gizasystems.com</t>
  </si>
  <si>
    <t>Senior Bidding Specialist</t>
  </si>
  <si>
    <t>Mohamed Gomaa</t>
  </si>
  <si>
    <t>mohamed.gomaa@gizasystems.com</t>
  </si>
  <si>
    <t>Mohamed Gouda</t>
  </si>
  <si>
    <t>mohamed.gouda@gizasystems.com</t>
  </si>
  <si>
    <t>Mohamed Habash</t>
  </si>
  <si>
    <t>mohamed.habash@gizasystems.com</t>
  </si>
  <si>
    <t>Mohamed Hafez</t>
  </si>
  <si>
    <t>mohamed.hafez@gizasystems.com</t>
  </si>
  <si>
    <t>Senior Sales Account Manager - Telecom</t>
  </si>
  <si>
    <t>Mohamed Hamad Mohamed Al Fahid</t>
  </si>
  <si>
    <t>MohamedAlFahid@gizasystems.com</t>
  </si>
  <si>
    <t>Mohamed Hamdy</t>
  </si>
  <si>
    <t>mohamed.hamdy@gizasystems.com</t>
  </si>
  <si>
    <t>Mohamed Hamdy Belal</t>
  </si>
  <si>
    <t>mohamed.belal@gizasystems.com</t>
  </si>
  <si>
    <t>Quality Control Manger</t>
  </si>
  <si>
    <t>Mohamed Hamed Ahmed</t>
  </si>
  <si>
    <t>mohamed.hamed@gizasystems.com</t>
  </si>
  <si>
    <t>Mohamed Haridy</t>
  </si>
  <si>
    <t>mohamed.haridy@gizasystems.com</t>
  </si>
  <si>
    <t>Mohamed Hassan</t>
  </si>
  <si>
    <t>mohamed.hassan@gizasystems.com</t>
  </si>
  <si>
    <t>Mohamed Hassan Aazab</t>
  </si>
  <si>
    <t>mohamed.aazab@gizasystems.com</t>
  </si>
  <si>
    <t>database Adminstrator</t>
  </si>
  <si>
    <t>Mohamed Hassan Abdelalim</t>
  </si>
  <si>
    <t>mohamed.abdelalim@gizasystems.com</t>
  </si>
  <si>
    <t>Mohamed Hassan Salama</t>
  </si>
  <si>
    <t>mohamed.salama@gizasystems.com</t>
  </si>
  <si>
    <t>Mohamed Hegazi</t>
  </si>
  <si>
    <t>mohamed.hegazi@gizasystems.com</t>
  </si>
  <si>
    <t>Compensation &amp; Benefits Specialist</t>
  </si>
  <si>
    <t>Mohamed Hussein</t>
  </si>
  <si>
    <t>mohamed.hussein@gizasystems.com</t>
  </si>
  <si>
    <t>Mohamed Hussein Ahmed</t>
  </si>
  <si>
    <t>mohamedhussein.ahmed@gizasystems.com</t>
  </si>
  <si>
    <t>Mohamed Ibrahim</t>
  </si>
  <si>
    <t>mohamed.ibrahim@gizasystems.com</t>
  </si>
  <si>
    <t>Mohamed Ismail</t>
  </si>
  <si>
    <t>mohamed.ismail@gizasystems.com</t>
  </si>
  <si>
    <t>Mohamed Kamal</t>
  </si>
  <si>
    <t>mohamed.kamal@gizasystems.com</t>
  </si>
  <si>
    <t>Mohamed Kandil</t>
  </si>
  <si>
    <t>mohamed.kandil@gizasystems.com</t>
  </si>
  <si>
    <t>President</t>
  </si>
  <si>
    <t>Mohamed Kenawy</t>
  </si>
  <si>
    <t>mohamed.kenawy@gizasystems.com</t>
  </si>
  <si>
    <t>Account Manager-Utilities</t>
  </si>
  <si>
    <t>Mohamed Khalaf</t>
  </si>
  <si>
    <t>mohamed.khalaf@gizasystems.com</t>
  </si>
  <si>
    <t>Health, Safety &amp; Environment Leader</t>
  </si>
  <si>
    <t>Mohamed Khaled</t>
  </si>
  <si>
    <t>mohamed.khaled@gizasystems.com</t>
  </si>
  <si>
    <t>Mohamed Korany</t>
  </si>
  <si>
    <t>mohamed.korany@gizasystems.com</t>
  </si>
  <si>
    <t>Mohamed Laving</t>
  </si>
  <si>
    <t>mohamed.laving@gizasystems.com</t>
  </si>
  <si>
    <t>Mohamed Magdy</t>
  </si>
  <si>
    <t>mohamed.magdy@gizasystems.com</t>
  </si>
  <si>
    <t>Mohamed Mahmoud</t>
  </si>
  <si>
    <t>mohamed.mahmoud@gizasystems.com</t>
  </si>
  <si>
    <t>Mohamed Mahmoud Ali</t>
  </si>
  <si>
    <t>mohamed.ali@gizasystems.com</t>
  </si>
  <si>
    <t>Channel Sales Manager</t>
  </si>
  <si>
    <t>Mohamed Mahrous</t>
  </si>
  <si>
    <t>mohamed.mahrous@gizasystems.com</t>
  </si>
  <si>
    <t>QC Presales Leader</t>
  </si>
  <si>
    <t>Mohamed Mamdouh</t>
  </si>
  <si>
    <t>Trainee</t>
  </si>
  <si>
    <t>mohamed.mamdouh@gizasystems.com</t>
  </si>
  <si>
    <t>BPM Trainee</t>
  </si>
  <si>
    <t>Mohamed Mohallel</t>
  </si>
  <si>
    <t>mohamed.mohallel@gizasystems.com</t>
  </si>
  <si>
    <t>Archiving Clerk</t>
  </si>
  <si>
    <t>Mohamed Morsy</t>
  </si>
  <si>
    <t>mohamed.morsy@gizasystems.com</t>
  </si>
  <si>
    <t>Senior Document Controller</t>
  </si>
  <si>
    <t>Mohamed Mosaad</t>
  </si>
  <si>
    <t>mohamed.mosaad@gizasystems.com</t>
  </si>
  <si>
    <t>Account Manager Telecom</t>
  </si>
  <si>
    <t>Mohamed Mosbeh</t>
  </si>
  <si>
    <t>mohamed.mosbeh@gizasystems.com</t>
  </si>
  <si>
    <t>Mohamed Mounir</t>
  </si>
  <si>
    <t>mohamed.mounir@gizasystems.com</t>
  </si>
  <si>
    <t>Mohamed Mustafa Elrefaei</t>
  </si>
  <si>
    <t>mohamed.elrefaei@gizasystems.com</t>
  </si>
  <si>
    <t>Mohamed Nafie</t>
  </si>
  <si>
    <t>mohamed.nafie@gizasystems.com</t>
  </si>
  <si>
    <t>Mohamed Nahed m.</t>
  </si>
  <si>
    <t>Mohamed.Nahed@gizasystems.com</t>
  </si>
  <si>
    <t>Mohamed Nour</t>
  </si>
  <si>
    <t>mohamed.nour@gizasystems.com</t>
  </si>
  <si>
    <t>Mohamed Omar</t>
  </si>
  <si>
    <t>mohamed.omar@gizasystems.com</t>
  </si>
  <si>
    <t>Mohamed Raafat</t>
  </si>
  <si>
    <t>mohamed.raafat@gizasystems.com</t>
  </si>
  <si>
    <t>Mohamed Rahmy</t>
  </si>
  <si>
    <t>mohamed.rahmy@gizasystems.com</t>
  </si>
  <si>
    <t>Testing Engineer</t>
  </si>
  <si>
    <t>Mohamed Ramadan</t>
  </si>
  <si>
    <t>Mohamed.Ramadan@gizasystems.com</t>
  </si>
  <si>
    <t>Mohamed Reda</t>
  </si>
  <si>
    <t>mohamed.reda@gizasystems.com</t>
  </si>
  <si>
    <t>Technology Infrastructure Technical Arch.</t>
  </si>
  <si>
    <t>Mohamed refat</t>
  </si>
  <si>
    <t>mohamed.refat@gizasystems.com</t>
  </si>
  <si>
    <t>Commissioning &amp; Testing Engineer</t>
  </si>
  <si>
    <t>Mohamed Saad Gad</t>
  </si>
  <si>
    <t>mohamed.saad@gizasystems.com</t>
  </si>
  <si>
    <t>Country Sales Manager</t>
  </si>
  <si>
    <t>Mohamed Sabry</t>
  </si>
  <si>
    <t>mohamed.sabry@gizasystems.com</t>
  </si>
  <si>
    <t>Sales Manager – Oil &amp; Gas-Manufacturing</t>
  </si>
  <si>
    <t>Mohamed Said</t>
  </si>
  <si>
    <t>mohamed.said@gizasystems.com</t>
  </si>
  <si>
    <t>Mohamed Said Awad</t>
  </si>
  <si>
    <t>mohamed.awad@gizasystems.com</t>
  </si>
  <si>
    <t>mohamed salah</t>
  </si>
  <si>
    <t>mohamed.salah@gizasystems.com</t>
  </si>
  <si>
    <t>Mohamed Saleh</t>
  </si>
  <si>
    <t>mohamed.saleh@gizasystems.com</t>
  </si>
  <si>
    <t>Mohamed Salem</t>
  </si>
  <si>
    <t>mohamed.salem@gizasystems.com</t>
  </si>
  <si>
    <t>Mohamed Sami</t>
  </si>
  <si>
    <t>mohamed.sami@gizasystems.com</t>
  </si>
  <si>
    <t>Mohamed Samir</t>
  </si>
  <si>
    <t>mohamed.samir@gizasystems.com</t>
  </si>
  <si>
    <t>Presales Manager - WECA</t>
  </si>
  <si>
    <t>Mohamed Samy</t>
  </si>
  <si>
    <t>mohamed.samy@gizasystems.com</t>
  </si>
  <si>
    <t>Mohamed Sayed Abdel Gawad</t>
  </si>
  <si>
    <t>mohamed.sayedgawad@gizasystems.com</t>
  </si>
  <si>
    <t>Group Finance Director</t>
  </si>
  <si>
    <t>Mohamed Sedeek</t>
  </si>
  <si>
    <t>mohamed.sedeek@gizasystems.com</t>
  </si>
  <si>
    <t>Chief Operations Officer</t>
  </si>
  <si>
    <t>Mohamed Sedky</t>
  </si>
  <si>
    <t>Mohamed.sedky@gizasystems.com</t>
  </si>
  <si>
    <t>Mohamed Selim</t>
  </si>
  <si>
    <t>mohamed.selim@gizasystems.com</t>
  </si>
  <si>
    <t>Mohamed Serag</t>
  </si>
  <si>
    <t>mohamed.serag@gizasystems.com</t>
  </si>
  <si>
    <t>Senior Sales Account Manager</t>
  </si>
  <si>
    <t>Mohamed Sherif</t>
  </si>
  <si>
    <t>mohamed.sherif@gizasystems.com</t>
  </si>
  <si>
    <t>Mohamed Sobhy Ismail</t>
  </si>
  <si>
    <t>mohamed.sobhy@gizasystems.com</t>
  </si>
  <si>
    <t>Technical Lead-Civil</t>
  </si>
  <si>
    <t>Mohamed Soliman</t>
  </si>
  <si>
    <t>mohamed.soliman@gizasystems.com</t>
  </si>
  <si>
    <t>Mohamed Soud Saleh Alsif</t>
  </si>
  <si>
    <t>MohamedAlsif@gizasystems.com</t>
  </si>
  <si>
    <t>Mohamed Taha</t>
  </si>
  <si>
    <t>mohamed.taha@gizasystems.com</t>
  </si>
  <si>
    <t>IA</t>
  </si>
  <si>
    <t>Mohamed Talaat</t>
  </si>
  <si>
    <t>mohamed.talaat@gizasystems.com</t>
  </si>
  <si>
    <t>Mohamed Tarek</t>
  </si>
  <si>
    <t>mohamed.tarek@gizasystems.com</t>
  </si>
  <si>
    <t>Mohamed Tarek AboElKassem</t>
  </si>
  <si>
    <t>mohamed.aboelkassem@gizasystems.com</t>
  </si>
  <si>
    <t>Mohamed Tarek Mahmoud</t>
  </si>
  <si>
    <t>mohamed.tarekmahmoud@gizasystems.com</t>
  </si>
  <si>
    <t>Mohamed Tarek Othman</t>
  </si>
  <si>
    <t>mohamed.othman@gizasystems.com</t>
  </si>
  <si>
    <t>AR Accountant</t>
  </si>
  <si>
    <t>Mohamed Tawfeek</t>
  </si>
  <si>
    <t>mohamed.tawfeek@gizasystems.com</t>
  </si>
  <si>
    <t>Mohamed Wahba</t>
  </si>
  <si>
    <t>mohamed.wahba@gizasystems.com</t>
  </si>
  <si>
    <t>Mohamed Wahby</t>
  </si>
  <si>
    <t>mohamed.wahby@gizasystems.com</t>
  </si>
  <si>
    <t>Mohamed Waleed</t>
  </si>
  <si>
    <t>mohamed.waleed@gizasystems.com</t>
  </si>
  <si>
    <t>Mohamed Walid</t>
  </si>
  <si>
    <t>mohamed.walid@gizasystems.com</t>
  </si>
  <si>
    <t>Mohamed Walie El-Dain</t>
  </si>
  <si>
    <t>mohamed.walie@gizasystems.com</t>
  </si>
  <si>
    <t>Mohamed Walieldin</t>
  </si>
  <si>
    <t>Mohamed.Walieldin@gizasystems.com</t>
  </si>
  <si>
    <t>Mohamed Zakaria</t>
  </si>
  <si>
    <t>mohamed.zakaria@gizasystems.com</t>
  </si>
  <si>
    <t>Process control</t>
  </si>
  <si>
    <t>MohamedElaraby Alsayed</t>
  </si>
  <si>
    <t>mohamedelaraby.alsayed@gizasystems.com</t>
  </si>
  <si>
    <t>Mohammad Ahmed Sami</t>
  </si>
  <si>
    <t>mohammad.sami@gizasystems.com</t>
  </si>
  <si>
    <t>Software Architect</t>
  </si>
  <si>
    <t>Mohammad Helmi Mohammad</t>
  </si>
  <si>
    <t>Mhelmi.Mohammad@gizasystems.com</t>
  </si>
  <si>
    <t>Mohammad Tawfik</t>
  </si>
  <si>
    <t>mohammad.tawfik@gizasystems.com</t>
  </si>
  <si>
    <t>Mohammed Abdo</t>
  </si>
  <si>
    <t>mohammed.abdo@gizasystems.com</t>
  </si>
  <si>
    <t>Store Keeper/HSE office</t>
  </si>
  <si>
    <t>Mohammed Alashkar</t>
  </si>
  <si>
    <t>mohammed.alashkar@gizasystems.com</t>
  </si>
  <si>
    <t>Security Manager</t>
  </si>
  <si>
    <t>Mohammed Alqahtani</t>
  </si>
  <si>
    <t>mohammed.alqahtani@gizasystems.com</t>
  </si>
  <si>
    <t>Mohammed ElSahar</t>
  </si>
  <si>
    <t>mohammed.elsahar@gizasystems.com</t>
  </si>
  <si>
    <t>Technical Office &amp; Procurement Leader - Water Dept</t>
  </si>
  <si>
    <t>Mohammed Elsayed</t>
  </si>
  <si>
    <t>mohammed.elsayed@gizasystems.com</t>
  </si>
  <si>
    <t>Mohammed Eweda</t>
  </si>
  <si>
    <t>mohammed.eweda@gizasystems.com</t>
  </si>
  <si>
    <t>UAE - JLT</t>
  </si>
  <si>
    <t>Mohammed Laving</t>
  </si>
  <si>
    <t>mohammed.laving@gizasystems.com</t>
  </si>
  <si>
    <t>Mohammed Mansour</t>
  </si>
  <si>
    <t>mohammed.mansour@gizasystems.com</t>
  </si>
  <si>
    <t>Mohammed Morsi</t>
  </si>
  <si>
    <t>mohammed.morsi@gizasystems.com</t>
  </si>
  <si>
    <t>Mohammed Shokry</t>
  </si>
  <si>
    <t>mohammed.shokry@gizasystems.com</t>
  </si>
  <si>
    <t>Mohammed Zaghloul</t>
  </si>
  <si>
    <t>mohammed.zaghloul@gizasystems.com</t>
  </si>
  <si>
    <t>General Accountant</t>
  </si>
  <si>
    <t>Mohannad ElKhouly</t>
  </si>
  <si>
    <t>mohannad.elkhouly@gizasystems.com</t>
  </si>
  <si>
    <t>Roaming Consultant</t>
  </si>
  <si>
    <t>Mohsen Deeb</t>
  </si>
  <si>
    <t>mohsen.deeb@gizasystems.com</t>
  </si>
  <si>
    <t>Mohsen Mostafa</t>
  </si>
  <si>
    <t>mohsen.mostafa@gizasystems.com</t>
  </si>
  <si>
    <t>Mohsen Radwan</t>
  </si>
  <si>
    <t>mohsen.radwan@gizasystems.com</t>
  </si>
  <si>
    <t>Senior Cost Accountant</t>
  </si>
  <si>
    <t>Mona Adel</t>
  </si>
  <si>
    <t>mona.adel@gizasystems.com</t>
  </si>
  <si>
    <t>Procurment Coordinator</t>
  </si>
  <si>
    <t>Mona Alaa</t>
  </si>
  <si>
    <t>mona.alaa@gizasystems.com</t>
  </si>
  <si>
    <t>Mona Gamal</t>
  </si>
  <si>
    <t>mona.gamal@gizasystems.com</t>
  </si>
  <si>
    <t>Sr. A/P Accountant</t>
  </si>
  <si>
    <t>Morcos labib</t>
  </si>
  <si>
    <t>morcos.labib@gizasystems.com</t>
  </si>
  <si>
    <t>Mosaad  Tawfik</t>
  </si>
  <si>
    <t>mosaad.tawfik@gizasystems.com</t>
  </si>
  <si>
    <t>Chief Manager</t>
  </si>
  <si>
    <t>Moses  Agwanda</t>
  </si>
  <si>
    <t>moses.agwanda@gizasystems.com</t>
  </si>
  <si>
    <t>Moshira Ahmed El-Sayed</t>
  </si>
  <si>
    <t>moshira.ahmed@gizasystems.com</t>
  </si>
  <si>
    <t>HR Business Partner</t>
  </si>
  <si>
    <t>Mostafa Abdelhakim</t>
  </si>
  <si>
    <t>mostafa.abdelhakim@gizasystems.com</t>
  </si>
  <si>
    <t>Mostafa Abdelhaq</t>
  </si>
  <si>
    <t>mostafa.mohamed@gizasystems.com</t>
  </si>
  <si>
    <t>Account Manager – utilities</t>
  </si>
  <si>
    <t>Mostafa Adel</t>
  </si>
  <si>
    <t>mostafa.adel@gizasystems.com</t>
  </si>
  <si>
    <t>Mostafa Ali Mohamed</t>
  </si>
  <si>
    <t>mostafa.ali@gizasystems.com</t>
  </si>
  <si>
    <t>Collaboration Engineer</t>
  </si>
  <si>
    <t>Mostafa Ashour</t>
  </si>
  <si>
    <t>mostafa.ashour@gizasystems.com</t>
  </si>
  <si>
    <t>LoB GM - Smart Buildings</t>
  </si>
  <si>
    <t>Mostafa Babers</t>
  </si>
  <si>
    <t>mostafa.babers@gizasystems.com</t>
  </si>
  <si>
    <t>Mostafa Baligh</t>
  </si>
  <si>
    <t>mostafa.baligh@gizasystems.com</t>
  </si>
  <si>
    <t>Mostafa Barakat</t>
  </si>
  <si>
    <t>mostafa.barakat@gizasystems.com</t>
  </si>
  <si>
    <t>Senior Application managment Engineer</t>
  </si>
  <si>
    <t>Mostafa Barghash</t>
  </si>
  <si>
    <t>mostafa.barghash@gizasystems.com</t>
  </si>
  <si>
    <t>Mostafa El hossamy</t>
  </si>
  <si>
    <t>mostafa.elhossamy@gizasystems.com</t>
  </si>
  <si>
    <t>Mostafa ElBanna</t>
  </si>
  <si>
    <t>mostafa.elbanna@gizasystems.com</t>
  </si>
  <si>
    <t>Application Manaagment Engineer</t>
  </si>
  <si>
    <t>Mostafa Fathi</t>
  </si>
  <si>
    <t>mostafa.fathi@gizasystems.com</t>
  </si>
  <si>
    <t>Senior Instrumentation Engineer</t>
  </si>
  <si>
    <t>Mostafa Fayez</t>
  </si>
  <si>
    <t>mostafa.fayez@gizasystems.com</t>
  </si>
  <si>
    <t>Mostafa Gohar</t>
  </si>
  <si>
    <t>mostafa.gohar@gizasystems.com</t>
  </si>
  <si>
    <t>Mostafa Hanafy</t>
  </si>
  <si>
    <t>mostafa.hanafy@gizasystems.com</t>
  </si>
  <si>
    <t>Mostafa Hany</t>
  </si>
  <si>
    <t>mostafa.hany@gizasystems.com</t>
  </si>
  <si>
    <t>Mostafa Hassan</t>
  </si>
  <si>
    <t>mostafa.hassan@gizasystems.com</t>
  </si>
  <si>
    <t>Mostafa Hatem</t>
  </si>
  <si>
    <t>mostafa.hatem@gizasystems.com</t>
  </si>
  <si>
    <t>Consultant</t>
  </si>
  <si>
    <t>Mostafa Ibrahim</t>
  </si>
  <si>
    <t>mostafa.ibrahim@gizasystems.com</t>
  </si>
  <si>
    <t>Technical office Manager</t>
  </si>
  <si>
    <t>Mostafa Kamal</t>
  </si>
  <si>
    <t>mostafa.kamal@gizasystems.com</t>
  </si>
  <si>
    <t>Mostafa Magdy</t>
  </si>
  <si>
    <t>mostafa.magdy@gizasystems.com</t>
  </si>
  <si>
    <t>Mostafa Mohamed Nosseir</t>
  </si>
  <si>
    <t>mostafa.nosseir@gizasystems.com</t>
  </si>
  <si>
    <t>Operations Lead</t>
  </si>
  <si>
    <t>Mostafa Mosa</t>
  </si>
  <si>
    <t>mostafa.mosa@gizasystems.com</t>
  </si>
  <si>
    <t>Mostafa Mosaad</t>
  </si>
  <si>
    <t>mostafa.mosaad@gizasystems.com</t>
  </si>
  <si>
    <t>Mostafa Naser</t>
  </si>
  <si>
    <t>mostafa.naser@gizasystems.com</t>
  </si>
  <si>
    <t>Technician Supervisor</t>
  </si>
  <si>
    <t>Mostafa Rabeea</t>
  </si>
  <si>
    <t>mostafa.rabeea@gizasystems.com</t>
  </si>
  <si>
    <t>Mostafa Refaii</t>
  </si>
  <si>
    <t>mostafa.refaii@gizasystems.com</t>
  </si>
  <si>
    <t>Mostafa Salah</t>
  </si>
  <si>
    <t>mostafa.salah@gizasystems.com</t>
  </si>
  <si>
    <t>Mostafa Sami</t>
  </si>
  <si>
    <t>mostafa.sami@gizasystems.com</t>
  </si>
  <si>
    <t>Senior A/R Accountant</t>
  </si>
  <si>
    <t>Mostafa Sayed</t>
  </si>
  <si>
    <t>mostafa.sayed@gizasystems.com</t>
  </si>
  <si>
    <t>Mostafa Seyam</t>
  </si>
  <si>
    <t>mostafa.seyam@gizasystems.com</t>
  </si>
  <si>
    <t>Mostafa Taher</t>
  </si>
  <si>
    <t>mostafa.taher@gizasystems.com</t>
  </si>
  <si>
    <t>Sr.Presales Engineer</t>
  </si>
  <si>
    <t>Mostafa Tarek</t>
  </si>
  <si>
    <t>mostafa.tarek@gizasystems.com</t>
  </si>
  <si>
    <t>Junior Bank Accountant</t>
  </si>
  <si>
    <t>Mostafa Tawfik</t>
  </si>
  <si>
    <t>mostafa.tawfik@gizasystems.com</t>
  </si>
  <si>
    <t>Mouhamed AboELyazed</t>
  </si>
  <si>
    <t>mohamed.aboelyazed@gizasystems.com</t>
  </si>
  <si>
    <t>Mounir Abdel Hakim</t>
  </si>
  <si>
    <t>mounir.hakim@gizasystems.com</t>
  </si>
  <si>
    <t>Office Representative</t>
  </si>
  <si>
    <t>Mounir AlNajdi</t>
  </si>
  <si>
    <t>MounirAlNajdi@gizasystems.com</t>
  </si>
  <si>
    <t>Moustafa Gomaa</t>
  </si>
  <si>
    <t>moustafa.gomaa@gizasystems.com</t>
  </si>
  <si>
    <t>Moustafa Hassan</t>
  </si>
  <si>
    <t>moustafa.hassan@gizasystems.com</t>
  </si>
  <si>
    <t>Moustafa Hossam</t>
  </si>
  <si>
    <t>moustafa.hossam@gizasystems.com</t>
  </si>
  <si>
    <t>Moustafa Salah El-Din Moustafa</t>
  </si>
  <si>
    <t>moustafa.salah@gizasystems.com</t>
  </si>
  <si>
    <t>Moutaz elbanna</t>
  </si>
  <si>
    <t>moutaz.elbanna@gizasystems.com</t>
  </si>
  <si>
    <t>MOWA.MED</t>
  </si>
  <si>
    <t>mowa.med@gizasystems.com</t>
  </si>
  <si>
    <t>Ms test</t>
  </si>
  <si>
    <t>ms.test@gizasystems.com</t>
  </si>
  <si>
    <t>msadmin</t>
  </si>
  <si>
    <t>msadmin@gizasystems.com</t>
  </si>
  <si>
    <t>MSP Group</t>
  </si>
  <si>
    <t>MSPGroup@gizasystems.com</t>
  </si>
  <si>
    <t>MSP HEAD</t>
  </si>
  <si>
    <t>MSPHEAD@gizasystems.com</t>
  </si>
  <si>
    <t>mstest</t>
  </si>
  <si>
    <t>mstest@gizasystems.com</t>
  </si>
  <si>
    <t>Muhammad Ali</t>
  </si>
  <si>
    <t>muhammad.ali@gizasystems.com</t>
  </si>
  <si>
    <t>Store Clerk</t>
  </si>
  <si>
    <t>Muhammad Mustafa</t>
  </si>
  <si>
    <t>muhammad.mustafa@gizasystems.com</t>
  </si>
  <si>
    <t>Enterprise Buisnesss Solutions</t>
  </si>
  <si>
    <t>Muhammad Razzaq</t>
  </si>
  <si>
    <t>muhammad.razaq@gizasystems.com</t>
  </si>
  <si>
    <t>Mukhtar Hussein</t>
  </si>
  <si>
    <t>mukhtar.hussein@gizasystems.com</t>
  </si>
  <si>
    <t>Musa Mohamed</t>
  </si>
  <si>
    <t>musa.mohamed@gizasystems.com</t>
  </si>
  <si>
    <t>Mustafa  Aljamal</t>
  </si>
  <si>
    <t>mustafa.aljamal@gizasystems.com</t>
  </si>
  <si>
    <t>Projects Coordinator</t>
  </si>
  <si>
    <t>Mustafa Mahmod</t>
  </si>
  <si>
    <t>mustafa.mahmod@gizasystems.com</t>
  </si>
  <si>
    <t>Muzamil Hussein</t>
  </si>
  <si>
    <t>muzamil.hussein@gizasystems.com</t>
  </si>
  <si>
    <t>my-personal</t>
  </si>
  <si>
    <t>my-personal@gizasystems.com</t>
  </si>
  <si>
    <t>Nada Hashim</t>
  </si>
  <si>
    <t>nada.hashim@gizasystems.com</t>
  </si>
  <si>
    <t>Nada Samir</t>
  </si>
  <si>
    <t>nada.samir@gizasystems.com</t>
  </si>
  <si>
    <t>IT Business Solutions  Specialist</t>
  </si>
  <si>
    <t>Nadeen Khattab</t>
  </si>
  <si>
    <t>nadeen.khattab@gizasystems.com</t>
  </si>
  <si>
    <t>Junior Financial Reproting</t>
  </si>
  <si>
    <t>Nadeen Youssry</t>
  </si>
  <si>
    <t>nadeen.youssry@gizasystems.com</t>
  </si>
  <si>
    <t>Nader Elsayed</t>
  </si>
  <si>
    <t>nader.elsayed@gizasystems.com</t>
  </si>
  <si>
    <t>Nader Hassan</t>
  </si>
  <si>
    <t>nader.hassan@gizasystems.com</t>
  </si>
  <si>
    <t>Regional Commercial Manager</t>
  </si>
  <si>
    <t>NAEAF ABDULRAHMAN SAKER ELNOFAEE ELATEABE</t>
  </si>
  <si>
    <t>NAEAFELATEABE@gizasystems.com</t>
  </si>
  <si>
    <t>Nagham Gamal</t>
  </si>
  <si>
    <t>nagham.gamal@gizasystems.com</t>
  </si>
  <si>
    <t>Nagwa ElNwishy</t>
  </si>
  <si>
    <t>nagwa.elnwishy@gizasystems.com</t>
  </si>
  <si>
    <t>Maker Space manager</t>
  </si>
  <si>
    <t>Nahla Khaled Ahmed</t>
  </si>
  <si>
    <t>nahla.khaled@gizasystems.com</t>
  </si>
  <si>
    <t>Naif Ali Mohamed Al zubaidi</t>
  </si>
  <si>
    <t>NaifAlzubaidi@gizasystems.com</t>
  </si>
  <si>
    <t>Najda  Khan</t>
  </si>
  <si>
    <t>najda.khan@gizasystems.com</t>
  </si>
  <si>
    <t>HR &amp; Marketing Manager WECA</t>
  </si>
  <si>
    <t>Nariman Gadelmawla</t>
  </si>
  <si>
    <t>nariman.gadelmawla@gizasystems.com</t>
  </si>
  <si>
    <t>Nariman Samy Hammad</t>
  </si>
  <si>
    <t>nariman.hammad@gizasystems.com</t>
  </si>
  <si>
    <t>Nasser Alqraini</t>
  </si>
  <si>
    <t>nasser.alqraini@gizasystems.com</t>
  </si>
  <si>
    <t>Governmental Relation Officer</t>
  </si>
  <si>
    <t>nawab</t>
  </si>
  <si>
    <t>nawab@gizasystems.com</t>
  </si>
  <si>
    <t>Nawras-NI</t>
  </si>
  <si>
    <t>Nawras-NI@gizasystems.com</t>
  </si>
  <si>
    <t>NB-Move-Team</t>
  </si>
  <si>
    <t>NB-Move-Team@gizasystems.com</t>
  </si>
  <si>
    <t>Nehad Mohamed</t>
  </si>
  <si>
    <t>nehad.mohamed@gizasystems.com</t>
  </si>
  <si>
    <t>QA Manager</t>
  </si>
  <si>
    <t>Nermeen Eid</t>
  </si>
  <si>
    <t>nermin.eid@gizasystems.com</t>
  </si>
  <si>
    <t>Nermin Ramadan</t>
  </si>
  <si>
    <t>nermin.ramadan@gizasystems.com</t>
  </si>
  <si>
    <t>Nesma Talaat</t>
  </si>
  <si>
    <t>nesma.talaat@gizasystems.com</t>
  </si>
  <si>
    <t>Nesreen Fawzy</t>
  </si>
  <si>
    <t>nesreen.fawzy@gizasystems.com</t>
  </si>
  <si>
    <t>Specialist Developer - Java</t>
  </si>
  <si>
    <t>Neven Youssif</t>
  </si>
  <si>
    <t>neven.youssif@gizasystems.com</t>
  </si>
  <si>
    <t>Nevine Youssif</t>
  </si>
  <si>
    <t>nevine.youssif@gizasystems.com</t>
  </si>
  <si>
    <t>Document Controllrer</t>
  </si>
  <si>
    <t>new</t>
  </si>
  <si>
    <t>new@gizasystems.com</t>
  </si>
  <si>
    <t>Nigeria Team</t>
  </si>
  <si>
    <t>NigeriaTeam@gizasystems.com</t>
  </si>
  <si>
    <t>Nihal Talaat</t>
  </si>
  <si>
    <t>nihal.talaat@gizasystems.com</t>
  </si>
  <si>
    <t>Sales Account manager - HCR</t>
  </si>
  <si>
    <t>Nisreen Emad</t>
  </si>
  <si>
    <t>nisreen.emad@gizasystems.com</t>
  </si>
  <si>
    <t>HR Specialist</t>
  </si>
  <si>
    <t>Niveen Shahwan</t>
  </si>
  <si>
    <t>niveen.shahwan@gizasystems.com</t>
  </si>
  <si>
    <t>COO</t>
  </si>
  <si>
    <t>NON PROFIT ORGANIZATION</t>
  </si>
  <si>
    <t>nonprofitorganization@gizasystems.com</t>
  </si>
  <si>
    <t>Noor Eltahan</t>
  </si>
  <si>
    <t>NoorElTahan@gizasystems.com</t>
  </si>
  <si>
    <t>NoReply</t>
  </si>
  <si>
    <t>noreply@gizasystems.com</t>
  </si>
  <si>
    <t>Noreply_LS</t>
  </si>
  <si>
    <t>noreply.ls@gizasystems.com</t>
  </si>
  <si>
    <t>Norhan Wael Zahraan</t>
  </si>
  <si>
    <t>norhan.zahraan@gizasystems.com</t>
  </si>
  <si>
    <t>Education Program Specialist</t>
  </si>
  <si>
    <t>North Delta Team</t>
  </si>
  <si>
    <t>NorthDeltaTeam@gizasystems.com</t>
  </si>
  <si>
    <t>Noura Elgabry</t>
  </si>
  <si>
    <t>noura.elgabry@gizasystems.com</t>
  </si>
  <si>
    <t>Senior Purchasing Specialist</t>
  </si>
  <si>
    <t>Nourhan Amin</t>
  </si>
  <si>
    <t>nourhan.amin@gizasystems.com</t>
  </si>
  <si>
    <t>Nourhan ElKady</t>
  </si>
  <si>
    <t>nourhan.elkady@gizasystems.com</t>
  </si>
  <si>
    <t>Financial reporting Accountant</t>
  </si>
  <si>
    <t>Nourhan Essam</t>
  </si>
  <si>
    <t>nourhan.essam@gizasystems.com</t>
  </si>
  <si>
    <t>IT Business Solutions Specialist</t>
  </si>
  <si>
    <t>Nourhan Kamal</t>
  </si>
  <si>
    <t>nourhan.kamal@gizasystems.com</t>
  </si>
  <si>
    <t>ERP Team Leader</t>
  </si>
  <si>
    <t>Nourhan Thabet</t>
  </si>
  <si>
    <t>nourhan.thabet@gizasystems.com</t>
  </si>
  <si>
    <t>Comp And Ben Coordinator</t>
  </si>
  <si>
    <t>Nozzom</t>
  </si>
  <si>
    <t>Nozzom@gizasystems.com</t>
  </si>
  <si>
    <t>Nuno Vieira</t>
  </si>
  <si>
    <t>nuno.vieira@gizasystems.com</t>
  </si>
  <si>
    <t>ODH Team</t>
  </si>
  <si>
    <t>ODHTeam@gizasystems.com</t>
  </si>
  <si>
    <t>OIL</t>
  </si>
  <si>
    <t>oil@gizasystems.com</t>
  </si>
  <si>
    <t>Oilandgas</t>
  </si>
  <si>
    <t>oilandgas@gizasystems.com</t>
  </si>
  <si>
    <t>Omar  Mahdy‬‪</t>
  </si>
  <si>
    <t>omar.mahdy@gizasystems.com</t>
  </si>
  <si>
    <t>Omar Abd El Mogheth</t>
  </si>
  <si>
    <t>omar.mogheth@gizasystems.com</t>
  </si>
  <si>
    <t>Omar Abdul Kader</t>
  </si>
  <si>
    <t>GA1121</t>
  </si>
  <si>
    <t>omar.abdulkader@gizasystems.com</t>
  </si>
  <si>
    <t>Omar Balamash</t>
  </si>
  <si>
    <t>omar.balamash@gizasystems.com</t>
  </si>
  <si>
    <t>Omar Farouk</t>
  </si>
  <si>
    <t>omar.farouk@gizasystems.com</t>
  </si>
  <si>
    <t>Omar Ismail</t>
  </si>
  <si>
    <t>omar.ismail@gizasystems.com</t>
  </si>
  <si>
    <t>Omar Mahmoud</t>
  </si>
  <si>
    <t>omar.mahmoud@gizasystems.com</t>
  </si>
  <si>
    <t>Omar Okasha</t>
  </si>
  <si>
    <t>omar.okasha@gizasystems.com</t>
  </si>
  <si>
    <t>Flow Specialist</t>
  </si>
  <si>
    <t>Omar Safty</t>
  </si>
  <si>
    <t>OmarSafty@gizasystems.com</t>
  </si>
  <si>
    <t>Omar Swelam</t>
  </si>
  <si>
    <t>omar.swelam@gizasystems.com</t>
  </si>
  <si>
    <t>Omar taha</t>
  </si>
  <si>
    <t>omar.taha@gizasystems.com</t>
  </si>
  <si>
    <t>Omar Walid Ibrahim</t>
  </si>
  <si>
    <t>omar.walid@gizasystems.com</t>
  </si>
  <si>
    <t>Omar Yehia Mohamed</t>
  </si>
  <si>
    <t>omar.yehia@gizasystems.com</t>
  </si>
  <si>
    <t>Omar Youssef</t>
  </si>
  <si>
    <t>omar.youssef@gizasystems.com</t>
  </si>
  <si>
    <t>Project leader</t>
  </si>
  <si>
    <t>Omar Zohir ElSayed</t>
  </si>
  <si>
    <t>omar.zohair@gizasystems.com</t>
  </si>
  <si>
    <t>Omneya AbdelQader</t>
  </si>
  <si>
    <t>omneya.abdelqader@gizasystems.com</t>
  </si>
  <si>
    <t>Sr.Data Analyst</t>
  </si>
  <si>
    <t>Omneya Fawzy Mohamed</t>
  </si>
  <si>
    <t>omneya.fawzy@gizasystems.com</t>
  </si>
  <si>
    <t>Ooredoo-NI.Support</t>
  </si>
  <si>
    <t>Ooredoo-NI.Support@gizasystems.com</t>
  </si>
  <si>
    <t>Oracle Services</t>
  </si>
  <si>
    <t>software.solutions@gizasystems.com</t>
  </si>
  <si>
    <t>Organizing Team FL Opening</t>
  </si>
  <si>
    <t>OrganizingTeamFLOpening@gizasystems.com</t>
  </si>
  <si>
    <t>Osama Abas Salem</t>
  </si>
  <si>
    <t>osama.abbas@gizasystems.com</t>
  </si>
  <si>
    <t>Osama Abdel Aziz</t>
  </si>
  <si>
    <t>osama.abdelaziz@gizasystems.com</t>
  </si>
  <si>
    <t>Osama Abdelfattah</t>
  </si>
  <si>
    <t>osama.abdelfattah@gizasystems.com</t>
  </si>
  <si>
    <t>Osama Abdelhamid</t>
  </si>
  <si>
    <t>osama.abdelhamid@gizasystems.com</t>
  </si>
  <si>
    <t>Osama Adel</t>
  </si>
  <si>
    <t>osama.adel@gizasystems.com</t>
  </si>
  <si>
    <t>Senior Quality Assurance</t>
  </si>
  <si>
    <t>Osama Dawood</t>
  </si>
  <si>
    <t>osama.dawood@gizasystems.com</t>
  </si>
  <si>
    <t>Osama Fath</t>
  </si>
  <si>
    <t>osama.fath@gizasystems.com</t>
  </si>
  <si>
    <t>Personnel Manager</t>
  </si>
  <si>
    <t>Osama Fathi EL-Ged</t>
  </si>
  <si>
    <t>osama.elged@gizasystems.com</t>
  </si>
  <si>
    <t>Osama Hassan Yousef</t>
  </si>
  <si>
    <t>osama.hassan@gizasystems.com</t>
  </si>
  <si>
    <t>Junior Network Engineer</t>
  </si>
  <si>
    <t>Osama Sorour</t>
  </si>
  <si>
    <t>osama.sorour@gizasystems.com</t>
  </si>
  <si>
    <t>Chief Strategy Officer</t>
  </si>
  <si>
    <t>Osama Yousry</t>
  </si>
  <si>
    <t>osama.yousry@gizasystems.com</t>
  </si>
  <si>
    <t>Oscar  Dejesus</t>
  </si>
  <si>
    <t>oscar.dejesus@gizasystems.com</t>
  </si>
  <si>
    <t>OSS Technical Team</t>
  </si>
  <si>
    <t>OSSTechnicalTeam@gizasystems.com</t>
  </si>
  <si>
    <t>OSS-Presales</t>
  </si>
  <si>
    <t>OSS-Presales@gizasystems.com</t>
  </si>
  <si>
    <t>OTHERS</t>
  </si>
  <si>
    <t>others@gizasystems.com</t>
  </si>
  <si>
    <t>OTT Updates</t>
  </si>
  <si>
    <t>ott.updates@gizasystems.com</t>
  </si>
  <si>
    <t>Outlook Customer Manager</t>
  </si>
  <si>
    <t>AllSalesTeam-c036c9b0-d80c-423b-afed-8642ce2d6076@gizasystems.com</t>
  </si>
  <si>
    <t>Over</t>
  </si>
  <si>
    <t>over@gizasystems.com</t>
  </si>
  <si>
    <t>OVR Group</t>
  </si>
  <si>
    <t>OVRGroup@gizasystems.com</t>
  </si>
  <si>
    <t>Panel Building</t>
  </si>
  <si>
    <t>PanelBuilding@gizasystems.com</t>
  </si>
  <si>
    <t>Partners-BSS</t>
  </si>
  <si>
    <t>Partners-BSS@gizasystems.com</t>
  </si>
  <si>
    <t>Passant Elashry</t>
  </si>
  <si>
    <t>passant.elashry@gizasystems.com</t>
  </si>
  <si>
    <t>Senior Software Quality Engineer</t>
  </si>
  <si>
    <t>Pauline  Kimunge</t>
  </si>
  <si>
    <t>pauline.kimunge@gizasystems.com</t>
  </si>
  <si>
    <t>PCI Engineering</t>
  </si>
  <si>
    <t>PCIEngineering@gizasystems.com</t>
  </si>
  <si>
    <t>PCI Sales Group</t>
  </si>
  <si>
    <t>PCISalesGroup@gizasystems.com</t>
  </si>
  <si>
    <t>PDG Group</t>
  </si>
  <si>
    <t>PDGGroup@gizasystems.com</t>
  </si>
  <si>
    <t>PDVSA</t>
  </si>
  <si>
    <t>PDVSA@gizasystems.com</t>
  </si>
  <si>
    <t>People communication</t>
  </si>
  <si>
    <t>People.communication@gizasystems.com</t>
  </si>
  <si>
    <t>Performance Printer</t>
  </si>
  <si>
    <t>Performance-Printer@gizasystems.com</t>
  </si>
  <si>
    <t>performane Managment</t>
  </si>
  <si>
    <t>performacemanagment@gizasystems.com</t>
  </si>
  <si>
    <t>Peter Ashraf</t>
  </si>
  <si>
    <t>peter.ashraf@gizasystems.com</t>
  </si>
  <si>
    <t>Peter Kimiti</t>
  </si>
  <si>
    <t>peter.kimiti@gizasystems.com</t>
  </si>
  <si>
    <t>Acting maintenance manager</t>
  </si>
  <si>
    <t>Peter Munuo</t>
  </si>
  <si>
    <t>peter.munuo@gizasystems.com</t>
  </si>
  <si>
    <t>Peter Wadea</t>
  </si>
  <si>
    <t>peter.wadea@gizasystems.com</t>
  </si>
  <si>
    <t>PHARMACEUTICALS</t>
  </si>
  <si>
    <t>pharmaceuticals@gizasystems.com</t>
  </si>
  <si>
    <t>Phoenix</t>
  </si>
  <si>
    <t>phoenix@gizasystems.com</t>
  </si>
  <si>
    <t>PM1</t>
  </si>
  <si>
    <t>pm1@gizasystems.com</t>
  </si>
  <si>
    <t>PM2</t>
  </si>
  <si>
    <t>pm2@gizasystems.com</t>
  </si>
  <si>
    <t>PM-CS</t>
  </si>
  <si>
    <t>PM-CS@gizasystems.com</t>
  </si>
  <si>
    <t>PM-EN</t>
  </si>
  <si>
    <t>PM-EN@gizasystems.com</t>
  </si>
  <si>
    <t>PM-IA</t>
  </si>
  <si>
    <t>PM-IA@gizasystems.com</t>
  </si>
  <si>
    <t>PM-OP</t>
  </si>
  <si>
    <t>PM-OP@gizasystems.com</t>
  </si>
  <si>
    <t>PMTelecom</t>
  </si>
  <si>
    <t>PMTelecom@gizasystems.com</t>
  </si>
  <si>
    <t>PM-TL2008</t>
  </si>
  <si>
    <t>PM-TL2008@gizasystems.com</t>
  </si>
  <si>
    <t>PM-Trainee</t>
  </si>
  <si>
    <t>PM-Trainee@gizasystems.com</t>
  </si>
  <si>
    <t>POST project team</t>
  </si>
  <si>
    <t>POSTprojectteam@gizasystems.com</t>
  </si>
  <si>
    <t>power</t>
  </si>
  <si>
    <t>power@gizasystems.com</t>
  </si>
  <si>
    <t>Pradeep Kumar</t>
  </si>
  <si>
    <t>pradeeb.kumar@gizasystems.com</t>
  </si>
  <si>
    <t>Premium Card</t>
  </si>
  <si>
    <t>PremiumCard@gizasystems.com</t>
  </si>
  <si>
    <t>Presales@gizasystems.com</t>
  </si>
  <si>
    <t>Presales-BSS</t>
  </si>
  <si>
    <t>Presales-BSS@gizasystems.com</t>
  </si>
  <si>
    <t>PRESS</t>
  </si>
  <si>
    <t>press@gizasystems.com</t>
  </si>
  <si>
    <t>ProcessControl@gizasystems.com</t>
  </si>
  <si>
    <t>Process Controls</t>
  </si>
  <si>
    <t>process.controls@gizasystems.com</t>
  </si>
  <si>
    <t>Procurement@gizasystems.com</t>
  </si>
  <si>
    <t>Project Nitrous</t>
  </si>
  <si>
    <t>project.nitrous@gizasystems.com</t>
  </si>
  <si>
    <t>Projects Managers</t>
  </si>
  <si>
    <t>ProjectsManagers@gizasystems.com</t>
  </si>
  <si>
    <t>Purchasing</t>
  </si>
  <si>
    <t>Purchasing@gizasystems.com</t>
  </si>
  <si>
    <t>QA Internal Auditors</t>
  </si>
  <si>
    <t>QAInternalAuditors@gizasystems.com</t>
  </si>
  <si>
    <t>QA Team</t>
  </si>
  <si>
    <t>QATeam@gizasystems.com</t>
  </si>
  <si>
    <t>QCD</t>
  </si>
  <si>
    <t>QCD@gizasystems.com</t>
  </si>
  <si>
    <t>qpr</t>
  </si>
  <si>
    <t>qpr@gizasystems.com</t>
  </si>
  <si>
    <t>Q-Tel Consultancy Team</t>
  </si>
  <si>
    <t>Q-TelConsultancyTeam@gizasystems.com</t>
  </si>
  <si>
    <t>Q-Tel Management Team</t>
  </si>
  <si>
    <t>Q-TelManagementTeam@gizasystems.com</t>
  </si>
  <si>
    <t>Q-Tel UAT team</t>
  </si>
  <si>
    <t>Q-TelUATteam@gizasystems.com</t>
  </si>
  <si>
    <t>qtel.support</t>
  </si>
  <si>
    <t>qtel.support@gizasystems.com</t>
  </si>
  <si>
    <t>Qtel-Global</t>
  </si>
  <si>
    <t>Qtel-Global@gizasystems.com</t>
  </si>
  <si>
    <t>Qtel-NI</t>
  </si>
  <si>
    <t>Qtel-NI@gizasystems.com</t>
  </si>
  <si>
    <t>Qtel-NIArchitects</t>
  </si>
  <si>
    <t>Qtel-NIArchitects@gizasystems.com</t>
  </si>
  <si>
    <t>Qtel-NICL</t>
  </si>
  <si>
    <t>Qtel-NICL@gizasystems.com</t>
  </si>
  <si>
    <t>Qtel-NIDA</t>
  </si>
  <si>
    <t>Qtel-NIDA@gizasystems.com</t>
  </si>
  <si>
    <t>Qtel-NI-FAM</t>
  </si>
  <si>
    <t>Qtel-NI-FAM@gizasystems.com</t>
  </si>
  <si>
    <t>Qtel-NI-FAM-DM</t>
  </si>
  <si>
    <t>Qtel-NI-FAM-DM@gizasystems.com</t>
  </si>
  <si>
    <t>Qtel-NI-Granite</t>
  </si>
  <si>
    <t>Qtel-NI-Granite@gizasystems.com</t>
  </si>
  <si>
    <t>Qtel-NI-Granite-DM</t>
  </si>
  <si>
    <t>Qtel-NI-Granite-DM@gizasystems.com</t>
  </si>
  <si>
    <t>Qtel-NI-Integration</t>
  </si>
  <si>
    <t>Qtel-NI-Integration@gizasystems.com</t>
  </si>
  <si>
    <t>Qtel-NI-NE-DM</t>
  </si>
  <si>
    <t>Qtel-NI-NE-DM@gizasystems.com</t>
  </si>
  <si>
    <t>Qtel-NI-NE-Modeling</t>
  </si>
  <si>
    <t>Qtel-NI-NE-Modeling@gizasystems.com</t>
  </si>
  <si>
    <t>Qtel-NI-PMs</t>
  </si>
  <si>
    <t>Qtel-NI-PMs@gizasystems.com</t>
  </si>
  <si>
    <t>Qtel-NI-Program</t>
  </si>
  <si>
    <t>Qtel-NI-Program@gizasystems.com</t>
  </si>
  <si>
    <t>Qtel-NI-QC</t>
  </si>
  <si>
    <t>Qtel-NI-QC@gizasystems.com</t>
  </si>
  <si>
    <t>qwqw</t>
  </si>
  <si>
    <t>qwqw@gizasystems.com</t>
  </si>
  <si>
    <t>RA_FM.Support</t>
  </si>
  <si>
    <t>RA_FM.Support@gizasystems.com</t>
  </si>
  <si>
    <t>Raafat Mohamed Sayed</t>
  </si>
  <si>
    <t>rafat.mohamed@gizasystems.com</t>
  </si>
  <si>
    <t>Treasury Services Supervisor</t>
  </si>
  <si>
    <t>Rabab El-ogail</t>
  </si>
  <si>
    <t>rabab.elogail@gizasystems.com</t>
  </si>
  <si>
    <t>Strategy Execution Specialist</t>
  </si>
  <si>
    <t>Rabih Ahmed El Barake</t>
  </si>
  <si>
    <t>RabihElBarake@gizasystems.com</t>
  </si>
  <si>
    <t>Radwa Ali</t>
  </si>
  <si>
    <t>radwa.ali@gizasystems.com</t>
  </si>
  <si>
    <t>Radwa Hussein</t>
  </si>
  <si>
    <t>radwa.hussein@gizasystems.com</t>
  </si>
  <si>
    <t>Radwa Ibrahim</t>
  </si>
  <si>
    <t>radwa.ibrahim@gizasystems.com</t>
  </si>
  <si>
    <t>Ragaa Shaban</t>
  </si>
  <si>
    <t>ragaa.shaban@gizasystems.com</t>
  </si>
  <si>
    <t>Rahma Tarek Fahmy</t>
  </si>
  <si>
    <t>rahma.tarek@gizasystems.com</t>
  </si>
  <si>
    <t>Junior Admin Assistant</t>
  </si>
  <si>
    <t>Rajeesh Divakaran</t>
  </si>
  <si>
    <t>Rajeesh@gizasystems.com</t>
  </si>
  <si>
    <t>Rakan Alrashed</t>
  </si>
  <si>
    <t>rakan.alrashed@gizasystems.com</t>
  </si>
  <si>
    <t>Rami Tawakol</t>
  </si>
  <si>
    <t>rami.tawakol@gizasystems.com</t>
  </si>
  <si>
    <t>QC Presales Sr. Engineer</t>
  </si>
  <si>
    <t>Ramy  Ayad</t>
  </si>
  <si>
    <t>ramy.ayad@gizasystems.com</t>
  </si>
  <si>
    <t>QC Electrical Engineer</t>
  </si>
  <si>
    <t>Ramy Hany</t>
  </si>
  <si>
    <t>ramy.hany@gizasystems.com</t>
  </si>
  <si>
    <t>Rana Amer</t>
  </si>
  <si>
    <t>rana.amer@gizasystems.com</t>
  </si>
  <si>
    <t>Receptionist</t>
  </si>
  <si>
    <t>Rana Eldesouky</t>
  </si>
  <si>
    <t>rana.eldesouky@gizasystems.com</t>
  </si>
  <si>
    <t>Rana Kabel</t>
  </si>
  <si>
    <t>rana.kabel@gizasystems.com</t>
  </si>
  <si>
    <t>Rana Moselhy</t>
  </si>
  <si>
    <t>rana.moselhy@gizasystems.com</t>
  </si>
  <si>
    <t>Senior Testing Engineer</t>
  </si>
  <si>
    <t>Rana Saber</t>
  </si>
  <si>
    <t>rana.saber@gizasystems.com</t>
  </si>
  <si>
    <t>Rana Yehia</t>
  </si>
  <si>
    <t>rana.yehia@gizasystems.com</t>
  </si>
  <si>
    <t>Logistics Specialist</t>
  </si>
  <si>
    <t>Rania Kamal</t>
  </si>
  <si>
    <t>rania.kamal@gizasystems.com</t>
  </si>
  <si>
    <t>Rasha Mostafa</t>
  </si>
  <si>
    <t>rasha.mostafa@gizasystems.com</t>
  </si>
  <si>
    <t>Rayan Ibrahim Gaber AlKady</t>
  </si>
  <si>
    <t>RayanAlKady@gizasystems.com</t>
  </si>
  <si>
    <t>REAL ESTATE</t>
  </si>
  <si>
    <t>realestate@gizasystems.com</t>
  </si>
  <si>
    <t>Reception</t>
  </si>
  <si>
    <t>Reception@gizasystems.com</t>
  </si>
  <si>
    <t>Recruitment</t>
  </si>
  <si>
    <t>recruitment@gizasystems.com</t>
  </si>
  <si>
    <t>Reejan Moustafa</t>
  </si>
  <si>
    <t>ReejanMoustafa@gizasystems.com</t>
  </si>
  <si>
    <t>Reem Ahmed</t>
  </si>
  <si>
    <t>reem.ahmed@gizasystems.com</t>
  </si>
  <si>
    <t>Reem Bahaa</t>
  </si>
  <si>
    <t>reem.bahaa@gizasystems.com</t>
  </si>
  <si>
    <t>Reginald Majimbo</t>
  </si>
  <si>
    <t>reginald.majimbo@gizasystems.com</t>
  </si>
  <si>
    <t>Mechanical Supervisor</t>
  </si>
  <si>
    <t>Rehab Ahmed</t>
  </si>
  <si>
    <t>rehab.ahmed@gizasystems.com</t>
  </si>
  <si>
    <t>Reham Sayed</t>
  </si>
  <si>
    <t>reham.sayed@gizasystems.com</t>
  </si>
  <si>
    <t>Knowledge Managment and Business Intelegence Solution Team Lead</t>
  </si>
  <si>
    <t>Reham Wazeer</t>
  </si>
  <si>
    <t>reham.wazeer@gizasystems.com</t>
  </si>
  <si>
    <t>RELIGION</t>
  </si>
  <si>
    <t>religion@gizasystems.com</t>
  </si>
  <si>
    <t>Remon Asaad</t>
  </si>
  <si>
    <t>remon.asaad@gizasystems.com</t>
  </si>
  <si>
    <t>Replica Admin</t>
  </si>
  <si>
    <t>replica.admin@gizasystems.com</t>
  </si>
  <si>
    <t>Reporting Team</t>
  </si>
  <si>
    <t>ReportingTeam@gizasystems.com</t>
  </si>
  <si>
    <t>ReportingTeam668@gizasystems.com</t>
  </si>
  <si>
    <t>Reports</t>
  </si>
  <si>
    <t>Reports@gizasystems.com</t>
  </si>
  <si>
    <t>Reports 2018</t>
  </si>
  <si>
    <t>Reports2018@gizasystems.com</t>
  </si>
  <si>
    <t>RESEARCH</t>
  </si>
  <si>
    <t>research@gizasystems.com</t>
  </si>
  <si>
    <t>Resigned</t>
  </si>
  <si>
    <t>resigned@gizasystems.com</t>
  </si>
  <si>
    <t>RETAIL</t>
  </si>
  <si>
    <t>retail@gizasystems.com</t>
  </si>
  <si>
    <t>RFP Joker User</t>
  </si>
  <si>
    <t>rfp.jokeruser@gizasystems.com</t>
  </si>
  <si>
    <t>RFP Super User</t>
  </si>
  <si>
    <t>rfp.superuser@gizasystems.com</t>
  </si>
  <si>
    <t>Rhouat Abdourrahmane</t>
  </si>
  <si>
    <t>rhouat.abdourrahmane@gizasystems.com</t>
  </si>
  <si>
    <t>Buisness Development Specialist</t>
  </si>
  <si>
    <t>RightOne</t>
  </si>
  <si>
    <t>rightone@gizasystems.com</t>
  </si>
  <si>
    <t>RightThree</t>
  </si>
  <si>
    <t>rightthree@gizasystems.com</t>
  </si>
  <si>
    <t>RightTwo</t>
  </si>
  <si>
    <t>righttwo@gizasystems.com</t>
  </si>
  <si>
    <t>Robert  muriithi</t>
  </si>
  <si>
    <t>robert.muriithi@gizasystems.com</t>
  </si>
  <si>
    <t>Accountant Supervisor</t>
  </si>
  <si>
    <t>Robert Nakudo</t>
  </si>
  <si>
    <t>robert.nakudo@gizasystems.com</t>
  </si>
  <si>
    <t>Rodgers Ochieng Odhiambo</t>
  </si>
  <si>
    <t>rodgers.odhiambo@gizasystems.com</t>
  </si>
  <si>
    <t>Ruth Kagwima</t>
  </si>
  <si>
    <t>ruth.kagwima@gizasystems.com</t>
  </si>
  <si>
    <t>Ruth Wanza</t>
  </si>
  <si>
    <t>ruth.wanza@gizasystems.com</t>
  </si>
  <si>
    <t>PA</t>
  </si>
  <si>
    <t>Saad Hamad Mohamed Al Zaydan</t>
  </si>
  <si>
    <t>SaadAlZaydan@gizasystems.com</t>
  </si>
  <si>
    <t>Saber Shafey</t>
  </si>
  <si>
    <t>saber.shafey@gizasystems.com</t>
  </si>
  <si>
    <t>Saeed Mohamed</t>
  </si>
  <si>
    <t>saeed.mohamed@gizasystems.com</t>
  </si>
  <si>
    <t>Saeed Salama</t>
  </si>
  <si>
    <t>saeed.salama@gizasystems.com</t>
  </si>
  <si>
    <t>Safa ElNaghy</t>
  </si>
  <si>
    <t>safa.elnaghy@gizasystems.com</t>
  </si>
  <si>
    <t>Project Coodinator</t>
  </si>
  <si>
    <t>Safety Team</t>
  </si>
  <si>
    <t>HSE@gizasystems.com</t>
  </si>
  <si>
    <t>Sahar Akle</t>
  </si>
  <si>
    <t>sahar.akle@gizasystems.com</t>
  </si>
  <si>
    <t>Senior Solutions Architect</t>
  </si>
  <si>
    <t>Said Mahmoud</t>
  </si>
  <si>
    <t>said.mahmoud@gizasystems.com</t>
  </si>
  <si>
    <t>Saja Abdullah Shokr</t>
  </si>
  <si>
    <t>saja.abdullah@gizasystems.com</t>
  </si>
  <si>
    <t>Junior Personnel Specialist</t>
  </si>
  <si>
    <t>Salah Mahmoud</t>
  </si>
  <si>
    <t>salah.mahmoud@gizasystems.com</t>
  </si>
  <si>
    <t>Saleh Hamad Abd Allah Felwan Al Agami</t>
  </si>
  <si>
    <t>SalehAlAgami@gizasystems.com</t>
  </si>
  <si>
    <t>Saleh Hassan Mohammed Jandan</t>
  </si>
  <si>
    <t>SalehJandan@gizasystems.com</t>
  </si>
  <si>
    <t>Salema Elmeligy</t>
  </si>
  <si>
    <t>salema.elmeligy@gizasystems.com</t>
  </si>
  <si>
    <t>EBS Develpment</t>
  </si>
  <si>
    <t>Sales Funnel report</t>
  </si>
  <si>
    <t>SalesFunnelreport@gizasystems.com</t>
  </si>
  <si>
    <t>Sales Team</t>
  </si>
  <si>
    <t>SalesTeam@gizasystems.com</t>
  </si>
  <si>
    <t>sales.support</t>
  </si>
  <si>
    <t>sales.support@gizasystems.com</t>
  </si>
  <si>
    <t>Sally Abozaid</t>
  </si>
  <si>
    <t>sally.abozaid@gizasystems.com</t>
  </si>
  <si>
    <t>Development Manager</t>
  </si>
  <si>
    <t>Salma Ayman</t>
  </si>
  <si>
    <t>salma.ayman@gizasystems.com</t>
  </si>
  <si>
    <t>CEO Personal Assistant</t>
  </si>
  <si>
    <t>Salma ElSheikh</t>
  </si>
  <si>
    <t>salma.elsheikh@gizasystems.com</t>
  </si>
  <si>
    <t>Salma Mohamed Elansary</t>
  </si>
  <si>
    <t>salma.mohamed@gizasystems.com</t>
  </si>
  <si>
    <t>Salma Mubarak</t>
  </si>
  <si>
    <t>salma.mubarak@gizasystems.com</t>
  </si>
  <si>
    <t>Senior Communications Specialist</t>
  </si>
  <si>
    <t>Salma Samer Fargaly</t>
  </si>
  <si>
    <t>salma.samer@gizasystems.com</t>
  </si>
  <si>
    <t>Samah Hegazy</t>
  </si>
  <si>
    <t>samah.hegazy@gizasystems.com</t>
  </si>
  <si>
    <t>Contract Administrator</t>
  </si>
  <si>
    <t>Sameh AbdElAty</t>
  </si>
  <si>
    <t>sameh.abdelaty@gizasystems.com</t>
  </si>
  <si>
    <t>Sales &amp; Operations Manager</t>
  </si>
  <si>
    <t>Sameh Hegazy</t>
  </si>
  <si>
    <t>sameh.hegazy@gizasystems.com</t>
  </si>
  <si>
    <t>Sameh Mamdouh</t>
  </si>
  <si>
    <t>sameh.mamdouh@gizasystems.com</t>
  </si>
  <si>
    <t>Technology infrastructure lead</t>
  </si>
  <si>
    <t>Sameh Selim</t>
  </si>
  <si>
    <t>sameh.selim@gizasystems.com</t>
  </si>
  <si>
    <t>Samer Samy Mohamed</t>
  </si>
  <si>
    <t>samer.samy@gizasystems.com</t>
  </si>
  <si>
    <t>Samer Waheed</t>
  </si>
  <si>
    <t>samer.waheed@gizasystems.com</t>
  </si>
  <si>
    <t>Samir Saad</t>
  </si>
  <si>
    <t>samir.saad@gizasystems.com</t>
  </si>
  <si>
    <t>Network Administrator</t>
  </si>
  <si>
    <t>Samy Gawish</t>
  </si>
  <si>
    <t>samy.gawish@gizasystems.com</t>
  </si>
  <si>
    <t>Sandra Yehia</t>
  </si>
  <si>
    <t>sandra.yehia@gizasystems.com</t>
  </si>
  <si>
    <t>Contracts Specialist</t>
  </si>
  <si>
    <t>SAP Group</t>
  </si>
  <si>
    <t>SAPGroup@gizasystems.com</t>
  </si>
  <si>
    <t>Sara  Basha</t>
  </si>
  <si>
    <t>sara.basha@gizasystems.com</t>
  </si>
  <si>
    <t>Sara Zaghloul</t>
  </si>
  <si>
    <t>sara.zaghloul@gizasystems.com</t>
  </si>
  <si>
    <t>Sarah Alsherief</t>
  </si>
  <si>
    <t>sarah.alsherief@gizasystems.com</t>
  </si>
  <si>
    <t>Sawsan Tarek</t>
  </si>
  <si>
    <t>sawsan.tarek@gizasystems.com</t>
  </si>
  <si>
    <t>Junior Travel Coordinator</t>
  </si>
  <si>
    <t>Sayed  Abdel Hamed</t>
  </si>
  <si>
    <t>sayed.hamed@gizasystems.com</t>
  </si>
  <si>
    <t>Sayed Abdelhamid</t>
  </si>
  <si>
    <t>sayed.abdelhamid@gizasystems.com</t>
  </si>
  <si>
    <t>Sayed Imbaby Mahfouz</t>
  </si>
  <si>
    <t>sayed.imbaby@gizasystems.com</t>
  </si>
  <si>
    <t>Sayed Nagy</t>
  </si>
  <si>
    <t>sayed.nagy@gizasystems.com</t>
  </si>
  <si>
    <t>Sayed Sadik</t>
  </si>
  <si>
    <t>sayed.sadik@gizasystems.com</t>
  </si>
  <si>
    <t>Acounting Manager</t>
  </si>
  <si>
    <t>SB Managment</t>
  </si>
  <si>
    <t>SBManagment@gizasystems.com</t>
  </si>
  <si>
    <t>SB Projects Team</t>
  </si>
  <si>
    <t>sbprojectsteam@gizasystems.com</t>
  </si>
  <si>
    <t>SBM</t>
  </si>
  <si>
    <t>SBM@gizasystems.com</t>
  </si>
  <si>
    <t>SCADA@gizasystems.com</t>
  </si>
  <si>
    <t>scada team</t>
  </si>
  <si>
    <t>scadateam@gizasystems.com</t>
  </si>
  <si>
    <t>Security</t>
  </si>
  <si>
    <t>security@gizasystems.com</t>
  </si>
  <si>
    <t>Security Assessment</t>
  </si>
  <si>
    <t>SecurityAssessment@gizasystems.com</t>
  </si>
  <si>
    <t>SeifEldin Basiouny</t>
  </si>
  <si>
    <t>seifeldin.basiouny@gizasystems.com</t>
  </si>
  <si>
    <t>Senior HSE Specialist</t>
  </si>
  <si>
    <t>ServiceDelivery Trainee 1</t>
  </si>
  <si>
    <t>servicedelivery.trainee1@gizasystems.com</t>
  </si>
  <si>
    <t>ServiceDelivery Trainee 2</t>
  </si>
  <si>
    <t>servicedelivery.trainee2@gizasystems.com</t>
  </si>
  <si>
    <t>servicedesk</t>
  </si>
  <si>
    <t>servicedesk@gizasystems.com</t>
  </si>
  <si>
    <t>Services</t>
  </si>
  <si>
    <t>Services@gizasystems.com</t>
  </si>
  <si>
    <t>Shabani  Byabato</t>
  </si>
  <si>
    <t>shabani.byabato@gizasystems.com</t>
  </si>
  <si>
    <t>Shady ElHabbal</t>
  </si>
  <si>
    <t>shady.elhabbal@gizasystems.com</t>
  </si>
  <si>
    <t>Sales Manager - Telecom</t>
  </si>
  <si>
    <t>Shady Fikry</t>
  </si>
  <si>
    <t>shady.fikry@gizasystems.com</t>
  </si>
  <si>
    <t>Senior Procurrement Engineer</t>
  </si>
  <si>
    <t>Shaimaa Ibrahim</t>
  </si>
  <si>
    <t>shaimaa.ibrahim@gizasystems.com</t>
  </si>
  <si>
    <t>Senior Reports Developer</t>
  </si>
  <si>
    <t>Shaker El harby</t>
  </si>
  <si>
    <t>shaker.elharby@gizasystems.com</t>
  </si>
  <si>
    <t>Shamel ElKhodary</t>
  </si>
  <si>
    <t>shamel.elkhodary@gizasystems.com</t>
  </si>
  <si>
    <t>Group Procurement Director</t>
  </si>
  <si>
    <t>Share Point Test</t>
  </si>
  <si>
    <t>sharepointtest@gizasystems.com</t>
  </si>
  <si>
    <t>SharePointAdmin</t>
  </si>
  <si>
    <t>sharepointadmin@gizasystems.com</t>
  </si>
  <si>
    <t>SharePoint-KM</t>
  </si>
  <si>
    <t>sp.km@gizasystems.com</t>
  </si>
  <si>
    <t>Shares</t>
  </si>
  <si>
    <t>shares@gizasystems.com</t>
  </si>
  <si>
    <t>Sharif Esmat</t>
  </si>
  <si>
    <t>sharif.esmat@gizasystems.com</t>
  </si>
  <si>
    <t>Project manager</t>
  </si>
  <si>
    <t>Sharkiya.basis2</t>
  </si>
  <si>
    <t>Sharkiya.basis2@gizasystems.com</t>
  </si>
  <si>
    <t>Sharks</t>
  </si>
  <si>
    <t>Sharks@gizasystems.com</t>
  </si>
  <si>
    <t>Shaymaa ElAgha</t>
  </si>
  <si>
    <t>shaymaa.elagha@gizasystems.com</t>
  </si>
  <si>
    <t>Shehab ElNawawi</t>
  </si>
  <si>
    <t>shehab.nawawi@gizasystems.com</t>
  </si>
  <si>
    <t>Chairman &amp; Chief Executive Officer</t>
  </si>
  <si>
    <t>Shehab Fouad</t>
  </si>
  <si>
    <t>shehab.fouad@gizasystems.com</t>
  </si>
  <si>
    <t>Shereen Atef</t>
  </si>
  <si>
    <t>shereen.atef@gizasystems.com</t>
  </si>
  <si>
    <t>Sr.HR Specialist</t>
  </si>
  <si>
    <t>Shereen Mahmoud</t>
  </si>
  <si>
    <t>shereen.mahmoud@gizasystems.com</t>
  </si>
  <si>
    <t>Shereen Mamdouh</t>
  </si>
  <si>
    <t>shereen.mamdouh@gizasystems.com</t>
  </si>
  <si>
    <t>Shereif Dewedar</t>
  </si>
  <si>
    <t>shereif.dewedar@gizasystems.com</t>
  </si>
  <si>
    <t>Service Improvement Manager</t>
  </si>
  <si>
    <t>Sherif ElShamy</t>
  </si>
  <si>
    <t>sherif.elshamy@gizasystems.com</t>
  </si>
  <si>
    <t>Sherif Elshimy</t>
  </si>
  <si>
    <t>sherif.elshimy@gizasystems.com</t>
  </si>
  <si>
    <t>Sales Manager - ENAL Utilities</t>
  </si>
  <si>
    <t>Sherif Kamel</t>
  </si>
  <si>
    <t>sherif.kamel@gizasystems.com</t>
  </si>
  <si>
    <t>Facility Manager</t>
  </si>
  <si>
    <t>Sherif Moussa</t>
  </si>
  <si>
    <t>sherif.moussa@gizasystems.com</t>
  </si>
  <si>
    <t>Sherif Moustafa</t>
  </si>
  <si>
    <t>sherif.moustafa@gizasystems.com</t>
  </si>
  <si>
    <t>Sherif Mustafa Negm</t>
  </si>
  <si>
    <t>Sherif.negm@gizasystems.com</t>
  </si>
  <si>
    <t>Senior Sales Engineer</t>
  </si>
  <si>
    <t>Sherif Omran</t>
  </si>
  <si>
    <t>sherif.omran@gizasystems.com</t>
  </si>
  <si>
    <t>Sales Director</t>
  </si>
  <si>
    <t>VAS</t>
  </si>
  <si>
    <t>Sherif Saied Badawy</t>
  </si>
  <si>
    <t>sherif.badawy@gizasystems.com</t>
  </si>
  <si>
    <t>Sherif Tag</t>
  </si>
  <si>
    <t>sherif.tag@gizasystems.com</t>
  </si>
  <si>
    <t>Sales Account Manager_Telecom</t>
  </si>
  <si>
    <t>Shimaa Mansour</t>
  </si>
  <si>
    <t>shimaa.mansour@gizasystems.com</t>
  </si>
  <si>
    <t>Shimaa Mohamed</t>
  </si>
  <si>
    <t>shimaa.mohamed@gizasystems.com</t>
  </si>
  <si>
    <t>Draft Man</t>
  </si>
  <si>
    <t>ShortPoint</t>
  </si>
  <si>
    <t>short.point@gizasystems.com</t>
  </si>
  <si>
    <t>Shymaa Elshekh</t>
  </si>
  <si>
    <t>shaymaa.elshekh@gizasystems.com</t>
  </si>
  <si>
    <t>Sixth Floor</t>
  </si>
  <si>
    <t>SixthFloor@gizasystems.com</t>
  </si>
  <si>
    <t>Smart building LOB</t>
  </si>
  <si>
    <t>SmartbuildingLOB@gizasystems.com</t>
  </si>
  <si>
    <t>smart.buildings@gizasystems.com</t>
  </si>
  <si>
    <t>Smart Grid</t>
  </si>
  <si>
    <t>SmartGrid@gizasystems.com</t>
  </si>
  <si>
    <t>Soha Mohamed</t>
  </si>
  <si>
    <t>soha.mohamed@gizasystems.com</t>
  </si>
  <si>
    <t>SPAppPool</t>
  </si>
  <si>
    <t>spappool@gizasystems.com</t>
  </si>
  <si>
    <t>SPCrawel</t>
  </si>
  <si>
    <t>spcrawel@gizasystems.com</t>
  </si>
  <si>
    <t>SPFarm</t>
  </si>
  <si>
    <t>spfarm@gizasystems.com</t>
  </si>
  <si>
    <t>sp-ft</t>
  </si>
  <si>
    <t>sp-ft@gizasystems.com</t>
  </si>
  <si>
    <t>Spira</t>
  </si>
  <si>
    <t>spira@gizasystems.com</t>
  </si>
  <si>
    <t>SPServices</t>
  </si>
  <si>
    <t>spservices@gizasystems.com</t>
  </si>
  <si>
    <t>Sql A</t>
  </si>
  <si>
    <t>sql.a@gizasystems.com</t>
  </si>
  <si>
    <t>SQL Notifications</t>
  </si>
  <si>
    <t>sql.notifications@gizasystems.com</t>
  </si>
  <si>
    <t>SS7_support</t>
  </si>
  <si>
    <t>SS7_support@gizasystems.com</t>
  </si>
  <si>
    <t>SSMS</t>
  </si>
  <si>
    <t>ssms@gizasystems.com</t>
  </si>
  <si>
    <t>STC Team</t>
  </si>
  <si>
    <t>STCTeam@gizasystems.com</t>
  </si>
  <si>
    <t>STC-CRM-migration _techteam</t>
  </si>
  <si>
    <t>STC-CRM-migration_techteam@gizasystems.com</t>
  </si>
  <si>
    <t>STC-CRM-migration-PMteam</t>
  </si>
  <si>
    <t>STC-CRM-migration-PMteam@gizasystems.com</t>
  </si>
  <si>
    <t>STC-ePayment</t>
  </si>
  <si>
    <t>STC-ePayment@gizasystems.com</t>
  </si>
  <si>
    <t>STCICB</t>
  </si>
  <si>
    <t>Stcicb@gizasystems.com</t>
  </si>
  <si>
    <t>STC-IPX-NOC</t>
  </si>
  <si>
    <t>STC-IPX-NOC@gizasystems.com</t>
  </si>
  <si>
    <t>STC-RMS.Support</t>
  </si>
  <si>
    <t>STC-RMS.Support@gizasystems.com</t>
  </si>
  <si>
    <t>Stephen  Odhiambo</t>
  </si>
  <si>
    <t>stephen.odhiambo@gizasystems.com</t>
  </si>
  <si>
    <t>Steven  Omondi</t>
  </si>
  <si>
    <t>steven.omondi@gizasystems.com</t>
  </si>
  <si>
    <t>Electrical Team Supervisor</t>
  </si>
  <si>
    <t>Store Mis</t>
  </si>
  <si>
    <t>store.mis@gizasystems.com</t>
  </si>
  <si>
    <t>Strategy COR</t>
  </si>
  <si>
    <t>Strategy.COR@gizasystems.com</t>
  </si>
  <si>
    <t>strategy.office@gizasystems.com</t>
  </si>
  <si>
    <t>Strategy.Team</t>
  </si>
  <si>
    <t>Strategy.Team@gizasystems.com</t>
  </si>
  <si>
    <t>Subsaharan</t>
  </si>
  <si>
    <t>subsaharan@gizasystems.com</t>
  </si>
  <si>
    <t>Sultan AlOrabi</t>
  </si>
  <si>
    <t>sultan.alorabi@gizasystems.com</t>
  </si>
  <si>
    <t>Sultan Azab</t>
  </si>
  <si>
    <t>sultan.azab@gizasystems.com</t>
  </si>
  <si>
    <t>sultan unezy</t>
  </si>
  <si>
    <t>sunezy@gizasystems.com</t>
  </si>
  <si>
    <t>Public Relations Agent</t>
  </si>
  <si>
    <t>Super User</t>
  </si>
  <si>
    <t>super.user@gizasystems.com</t>
  </si>
  <si>
    <t>support.banks</t>
  </si>
  <si>
    <t>support.banks@gizasystems.com</t>
  </si>
  <si>
    <t>SystemMailbox{9C38CCB6-7DCD-4DAD-9EAC-FB195B8910A4}</t>
  </si>
  <si>
    <t>9C38CCB6-7DCD-4DAD-9@gizasystems.com</t>
  </si>
  <si>
    <t>SystemMailbox{DA2986AB-9DA0-4E03-9711-458D60EDC5A8}</t>
  </si>
  <si>
    <t>DA2986AB-9DA0-4E03-9@gizasystems.com</t>
  </si>
  <si>
    <t>SystemMailbox{E340E669-C2E8-48BA-B704-250E25DB6A2B}</t>
  </si>
  <si>
    <t>E340E669-C2E8-48BA-B@gizasystems.com</t>
  </si>
  <si>
    <t>T&amp;D LOB</t>
  </si>
  <si>
    <t>TDLOB@gizasystems.com</t>
  </si>
  <si>
    <t>T&amp;M</t>
  </si>
  <si>
    <t>TM@gizasystems.com</t>
  </si>
  <si>
    <t>T&amp;M Sales Group</t>
  </si>
  <si>
    <t>TMSalesGroup@gizasystems.com</t>
  </si>
  <si>
    <t>Taghrid Roshdy</t>
  </si>
  <si>
    <t>taghrid.roshdy@gizasystems.com</t>
  </si>
  <si>
    <t>Travel Manager</t>
  </si>
  <si>
    <t>Taha Mohamed</t>
  </si>
  <si>
    <t>taha.mohamed@gizasystems.com</t>
  </si>
  <si>
    <t>Taher Abdellatif</t>
  </si>
  <si>
    <t>taher.abdellatif@gizasystems.com</t>
  </si>
  <si>
    <t>Tala el otaby</t>
  </si>
  <si>
    <t>tala.elotaby@gizasystems.com</t>
  </si>
  <si>
    <t>Talal Ahmed Hassan</t>
  </si>
  <si>
    <t>talal.ahmed@gizasystems.com</t>
  </si>
  <si>
    <t>Tamer Farouk</t>
  </si>
  <si>
    <t>tamer.farouk@gizasystems.com</t>
  </si>
  <si>
    <t>Integration Manager</t>
  </si>
  <si>
    <t>Tamer Hafez</t>
  </si>
  <si>
    <t>tamer.hafez@gizasystems.com</t>
  </si>
  <si>
    <t>Tamer Khalil</t>
  </si>
  <si>
    <t>tamer.khalil@gizasystems.com</t>
  </si>
  <si>
    <t>Tamer Magdy</t>
  </si>
  <si>
    <t>tamer.magdi@gizasystems.com</t>
  </si>
  <si>
    <t>IT Service Delivery Team Leader</t>
  </si>
  <si>
    <t>Tamer Mohamed Ali</t>
  </si>
  <si>
    <t>tamer.mohamed@gizasystems.com</t>
  </si>
  <si>
    <t>ERP Manager</t>
  </si>
  <si>
    <t>Tamer Mohamed Diaa</t>
  </si>
  <si>
    <t>tamer.diaa@gizasystems.com</t>
  </si>
  <si>
    <t>Tamer Youssef</t>
  </si>
  <si>
    <t>tamer.youssef@gizasystems.com</t>
  </si>
  <si>
    <t>Tanzania Team</t>
  </si>
  <si>
    <t>TanzaniaTeam@gizasystems.com</t>
  </si>
  <si>
    <t>Tarek  Alsaadawi</t>
  </si>
  <si>
    <t>tarek.alsaadawi@gizasystems.com</t>
  </si>
  <si>
    <t>Finance &amp; Cooprate affairs Manager</t>
  </si>
  <si>
    <t>Tarek Abdo</t>
  </si>
  <si>
    <t>tarek.abdo@gizasystems.com</t>
  </si>
  <si>
    <t>Tarek Elkhadem</t>
  </si>
  <si>
    <t>tarek.elkhadem@gizasystems.com</t>
  </si>
  <si>
    <t>Tareq Gabr</t>
  </si>
  <si>
    <t>tareq.gabr@gizasystems.com</t>
  </si>
  <si>
    <t>Group IT Director</t>
  </si>
  <si>
    <t>Tareq Ibrahim</t>
  </si>
  <si>
    <t>tareq.ibrahim@gizasystems.com</t>
  </si>
  <si>
    <t>Tarik Obid Qenis Almekhlafi Alharbi</t>
  </si>
  <si>
    <t>TarikAlharbi@gizasystems.com</t>
  </si>
  <si>
    <t>Tatu Hassan</t>
  </si>
  <si>
    <t>tatu.hassan@gizasystems.com</t>
  </si>
  <si>
    <t>Country Coordinator</t>
  </si>
  <si>
    <t>TE.IVR.support</t>
  </si>
  <si>
    <t>TE.IVR.support@gizasystems.com</t>
  </si>
  <si>
    <t>Te6ctr HW</t>
  </si>
  <si>
    <t>Te6ctrHW@gizasystems.com</t>
  </si>
  <si>
    <t>team member</t>
  </si>
  <si>
    <t>team.member@gizasystems.com</t>
  </si>
  <si>
    <t>Technical OSS</t>
  </si>
  <si>
    <t>TechnicalOSS@gizasystems.com</t>
  </si>
  <si>
    <t>Technical SCADA team</t>
  </si>
  <si>
    <t>TechnicalSCADAteam@gizasystems.com</t>
  </si>
  <si>
    <t>TechnicalSupport-SB</t>
  </si>
  <si>
    <t>TechnicalSupportSB@gizasystems.com</t>
  </si>
  <si>
    <t>TECHNOLOGY</t>
  </si>
  <si>
    <t>technology@gizasystems.com</t>
  </si>
  <si>
    <t>TE-DATA Test Account</t>
  </si>
  <si>
    <t>TE-DATA@gizasystems.com</t>
  </si>
  <si>
    <t>TEDM</t>
  </si>
  <si>
    <t>TEDM@gizasystems.com</t>
  </si>
  <si>
    <t>Telecom BU</t>
  </si>
  <si>
    <t>TelecomBU@gizasystems.com</t>
  </si>
  <si>
    <t>Telecom Development</t>
  </si>
  <si>
    <t>TelecomDevelopment@gizasystems.com</t>
  </si>
  <si>
    <t>Telecom Oracle Finance</t>
  </si>
  <si>
    <t>TelecomOracleFinance@gizasystems.com</t>
  </si>
  <si>
    <t>Telecom OSS LOB</t>
  </si>
  <si>
    <t>TelecomOSSLOB@gizasystems.com</t>
  </si>
  <si>
    <t>Telecom Sales</t>
  </si>
  <si>
    <t>TelecomSales@gizasystems.com</t>
  </si>
  <si>
    <t>Telecom Support</t>
  </si>
  <si>
    <t>TelecomSupport@gizasystems.com</t>
  </si>
  <si>
    <t>Telecom Support 2</t>
  </si>
  <si>
    <t>Telecom.Support@gizasystems.com</t>
  </si>
  <si>
    <t>Telecom Technical Team</t>
  </si>
  <si>
    <t>TelecomTechnicalTeam@gizasystems.com</t>
  </si>
  <si>
    <t>Telecom Technical Team Leader</t>
  </si>
  <si>
    <t>TelecomTechnicalTeamLeader@gizasystems.com</t>
  </si>
  <si>
    <t>Telecom-BSS&amp;ERP</t>
  </si>
  <si>
    <t>Telecom-BSSERP@gizasystems.com</t>
  </si>
  <si>
    <t>TELECOMUNICATIONS</t>
  </si>
  <si>
    <t>telecomunications@gizasystems.com</t>
  </si>
  <si>
    <t>test</t>
  </si>
  <si>
    <t>test@gizasystems.com</t>
  </si>
  <si>
    <t>test GS</t>
  </si>
  <si>
    <t>testGS@gizasystems.com</t>
  </si>
  <si>
    <t>Test Plan</t>
  </si>
  <si>
    <t>TestPlan@gizasystems.com</t>
  </si>
  <si>
    <t>test1</t>
  </si>
  <si>
    <t>test1@gizasystems.com</t>
  </si>
  <si>
    <t>TestBright</t>
  </si>
  <si>
    <t>testbright@gizasystems.com</t>
  </si>
  <si>
    <t>testheadway</t>
  </si>
  <si>
    <t>testheadway@gizasystems.com</t>
  </si>
  <si>
    <t>Testing Team</t>
  </si>
  <si>
    <t>testingteam@gizasystems.com</t>
  </si>
  <si>
    <t>testmicrosoft</t>
  </si>
  <si>
    <t>microsoft@gizasystems.com</t>
  </si>
  <si>
    <t>teto</t>
  </si>
  <si>
    <t>teto@gizasystems.com</t>
  </si>
  <si>
    <t>Third Floor</t>
  </si>
  <si>
    <t>ThirdFloor@gizasystems.com</t>
  </si>
  <si>
    <t>Third Floor One</t>
  </si>
  <si>
    <t>thirdfloor1@gizasystems.com</t>
  </si>
  <si>
    <t>Third Floor Two</t>
  </si>
  <si>
    <t>thirdfloor2@gizasystems.com</t>
  </si>
  <si>
    <t>TI LOB</t>
  </si>
  <si>
    <t>TILOB@gizasystems.com</t>
  </si>
  <si>
    <t>TI PM Team</t>
  </si>
  <si>
    <t>tipmteam@gizasystems.com</t>
  </si>
  <si>
    <t>TI PMs</t>
  </si>
  <si>
    <t>TIPMs@gizasystems.com</t>
  </si>
  <si>
    <t>TI Presales Team</t>
  </si>
  <si>
    <t>tipresalesteam@gizasystems.com</t>
  </si>
  <si>
    <t>TI Technical Team</t>
  </si>
  <si>
    <t>titechnicalteam@gizasystems.com</t>
  </si>
  <si>
    <t>Tigers</t>
  </si>
  <si>
    <t>Tigers@gizasystems.com</t>
  </si>
  <si>
    <t>Time Respect Ambassadors</t>
  </si>
  <si>
    <t>TimeRespectAmbassadors@gizasystems.com</t>
  </si>
  <si>
    <t>TimeSheet Coordinator</t>
  </si>
  <si>
    <t>timesheet.coordinator@gizasystems.com</t>
  </si>
  <si>
    <t>TL-IA</t>
  </si>
  <si>
    <t>TL-IA@gizasystems.com</t>
  </si>
  <si>
    <t>Toka Khaled</t>
  </si>
  <si>
    <t>toka.khaled@gizasystems.com</t>
  </si>
  <si>
    <t>Total Kharir</t>
  </si>
  <si>
    <t>TotalKharir@gizasystems.com</t>
  </si>
  <si>
    <t>Tracking</t>
  </si>
  <si>
    <t>Tracking@gizasystems.com</t>
  </si>
  <si>
    <t>Transmission Distribution</t>
  </si>
  <si>
    <t>transmission.distribution@gizasystems.com</t>
  </si>
  <si>
    <t>TRANSPORT</t>
  </si>
  <si>
    <t>transport@gizasystems.com</t>
  </si>
  <si>
    <t>Transportation Offering Group</t>
  </si>
  <si>
    <t>TransportationOfferingGroup@gizasystems.com</t>
  </si>
  <si>
    <t>travel office</t>
  </si>
  <si>
    <t>traveloffice@gizasystems.com</t>
  </si>
  <si>
    <t>Treasury Team</t>
  </si>
  <si>
    <t>TreasuryTeam@gizasystems.com</t>
  </si>
  <si>
    <t>TTI Network</t>
  </si>
  <si>
    <t>ttinetwork@gizasystems.com</t>
  </si>
  <si>
    <t>Turkwel Power Station</t>
  </si>
  <si>
    <t>TurkwelPowerStation@gizasystems.com</t>
  </si>
  <si>
    <t>Uganda Team</t>
  </si>
  <si>
    <t>UgandaTeam@gizasystems.com</t>
  </si>
  <si>
    <t>Unix Support</t>
  </si>
  <si>
    <t>Unix.Support@gizasystems.com</t>
  </si>
  <si>
    <t>VMS Support</t>
  </si>
  <si>
    <t>VMS.Support@gizasystems.com</t>
  </si>
  <si>
    <t>VP Performance</t>
  </si>
  <si>
    <t>VPPerformance@gizasystems.com</t>
  </si>
  <si>
    <t>VP Planning &amp; Marketing</t>
  </si>
  <si>
    <t>VPPlanningMarketing@gizasystems.com</t>
  </si>
  <si>
    <t>VP Sales &amp; delivery</t>
  </si>
  <si>
    <t>VPSalesdelivery@gizasystems.com</t>
  </si>
  <si>
    <t>Wael Hassan</t>
  </si>
  <si>
    <t>wael.hassan@gizasystems.com</t>
  </si>
  <si>
    <t>Wael Morgan</t>
  </si>
  <si>
    <t>wael.morgan@gizasystems.com</t>
  </si>
  <si>
    <t>Regional Operations Manager GCC</t>
  </si>
  <si>
    <t>Wael Othman</t>
  </si>
  <si>
    <t>wael.othman@gizasystems.com</t>
  </si>
  <si>
    <t>QC Project Management Leader</t>
  </si>
  <si>
    <t>Wael Sobeih</t>
  </si>
  <si>
    <t>wael.sobeih@gizasystems.com</t>
  </si>
  <si>
    <t>Technical Team leader</t>
  </si>
  <si>
    <t>waheed Mohamed</t>
  </si>
  <si>
    <t>waheed.mohamed@gizasystems.com</t>
  </si>
  <si>
    <t>Fleet Supervisor</t>
  </si>
  <si>
    <t>Walaa Gamal</t>
  </si>
  <si>
    <t>walaa.gamal@gizasystems.com</t>
  </si>
  <si>
    <t>Walaa Mohamed Ali</t>
  </si>
  <si>
    <t>walaa.mohamed@gizasystems.com</t>
  </si>
  <si>
    <t>Technical Office Electrical Engineer</t>
  </si>
  <si>
    <t>Waleed Abd El Aleem Mohamed</t>
  </si>
  <si>
    <t>waleed.mohamed@gizasystems.com</t>
  </si>
  <si>
    <t>Waleed Abdel Raouf</t>
  </si>
  <si>
    <t>waleed.abdelraouf@gizasystems.com</t>
  </si>
  <si>
    <t>WALEED AHMAD ABDELRAZIQ ALNEMER</t>
  </si>
  <si>
    <t>WALEEDALNEMER@gizasystems.com</t>
  </si>
  <si>
    <t>Waleed bahaa</t>
  </si>
  <si>
    <t>waleed.bahaa@gizasystems.com</t>
  </si>
  <si>
    <t>Junior Communication Engineer</t>
  </si>
  <si>
    <t>Waleed Darwish</t>
  </si>
  <si>
    <t>waleed.darwish@gizasystems.com</t>
  </si>
  <si>
    <t>LOB GM - EBS</t>
  </si>
  <si>
    <t>Waleed Farouk</t>
  </si>
  <si>
    <t>waleed.farouk@gizasystems.com</t>
  </si>
  <si>
    <t>Head of Technical Delivery</t>
  </si>
  <si>
    <t>Waleed Hamouda</t>
  </si>
  <si>
    <t>waleed.hamouda@gizasystems.com</t>
  </si>
  <si>
    <t>System Adminstrator</t>
  </si>
  <si>
    <t>Waleed Mahmoud Atef</t>
  </si>
  <si>
    <t>waleed.atef@gizasystems.com</t>
  </si>
  <si>
    <t>Expert OSS Engineer</t>
  </si>
  <si>
    <t>Waleed Mahmoud El-Boghdady</t>
  </si>
  <si>
    <t>waleed.boghdady@gizasystems.com</t>
  </si>
  <si>
    <t>Wataneya</t>
  </si>
  <si>
    <t>wataneya@gizasystems.com</t>
  </si>
  <si>
    <t>water</t>
  </si>
  <si>
    <t>water@gizasystems.com</t>
  </si>
  <si>
    <t>WATER AND SANITATION</t>
  </si>
  <si>
    <t>waterandsanitation@gizasystems.com</t>
  </si>
  <si>
    <t>webtimesheet</t>
  </si>
  <si>
    <t>webtimesheet@gizasystems.com</t>
  </si>
  <si>
    <t>WECA sales</t>
  </si>
  <si>
    <t>WECAsales@gizasystems.com</t>
  </si>
  <si>
    <t>WECA SALES TEAM</t>
  </si>
  <si>
    <t>wecasalesteam@gizasystems.com</t>
  </si>
  <si>
    <t>WECA STAFF</t>
  </si>
  <si>
    <t>wecastaff@gizasystems.com</t>
  </si>
  <si>
    <t>WECA Team</t>
  </si>
  <si>
    <t>WecaTeam@gizasystems.com</t>
  </si>
  <si>
    <t>WECA.Contracts</t>
  </si>
  <si>
    <t>WECA.Contracts@gizasystems.com</t>
  </si>
  <si>
    <t>Wesam Hassan</t>
  </si>
  <si>
    <t>wesam.hassan@gizasystems.com</t>
  </si>
  <si>
    <t>Driver</t>
  </si>
  <si>
    <t>Wessam Yahia</t>
  </si>
  <si>
    <t>wessam.yahia@gizasystems.com</t>
  </si>
  <si>
    <t>Technical &amp; Logistics Supervisor</t>
  </si>
  <si>
    <t>WhiteRoom (Clarity)</t>
  </si>
  <si>
    <t>whiteroom@gizasystems.com</t>
  </si>
  <si>
    <t>Work Flow Admin</t>
  </si>
  <si>
    <t>workflow.admin@gizasystems.com</t>
  </si>
  <si>
    <t>Wregal</t>
  </si>
  <si>
    <t>wregal@gizasystems.com</t>
  </si>
  <si>
    <t>Wts Manager</t>
  </si>
  <si>
    <t>wtsmanager@gizasystems.com</t>
  </si>
  <si>
    <t>Wycliffe  Ambuche</t>
  </si>
  <si>
    <t>wycliffe.ambuche@gizasystems.com</t>
  </si>
  <si>
    <t>xceed.support</t>
  </si>
  <si>
    <t>xceed.support@gizasystems.com</t>
  </si>
  <si>
    <t>xerox equitrac</t>
  </si>
  <si>
    <t>xerox.equtrac@gizasystems.com</t>
  </si>
  <si>
    <t>XT5000</t>
  </si>
  <si>
    <t>xt5000@gizasystems.com</t>
  </si>
  <si>
    <t>Yahya El Saied</t>
  </si>
  <si>
    <t>yahya.elsaied@gizasystems.com</t>
  </si>
  <si>
    <t>Yasin Mohammed</t>
  </si>
  <si>
    <t>yasin.mohammed@gizasystems.com</t>
  </si>
  <si>
    <t>Sales Accounts Manager</t>
  </si>
  <si>
    <t>Yasmine Mohamed</t>
  </si>
  <si>
    <t>yasmine.mohamed@gizasystems.com</t>
  </si>
  <si>
    <t>Yasmine Waheed</t>
  </si>
  <si>
    <t>yasmine.waheed@gizasystems.com</t>
  </si>
  <si>
    <t>Yasser Abdel Maguid Mohamed</t>
  </si>
  <si>
    <t>Yasser.Maguid@gizasystems.com</t>
  </si>
  <si>
    <t>Yasser Abdelsalam</t>
  </si>
  <si>
    <t>yasser.abdelsalam@gizasystems.com</t>
  </si>
  <si>
    <t>Yasser Akef</t>
  </si>
  <si>
    <t>yasser.akef@gizasystems.com</t>
  </si>
  <si>
    <t>Yasser Al - Abassery</t>
  </si>
  <si>
    <t>yasser.abassery@gizasystems.com</t>
  </si>
  <si>
    <t>Process Control LOB GM</t>
  </si>
  <si>
    <t>Yasser Hamza</t>
  </si>
  <si>
    <t>yasser.hamza@gizasystems.com</t>
  </si>
  <si>
    <t>Yasser Madian</t>
  </si>
  <si>
    <t>yasser.madian@gizasystems.com</t>
  </si>
  <si>
    <t>Yasser Ragab</t>
  </si>
  <si>
    <t>yasser.ragab@gizasystems.com</t>
  </si>
  <si>
    <t>Yasser Reda</t>
  </si>
  <si>
    <t>yasser.reda@gizasystems.com</t>
  </si>
  <si>
    <t>Yasser Soliman</t>
  </si>
  <si>
    <t>yasser.soliman@gizasystems.com</t>
  </si>
  <si>
    <t>Yasser Tobar</t>
  </si>
  <si>
    <t>yasser.tobar@gizasystems.com</t>
  </si>
  <si>
    <t>Yasser Yassin Abdulfatah</t>
  </si>
  <si>
    <t>yasser.yassin@gizasystems.com</t>
  </si>
  <si>
    <t>Yehya Abbas</t>
  </si>
  <si>
    <t>yehya.abbas@gizasystems.com</t>
  </si>
  <si>
    <t>Yehya Zakaria Hatem</t>
  </si>
  <si>
    <t>yehya.zakaria@gizasystems.com</t>
  </si>
  <si>
    <t>Yomna Ahmed</t>
  </si>
  <si>
    <t>yomna.ahmed@gizasystems.com</t>
  </si>
  <si>
    <t>Yosra Mostafa Kamal</t>
  </si>
  <si>
    <t>yosra.mostafa@gizasystems.com</t>
  </si>
  <si>
    <t>Yousef Alyami</t>
  </si>
  <si>
    <t>yousef.alyami@gizasystems.com</t>
  </si>
  <si>
    <t>Yousef Essam Eldin</t>
  </si>
  <si>
    <t>yousef.essam@gizasystems.com</t>
  </si>
  <si>
    <t>Yousef Shoair</t>
  </si>
  <si>
    <t>yousef.shoair@gizasystems.com</t>
  </si>
  <si>
    <t>Yousra Mohamed</t>
  </si>
  <si>
    <t>yousra.mohamed@gizasystems.com</t>
  </si>
  <si>
    <t>Youssef Rabie</t>
  </si>
  <si>
    <t>youssef.rabie@gizasystems.com</t>
  </si>
  <si>
    <t>Senior Solution Architect</t>
  </si>
  <si>
    <t>Youssry Kamel</t>
  </si>
  <si>
    <t>youssry.kamel@gizasystems.com</t>
  </si>
  <si>
    <t>Treasury Manager</t>
  </si>
  <si>
    <t>Zaid Mohamed Zaid Almishaabi Alsabaeey</t>
  </si>
  <si>
    <t>ZaidAlsabaeey@gizasystems.com</t>
  </si>
  <si>
    <t>Zakariya Kilishi</t>
  </si>
  <si>
    <t>zakariya.kilishi@gizasystems.com</t>
  </si>
  <si>
    <t>ZC_Mantis</t>
  </si>
  <si>
    <t>ZC_Mantis@gizasystems.com</t>
  </si>
  <si>
    <t>zeyad saeed</t>
  </si>
  <si>
    <t>zeyad.saeed@gizasystems.com</t>
  </si>
  <si>
    <t>Zinat Badr</t>
  </si>
  <si>
    <t>zinat.badr@gizasystems.com</t>
  </si>
  <si>
    <t>Support Manager</t>
  </si>
  <si>
    <t>Ziyad ALI El Ghamdi</t>
  </si>
  <si>
    <t>ziyad.elghamdi@gizasystems.com</t>
  </si>
  <si>
    <t>Zyad Khaled</t>
  </si>
  <si>
    <t>zyad.khaled@gizasystems.com</t>
  </si>
  <si>
    <t>Mail:</t>
  </si>
  <si>
    <t>Dept.</t>
  </si>
  <si>
    <t>City-CODE</t>
  </si>
  <si>
    <t>Aalborg AMBA AAL</t>
  </si>
  <si>
    <t>Aarhus AAR</t>
  </si>
  <si>
    <t>Aberdeen Ltd ABZ</t>
  </si>
  <si>
    <t>Abu Dhabi AUH</t>
  </si>
  <si>
    <t>Acapulco ACA</t>
  </si>
  <si>
    <t>Adana-Sakirpasa ADA</t>
  </si>
  <si>
    <t>Addis Ababa-Bole ADD</t>
  </si>
  <si>
    <t>Adelaide ADL</t>
  </si>
  <si>
    <t>Aden ADE</t>
  </si>
  <si>
    <t>Aerodrom Portoroz doo POW</t>
  </si>
  <si>
    <t>Agadir – Al Massira AGA</t>
  </si>
  <si>
    <t>Agen – La Garenne AGF</t>
  </si>
  <si>
    <t>Agra AGR</t>
  </si>
  <si>
    <t>Ahmedabad – Sardar Vallabh Bhai Patel Int´l AMD</t>
  </si>
  <si>
    <t>Ajaccio – Campo Dell´Oro AJA</t>
  </si>
  <si>
    <t>Akron-Canton Regional CAK</t>
  </si>
  <si>
    <t>Alamosa-Bergman-San Luis Valley Regional Airfield ALS</t>
  </si>
  <si>
    <t>Albany ALB</t>
  </si>
  <si>
    <t>Albi – Le Sequestre LBI</t>
  </si>
  <si>
    <t>Albuquerque ABQ</t>
  </si>
  <si>
    <t>Alderney ACI</t>
  </si>
  <si>
    <t>Aleppo ALP</t>
  </si>
  <si>
    <t>Alesund-Vigra AES</t>
  </si>
  <si>
    <t>Alexandria ESF</t>
  </si>
  <si>
    <t>Alexandria – El Nhouza ALY</t>
  </si>
  <si>
    <t>Alexandroupolis National AXD</t>
  </si>
  <si>
    <t>Alghero-Fertilia AHO</t>
  </si>
  <si>
    <t>Algiers-Houari Boumedienne ALG</t>
  </si>
  <si>
    <t>Alicante ALC</t>
  </si>
  <si>
    <t>Alice Springs ASP</t>
  </si>
  <si>
    <t>Almaty Int´l ALA</t>
  </si>
  <si>
    <t>Almeria LEI</t>
  </si>
  <si>
    <t>Alor Setar – Sultan Abdul Halim AOR</t>
  </si>
  <si>
    <t>Altenrhein ACH</t>
  </si>
  <si>
    <t>Amarillo – Rick Husband AMA</t>
  </si>
  <si>
    <t>Amilcar Cabral SID</t>
  </si>
  <si>
    <t>Amman-Queen Alia AMM</t>
  </si>
  <si>
    <t>Amritsar – Raja Sansi ATQ</t>
  </si>
  <si>
    <t>Amsterdam Schiphol SPL</t>
  </si>
  <si>
    <t>Anchorage – Ted Stevens ANC</t>
  </si>
  <si>
    <t>Ancona AOI</t>
  </si>
  <si>
    <t>Angoulême – Brie-Champniers ANG</t>
  </si>
  <si>
    <t>Ankara – Esenboga ESB</t>
  </si>
  <si>
    <t>Annaba-Rabah Bitat AAE</t>
  </si>
  <si>
    <t>Annecy – Haute Savoie NCY</t>
  </si>
  <si>
    <t>City Code</t>
  </si>
  <si>
    <t>Antalya AYT</t>
  </si>
  <si>
    <t>Antananarivo-Ivato Aerodrome TNR</t>
  </si>
  <si>
    <t>Antigua-VC Bird SJF</t>
  </si>
  <si>
    <t>Antofagasta-Cerro Moreno ANF</t>
  </si>
  <si>
    <t>Antwerp ANR</t>
  </si>
  <si>
    <t>Appleton/Outagamie County Regional ATW</t>
  </si>
  <si>
    <t>Aqaba AQJ</t>
  </si>
  <si>
    <t>Arad ARW</t>
  </si>
  <si>
    <t>Arica-Chacalluta ARI</t>
  </si>
  <si>
    <t>Arkhangelsk – Talagi ARH</t>
  </si>
  <si>
    <t>Aruba – Queen Beatrix AUA</t>
  </si>
  <si>
    <t>Asheville Regional AVL</t>
  </si>
  <si>
    <t>Ashkabad ASB</t>
  </si>
  <si>
    <t>Asmara Int´l ASM</t>
  </si>
  <si>
    <t>Asturias OVD</t>
  </si>
  <si>
    <t>Asuncion – Silvio Pettirossi ASU</t>
  </si>
  <si>
    <t>Aswan – Daraw ASW</t>
  </si>
  <si>
    <t>Athens Ben Epps AHN</t>
  </si>
  <si>
    <t>Athens – Eleftherios Venizelos ATH</t>
  </si>
  <si>
    <t>Athens – Hellinikon ATH</t>
  </si>
  <si>
    <t>Atlanta – Hartsfield Atlanta ATL</t>
  </si>
  <si>
    <t>Atlantic City Int´l ACY</t>
  </si>
  <si>
    <t>Auckland AKL</t>
  </si>
  <si>
    <t>Augsburg AGB</t>
  </si>
  <si>
    <t>Augusta Regional AGS</t>
  </si>
  <si>
    <t>Austin-Bergstrom AUS</t>
  </si>
  <si>
    <t>Avignon/Caumont AVN</t>
  </si>
  <si>
    <t>Badajoz-Talavera la Real BJZ</t>
  </si>
  <si>
    <t>Baden-Airpark GmbH FKB</t>
  </si>
  <si>
    <t>Baghdad SDA</t>
  </si>
  <si>
    <t>Bahrain BAH</t>
  </si>
  <si>
    <t>Baku – Bina Int´l BAK</t>
  </si>
  <si>
    <t>Bali-Denpasar-Ngurah Rai DPS</t>
  </si>
  <si>
    <t>Balikpapan-Sepinggan BPN</t>
  </si>
  <si>
    <t>Baltimore/Washington Int´l BWI</t>
  </si>
  <si>
    <t>Bamako-Senou Int´l BKO</t>
  </si>
  <si>
    <t>Bandaranaike Int´l CMB</t>
  </si>
  <si>
    <t>Bangalore BLR</t>
  </si>
  <si>
    <t>Bangkok Int´l BKK</t>
  </si>
  <si>
    <t>Bangor BGR</t>
  </si>
  <si>
    <t>Bangui-M´Poko BGF</t>
  </si>
  <si>
    <t>Banjul Int´l BJL</t>
  </si>
  <si>
    <t>Bankstown BWU</t>
  </si>
  <si>
    <t>Barcelona BCN</t>
  </si>
  <si>
    <t>Bari-Palese BRI</t>
  </si>
  <si>
    <t>Barnaul BAX</t>
  </si>
  <si>
    <t>Barra BRR</t>
  </si>
  <si>
    <t>Barranquilla-Aeropuerto Int´l Ernesto Cortissoz BAQ</t>
  </si>
  <si>
    <t>Basel/Mulhouse MLH</t>
  </si>
  <si>
    <t>Basel/Mulhouse BSL</t>
  </si>
  <si>
    <t>Baton Rouge Metroplitan BTR</t>
  </si>
  <si>
    <t>Beauvais/Tille BVA</t>
  </si>
  <si>
    <t>Beijing – Capital PEK</t>
  </si>
  <si>
    <t>Beira BEW</t>
  </si>
  <si>
    <t>Beirut BEY</t>
  </si>
  <si>
    <t>Belfast BFS</t>
  </si>
  <si>
    <t>Belfast City BHD</t>
  </si>
  <si>
    <t>Belgrade BEG</t>
  </si>
  <si>
    <t>Belize-Phillip SW Goldson BZE</t>
  </si>
  <si>
    <t>Bellingham BLI</t>
  </si>
  <si>
    <t>Belo Horizonte – Pampulha PLU</t>
  </si>
  <si>
    <t>Belo Horizonte – Tancredo Neves Int´l CNF</t>
  </si>
  <si>
    <t>Benbecula BEB</t>
  </si>
  <si>
    <t>Benghazi – Benina BEN</t>
  </si>
  <si>
    <t>Bergen, Flesland BGO</t>
  </si>
  <si>
    <t>Bergerac-Roumaniere EGC</t>
  </si>
  <si>
    <t>Berlin – Schönefeld SXF</t>
  </si>
  <si>
    <t>Berlin – Tegel TXL</t>
  </si>
  <si>
    <t>Berlin – Tempelhof THF</t>
  </si>
  <si>
    <t>Bermuda BDA</t>
  </si>
  <si>
    <t>Bern BRN</t>
  </si>
  <si>
    <t>Beziers/Vias BZR</t>
  </si>
  <si>
    <t>Biak-Frans Kaisiepo BIK</t>
  </si>
  <si>
    <t>Biarritz/Bayone/Anglet BIQ</t>
  </si>
  <si>
    <t>Bilbao BIO</t>
  </si>
  <si>
    <t>Billings Logan BIL</t>
  </si>
  <si>
    <t>Billund BLL</t>
  </si>
  <si>
    <t>Binghamton BGM</t>
  </si>
  <si>
    <t>Bintulu BTU</t>
  </si>
  <si>
    <t>Birmingham BHX</t>
  </si>
  <si>
    <t>Birmingham BHM</t>
  </si>
  <si>
    <t>Bishkek-Manas KGA</t>
  </si>
  <si>
    <t>Bismark Municipal BIS</t>
  </si>
  <si>
    <t>Bissau-Osvaldo Vieira BXO</t>
  </si>
  <si>
    <t>Blackbushe BBS</t>
  </si>
  <si>
    <t>Blackpool BLK</t>
  </si>
  <si>
    <t>Blantyre-Chileka BLZ</t>
  </si>
  <si>
    <t>Bloemfontein BFN</t>
  </si>
  <si>
    <t>Bluefield – Mercer County BLF</t>
  </si>
  <si>
    <t>Boa Vista Int´l BVB</t>
  </si>
  <si>
    <t>Bodø BOO</t>
  </si>
  <si>
    <t>Boeing Field/King County Int´l BFI</t>
  </si>
  <si>
    <t>Bogotá-El Dorado BOG</t>
  </si>
  <si>
    <t>Boise BOI</t>
  </si>
  <si>
    <t>Bologna-G Marconi BLQ</t>
  </si>
  <si>
    <t>Bonriki Int´l TRW</t>
  </si>
  <si>
    <t>Bordeaux/Merignac BOD</t>
  </si>
  <si>
    <t>Borlänge BLE</t>
  </si>
  <si>
    <t>Bornholm-Roenne RNN</t>
  </si>
  <si>
    <t>Boston-Logan BOS</t>
  </si>
  <si>
    <t>Bourgas BOJ</t>
  </si>
  <si>
    <t>Bourges BOU</t>
  </si>
  <si>
    <t>Bournemouth BOH</t>
  </si>
  <si>
    <t>Bozeman BZN</t>
  </si>
  <si>
    <t>Bradford Regional BFD</t>
  </si>
  <si>
    <t>Brasilia Int´l – Presidente Juscelino Kubitschek BSB</t>
  </si>
  <si>
    <t>Bratislava – M R Stefanik BTS</t>
  </si>
  <si>
    <t>Brazzaville – Maya Maya BVZ</t>
  </si>
  <si>
    <t>Bremen – Flughafen Bremen BRE</t>
  </si>
  <si>
    <t>Brest/Guipavas BES</t>
  </si>
  <si>
    <t>Brindisi BDS</t>
  </si>
  <si>
    <t>Brisbane BNE</t>
  </si>
  <si>
    <t>Brisbane – Archerfield BNE</t>
  </si>
  <si>
    <t>Bristol BRS</t>
  </si>
  <si>
    <t>Bristol – Filton BRS</t>
  </si>
  <si>
    <t>Brive – La Roche BVE</t>
  </si>
  <si>
    <t>Brno-Turany BRQ</t>
  </si>
  <si>
    <t>Brownsville/South Padre Island Int´l BRO</t>
  </si>
  <si>
    <t>Brunei-Bandar Seri Begawan BWN</t>
  </si>
  <si>
    <t>Brussels BRU</t>
  </si>
  <si>
    <t>Brussels-South Charleroi CRL</t>
  </si>
  <si>
    <t>Bucaramanga – Palo Negro BGA</t>
  </si>
  <si>
    <t>Bucharest – Baneasa BBU</t>
  </si>
  <si>
    <t>Bucharest – Otopeni OTP</t>
  </si>
  <si>
    <t>Budapest – Ferihegy BUD</t>
  </si>
  <si>
    <t>Buenos Aires – Aeropuerto Ministro Pistarini Int´l Ezeiza EZE</t>
  </si>
  <si>
    <t>Buenos Aires – Don Torcuato DOT</t>
  </si>
  <si>
    <t>Buffalo Niagara Int´l BUF</t>
  </si>
  <si>
    <t>Bujumbura BJM</t>
  </si>
  <si>
    <t>Bulawayo BUQ</t>
  </si>
  <si>
    <t>Burbank-Glendale-Pasedena BUR</t>
  </si>
  <si>
    <t>Burlington BTV</t>
  </si>
  <si>
    <t>Cairns CNS</t>
  </si>
  <si>
    <t>Cairo CAI</t>
  </si>
  <si>
    <t>Calgary YYC</t>
  </si>
  <si>
    <t>Cali-Alfonso Bonilla Aragón CLO</t>
  </si>
  <si>
    <t>Calicut CCI</t>
  </si>
  <si>
    <t>Calvi – Sainte Catherine CLY</t>
  </si>
  <si>
    <t>Camagüey-Ignacio Agramonte CMW</t>
  </si>
  <si>
    <t>Cambridge CBG</t>
  </si>
  <si>
    <t>Camden CDU</t>
  </si>
  <si>
    <t>Campbeltown CAL</t>
  </si>
  <si>
    <t>Campeche – Ingeniero Alberto Acuna Ongay Int´l CPE</t>
  </si>
  <si>
    <t>Campo Grande CGR</t>
  </si>
  <si>
    <t>Canberra CBN</t>
  </si>
  <si>
    <t>Cancun Int´l CUN</t>
  </si>
  <si>
    <t>Canefield DCF</t>
  </si>
  <si>
    <t>Cannes CEQ</t>
  </si>
  <si>
    <t>Cape Town CPT</t>
  </si>
  <si>
    <t>Caracas-Maiquetia Simon Bolivar CCS</t>
  </si>
  <si>
    <t>Carcassonne CCF</t>
  </si>
  <si>
    <t>Cardiff CWL</t>
  </si>
  <si>
    <t>Carlisle CAX</t>
  </si>
  <si>
    <t>Cartagena-Rafael Nunez CTG</t>
  </si>
  <si>
    <t>Casablanca – Mohammed V CMN</t>
  </si>
  <si>
    <t>Casper/Natrona County Int´l CPR</t>
  </si>
  <si>
    <t>Castres – Mazamet DCM</t>
  </si>
  <si>
    <t>Catania-Fontanarossa CTA</t>
  </si>
  <si>
    <t>Cayenne – Rochambeau CAY</t>
  </si>
  <si>
    <t>Cayo Largo-Vilo Acuña Int´l CYO</t>
  </si>
  <si>
    <t>Chambery/Aix les Bains CMF</t>
  </si>
  <si>
    <t>Champaign – Willard CMI</t>
  </si>
  <si>
    <t>Chania K Daskalogiannis CHQ</t>
  </si>
  <si>
    <t>Channel Islands – Alderney ACI</t>
  </si>
  <si>
    <t>Channel Islands – Guernsey GCI</t>
  </si>
  <si>
    <t>Channel Islands – Jersey JER</t>
  </si>
  <si>
    <t>Charleston-Yeager CRW</t>
  </si>
  <si>
    <t>Charlotte/Douglas Int´l CLT</t>
  </si>
  <si>
    <t>Chattanooga Metropolitan CHA</t>
  </si>
  <si>
    <t>Chavenay PAR</t>
  </si>
  <si>
    <t>Cheju – Jeju CJU</t>
  </si>
  <si>
    <t>Chelyabinsk – Balandino CEK</t>
  </si>
  <si>
    <t>Chengdu/Shuangliu CTU</t>
  </si>
  <si>
    <t>Chennai/Madras – Meenambakam MAA</t>
  </si>
  <si>
    <t>Cherbourg-Maupertus CER</t>
  </si>
  <si>
    <t>Chester CEG</t>
  </si>
  <si>
    <t>Chetumal CTM</t>
  </si>
  <si>
    <t>Cheyenne CYS</t>
  </si>
  <si>
    <t>Chiang Mai Int´l CNX</t>
  </si>
  <si>
    <t>Chiang Rai CEI</t>
  </si>
  <si>
    <t>Chicago Midway MDW</t>
  </si>
  <si>
    <t>Chicago-O´Hare ORD</t>
  </si>
  <si>
    <t>Chisinau KIV</t>
  </si>
  <si>
    <t>Chittagong – Shah Amanat Int´l CGP</t>
  </si>
  <si>
    <t>Christchurch Ltd CHC</t>
  </si>
  <si>
    <t>Châteauroux/Déols-Marcel Dassault CHR</t>
  </si>
  <si>
    <t>Ciego de Avila-Maximo Gomez Int´l AVI</t>
  </si>
  <si>
    <t>Cienfuegos – Jamie González Int´l CFG</t>
  </si>
  <si>
    <t>Cincinnati/N Kentucky Int´l CVG</t>
  </si>
  <si>
    <t>City of Derry – Londonderry LDY</t>
  </si>
  <si>
    <t>Ciudad del Carmen CME</t>
  </si>
  <si>
    <t>Ciudad Obregón CEN</t>
  </si>
  <si>
    <t>Ciudad Victoria CVM</t>
  </si>
  <si>
    <t>Clermont Ferrand Auvergne CFE</t>
  </si>
  <si>
    <t>Cleveland – Hopkins CLE</t>
  </si>
  <si>
    <t>Cochin COK</t>
  </si>
  <si>
    <t>Cocos Islands CCK</t>
  </si>
  <si>
    <t>Coimbatore CJB</t>
  </si>
  <si>
    <t>Colima CLQ</t>
  </si>
  <si>
    <t>Colmar-Houssen CMR</t>
  </si>
  <si>
    <t>Cologne/Bonn CGN</t>
  </si>
  <si>
    <t>Colorado Springs COS</t>
  </si>
  <si>
    <t>Columbia Metropolitan CAE</t>
  </si>
  <si>
    <t>Columbus – Port Columbus Int´l CMH</t>
  </si>
  <si>
    <t>Columbus-Golden Triangle Regional GTR</t>
  </si>
  <si>
    <t>Conakry-Gbessia CKY</t>
  </si>
  <si>
    <t>Concepcion CCP</t>
  </si>
  <si>
    <t>Constanta-Mihail Kogalniceanu CND</t>
  </si>
  <si>
    <t>Constantine CZL</t>
  </si>
  <si>
    <t>Cook Is-Rarotonga RAR</t>
  </si>
  <si>
    <t>Coolangatta – Gold Coast OOL</t>
  </si>
  <si>
    <t>Copenhagen Roskilde RKE</t>
  </si>
  <si>
    <t>Copenhagen – Kastrup CPH</t>
  </si>
  <si>
    <t>Cordoba ODB</t>
  </si>
  <si>
    <t>Cordoba – Ambrosio l y Taravella COR</t>
  </si>
  <si>
    <t>Corfu I Kapodistrias CFU</t>
  </si>
  <si>
    <t>Cork CRK</t>
  </si>
  <si>
    <t>Corpus Christi Int´l CRP</t>
  </si>
  <si>
    <t>Cortez Municipal CEZ</t>
  </si>
  <si>
    <t>Corumba CMG</t>
  </si>
  <si>
    <t>Cotonou COO</t>
  </si>
  <si>
    <t>Coventry – West Midlands CVT</t>
  </si>
  <si>
    <t>Cozumel CZM</t>
  </si>
  <si>
    <t>Crotone CRV</t>
  </si>
  <si>
    <t>Crown Point TAB</t>
  </si>
  <si>
    <t>Cruzeiro do Sul Int´l CZS</t>
  </si>
  <si>
    <t>Cuernavaca CVJ</t>
  </si>
  <si>
    <t>Cumberland Regional CBE</t>
  </si>
  <si>
    <t>Cuneo-Levaldigi CUF</t>
  </si>
  <si>
    <t>Curacao – Hato CUR</t>
  </si>
  <si>
    <t>Curitiba – Afonso Pena CWB</t>
  </si>
  <si>
    <t>Dakar-Yoff – Leopol Sedar Senghor Int´l DKR</t>
  </si>
  <si>
    <t>Dalaman DLM</t>
  </si>
  <si>
    <t>Dalian – Zhoushuizi DLC</t>
  </si>
  <si>
    <t>Dallas Love Field DAL</t>
  </si>
  <si>
    <t>Dallas/Fort Worth DFW</t>
  </si>
  <si>
    <t>Damascus DAM</t>
  </si>
  <si>
    <t>Dammam – King Fahd OED</t>
  </si>
  <si>
    <t>Dane County Regional MSN</t>
  </si>
  <si>
    <t>Dar-es-Salaam DAR</t>
  </si>
  <si>
    <t>Darwin Int´l DRW</t>
  </si>
  <si>
    <t>Davao Int´l DVO</t>
  </si>
  <si>
    <t>Dayton DAY</t>
  </si>
  <si>
    <t>Daytona Beach Int´l DAB</t>
  </si>
  <si>
    <t>Deauville/Saint Gatien DOL</t>
  </si>
  <si>
    <t>Decatur DEC</t>
  </si>
  <si>
    <t>Delhi – Indira Ghandi DEL</t>
  </si>
  <si>
    <t>Denver DEN</t>
  </si>
  <si>
    <t>Des Moines DSM</t>
  </si>
  <si>
    <t>Detroit City DET</t>
  </si>
  <si>
    <t>Detroit Metropolitan Wayne County DTW</t>
  </si>
  <si>
    <t>Dhahran DHA</t>
  </si>
  <si>
    <t>Dhaka – Zia DAC</t>
  </si>
  <si>
    <t>Dijon-Bourgogne Aéroport DIJ</t>
  </si>
  <si>
    <t>Dinard/Plertuit/St Malo DNR</t>
  </si>
  <si>
    <t>Djerba-Zarzis DJE</t>
  </si>
  <si>
    <t>Djibouti – Ambouli JIB</t>
  </si>
  <si>
    <t>Dnepropetrovsk DNK</t>
  </si>
  <si>
    <t>Doha DOH</t>
  </si>
  <si>
    <t>Dole/Tavaux DLE</t>
  </si>
  <si>
    <t>Donegal Int´l CFN</t>
  </si>
  <si>
    <t>Dortmund – Wickede DTM</t>
  </si>
  <si>
    <t>Dothan Regional DHN</t>
  </si>
  <si>
    <t>Douala DLA</t>
  </si>
  <si>
    <t>Dresden DRS</t>
  </si>
  <si>
    <t>Dubai DXB</t>
  </si>
  <si>
    <t>Dublin DUB</t>
  </si>
  <si>
    <t>Dubois-Jefferson County DUJ</t>
  </si>
  <si>
    <t>Dubrovnik DBV</t>
  </si>
  <si>
    <t>Dubuque Regional DBQ</t>
  </si>
  <si>
    <t>Dundee DND</t>
  </si>
  <si>
    <t>Dunedin Ltd DUD</t>
  </si>
  <si>
    <t>Durango – La Plata County DRO</t>
  </si>
  <si>
    <t>Durban DUR</t>
  </si>
  <si>
    <t>Dushanbe DYU</t>
  </si>
  <si>
    <t>Düsseldorf DUS</t>
  </si>
  <si>
    <t>Düsseldorf Express- Mönchengladbach MGL</t>
  </si>
  <si>
    <t>East London ELS</t>
  </si>
  <si>
    <t>East Midlands EMA</t>
  </si>
  <si>
    <t>Eastern Iowa CID</t>
  </si>
  <si>
    <t>Edinburgh EDI</t>
  </si>
  <si>
    <t>Edmonton YEG</t>
  </si>
  <si>
    <t>Egilsstadir EGS</t>
  </si>
  <si>
    <t>Eilat-J Hozman ETH</t>
  </si>
  <si>
    <t>Eindhoven EIN</t>
  </si>
  <si>
    <t>Ekaterinburg – Koltcovo SVX</t>
  </si>
  <si>
    <t>El Paso ELP</t>
  </si>
  <si>
    <t>El Salvador Int´l SAL</t>
  </si>
  <si>
    <t>Elmira/Coring Regional ELM</t>
  </si>
  <si>
    <t>Enontekiö ENF</t>
  </si>
  <si>
    <t>Enschede Twente ENS</t>
  </si>
  <si>
    <t>Entebbe EBB</t>
  </si>
  <si>
    <t>Epinal/Mirecourt EPL</t>
  </si>
  <si>
    <t>Erfurt ERF</t>
  </si>
  <si>
    <t>Erie ERI</t>
  </si>
  <si>
    <t>Esbjerg EBJ</t>
  </si>
  <si>
    <t>Essen/Mulheim ESS</t>
  </si>
  <si>
    <t>Essendon MEB</t>
  </si>
  <si>
    <t>Evansville Regional EVV</t>
  </si>
  <si>
    <t>Exeter EXT</t>
  </si>
  <si>
    <t>Fairbanks Int´l FAI</t>
  </si>
  <si>
    <t>Faleolo APW</t>
  </si>
  <si>
    <t>Fargo – Hector FAR</t>
  </si>
  <si>
    <t>Farnborough FAB</t>
  </si>
  <si>
    <t>Faro FAO</t>
  </si>
  <si>
    <t>Fayetteville Municipal – Drake Field FYV</t>
  </si>
  <si>
    <t>Fayetteville Regional FAY</t>
  </si>
  <si>
    <t>Fayetteville – Lincoln County Regional FYM</t>
  </si>
  <si>
    <t>Fes Saiss FEZ</t>
  </si>
  <si>
    <t>Fiji – Suva Nausori Int´l SUV</t>
  </si>
  <si>
    <t>Fiji-Nadi NAN</t>
  </si>
  <si>
    <t>Flagstaff Pulliam FLG</t>
  </si>
  <si>
    <t>Flamingo BON</t>
  </si>
  <si>
    <t>Flint – Bishop FNT</t>
  </si>
  <si>
    <t>Florence Regional FLO</t>
  </si>
  <si>
    <t>Florence – Amerigo Vespucci FLR</t>
  </si>
  <si>
    <t>Flores FLW</t>
  </si>
  <si>
    <t>Forli FRL</t>
  </si>
  <si>
    <t>Fort Collins-Loveland Municipal FNL</t>
  </si>
  <si>
    <t>Fort Lauderdale-Hollywood Int´l FLL</t>
  </si>
  <si>
    <t>Fort McMurray YMM</t>
  </si>
  <si>
    <t>Fort Myers-SW Florida Int´l RSW</t>
  </si>
  <si>
    <t>Fort Pierce – St Lucie County Int´l FPR</t>
  </si>
  <si>
    <t>Fort Smith FSM</t>
  </si>
  <si>
    <t>Fort Wayne FWA</t>
  </si>
  <si>
    <t>Fortaleza FOR</t>
  </si>
  <si>
    <t>Foz do Iguaçu-Cataratas Int´l IGU</t>
  </si>
  <si>
    <t>Franceville – Mvengue MVB</t>
  </si>
  <si>
    <t>Francistown FRW</t>
  </si>
  <si>
    <t>Frankfurt FRA</t>
  </si>
  <si>
    <t>Frankfurt-Hahn HHN</t>
  </si>
  <si>
    <t>Freetown-Lunghi FNA</t>
  </si>
  <si>
    <t>Fresno Yosemite FAT</t>
  </si>
  <si>
    <t>Friedrichshafen/Lowental FDH</t>
  </si>
  <si>
    <t>Fua´amotu Int´l TBU</t>
  </si>
  <si>
    <t>Fuerteventura FUE</t>
  </si>
  <si>
    <t>Fujairah FJR</t>
  </si>
  <si>
    <t>Fukui FKJ</t>
  </si>
  <si>
    <t>Funchal -o da Madeira FNC</t>
  </si>
  <si>
    <t>Gaborone-Seretse Khama GBE</t>
  </si>
  <si>
    <t>Gainesville Regional GLE</t>
  </si>
  <si>
    <t>Galway GWY</t>
  </si>
  <si>
    <t>Garoua GOU</t>
  </si>
  <si>
    <t>Gaya GAY</t>
  </si>
  <si>
    <t>Gdansk-Trojmiasto Ltd GDN</t>
  </si>
  <si>
    <t>Geilo – Dagali DLD</t>
  </si>
  <si>
    <t>Geneva GVA</t>
  </si>
  <si>
    <t>Genoa GOA</t>
  </si>
  <si>
    <t>George GRJ</t>
  </si>
  <si>
    <t>Georgetown – Cheddi Jagan Int´l GEO</t>
  </si>
  <si>
    <t>Gerona-Costa Brava GRO</t>
  </si>
  <si>
    <t>Gibraltar GIB</t>
  </si>
  <si>
    <t>Glasgow Ltd GLA</t>
  </si>
  <si>
    <t>Glasgow – Prestwick PIK</t>
  </si>
  <si>
    <t>Gloucestershire GLO</t>
  </si>
  <si>
    <t>Goa – Dabolim GOI</t>
  </si>
  <si>
    <t>Gomel (Pokalubichi) GME</t>
  </si>
  <si>
    <t>Gorna Orjahovica GOZ</t>
  </si>
  <si>
    <t>Gran Canaria LPA</t>
  </si>
  <si>
    <t>Granada GRX</t>
  </si>
  <si>
    <t>Grand Bahama FPO</t>
  </si>
  <si>
    <t>Grand Cayman-Owen Roberts Int´l GCM</t>
  </si>
  <si>
    <t>Grand Forks Int´l GFK</t>
  </si>
  <si>
    <t>Grand Junction – Walker Field GJT</t>
  </si>
  <si>
    <t>Grand Rapids/Kent County Int´l GPZ</t>
  </si>
  <si>
    <t>Grand Turk GDT</t>
  </si>
  <si>
    <t>Grande Case – L´Esperance SFG</t>
  </si>
  <si>
    <t>Grant County MWH</t>
  </si>
  <si>
    <t>Grantley Adams Int´l BGI</t>
  </si>
  <si>
    <t>Graz GRZ</t>
  </si>
  <si>
    <t>Great Falls GTF</t>
  </si>
  <si>
    <t>Greater Los Angeles/March GlobalPort RIV</t>
  </si>
  <si>
    <t>Greater Rochester Int´l ROC</t>
  </si>
  <si>
    <t>Greenville Spartanburg GSP</t>
  </si>
  <si>
    <t>Grenada-Point Salines Int´l GND</t>
  </si>
  <si>
    <t>Grenoble/Saint-Geoirs GNB</t>
  </si>
  <si>
    <t>Groningen Eelde GRQ</t>
  </si>
  <si>
    <t>Guadalajarra-Don Miguel Hidalgo GDL</t>
  </si>
  <si>
    <t>Guam-Antonio BWon Pat Int´l GUM</t>
  </si>
  <si>
    <t>Guangzhou Baiyun CAN</t>
  </si>
  <si>
    <t>Guatemala City – La Aurora GUA</t>
  </si>
  <si>
    <t>Guayaquil-Simon Bolivar GYE</t>
  </si>
  <si>
    <t>Guaymas – General Jose Maria Yanez Intl GYM</t>
  </si>
  <si>
    <t>Gulfport – Biloxi GPT</t>
  </si>
  <si>
    <t>Göteborg City GSE</t>
  </si>
  <si>
    <t>Göteborg-Landvetter GOT</t>
  </si>
  <si>
    <t>Hagerstown Regional HGR</t>
  </si>
  <si>
    <t>Haifa – U Michaeli HFA</t>
  </si>
  <si>
    <t>Halifax Stanfield YHZ</t>
  </si>
  <si>
    <t>Hamburg HAM</t>
  </si>
  <si>
    <t>Hamilton YHM</t>
  </si>
  <si>
    <t>Hannover HAJ</t>
  </si>
  <si>
    <t>Hanoi – Noi Bai HAN</t>
  </si>
  <si>
    <t>Harare HRE</t>
  </si>
  <si>
    <t>Harbin – Taiping HRB</t>
  </si>
  <si>
    <t>Harrisburg HAR</t>
  </si>
  <si>
    <t>Harstad/Narvik – Evenes EVE</t>
  </si>
  <si>
    <t>Hartford – Springfield – Bradley BDL</t>
  </si>
  <si>
    <t>Hastings Municipal HSI</t>
  </si>
  <si>
    <t>Hat Yai Int´l HDY</t>
  </si>
  <si>
    <t>Haugesund HAU</t>
  </si>
  <si>
    <t>Haverfordwest HAW</t>
  </si>
  <si>
    <t>Helsinki – Malmi HEM</t>
  </si>
  <si>
    <t>Helsinki – Vantaa HEL</t>
  </si>
  <si>
    <t>Henderson HIR</t>
  </si>
  <si>
    <t>Heraklion – Nikos Kazantzakis HER</t>
  </si>
  <si>
    <t>Hickory Regional HKY</t>
  </si>
  <si>
    <t>Hierro VDE</t>
  </si>
  <si>
    <t>Hilton Head Island HXD</t>
  </si>
  <si>
    <t>Hiroshima HIJ</t>
  </si>
  <si>
    <t>Ho Chi Minh City – Tan Son Nhat Int´l SGN</t>
  </si>
  <si>
    <t>Hobart HBA</t>
  </si>
  <si>
    <t>Holguin-Frank Pais Int´l HOG</t>
  </si>
  <si>
    <t>Hong Kong (HKG) HKG</t>
  </si>
  <si>
    <t>Honolulu HNL</t>
  </si>
  <si>
    <t>Horta HOR</t>
  </si>
  <si>
    <t>Houston – George Bush Intercontinental IAH</t>
  </si>
  <si>
    <t>Houston – William P Hobby HOU</t>
  </si>
  <si>
    <t>Humberside Ltd HUY</t>
  </si>
  <si>
    <t>Huntington Tri-State HTS</t>
  </si>
  <si>
    <t>Huntsville HSV</t>
  </si>
  <si>
    <t>Hurgadah HRG</t>
  </si>
  <si>
    <t>Hyderabad HYD</t>
  </si>
  <si>
    <t>Ibiza IBZ</t>
  </si>
  <si>
    <t>Ile d´Yeu – Grand Phare IDY</t>
  </si>
  <si>
    <t>Indianapolis IND</t>
  </si>
  <si>
    <t>Innsbruck INN</t>
  </si>
  <si>
    <t>Inverness-Dalcross INV</t>
  </si>
  <si>
    <t>Inyokern – Kern County IYK</t>
  </si>
  <si>
    <t>Ioannina National IOA</t>
  </si>
  <si>
    <t>Ipoh – Sultan Azlan Shah IPH</t>
  </si>
  <si>
    <t>Iquitos IQT</t>
  </si>
  <si>
    <t>Irkutsk IKT</t>
  </si>
  <si>
    <t>Islamabad ISB</t>
  </si>
  <si>
    <t>Islay ILY</t>
  </si>
  <si>
    <t>Isle of Man IOM</t>
  </si>
  <si>
    <t>Isles of Scilly-St Mary´s ISC</t>
  </si>
  <si>
    <t>Istanbul – Atatürk IST</t>
  </si>
  <si>
    <t>Ithaca – Tompkins County ITH</t>
  </si>
  <si>
    <t>Ivalo Int´l IVL</t>
  </si>
  <si>
    <t>Izmir – Adnan Menderes ADB</t>
  </si>
  <si>
    <t>Jackson Hole JAC</t>
  </si>
  <si>
    <t>Jackson Int´l JAN</t>
  </si>
  <si>
    <t>Jacksonville JAX</t>
  </si>
  <si>
    <t>Jaipur – Sanganeer JAI</t>
  </si>
  <si>
    <t>Jakarta – Halim Perdanakusuma Int´l HLP</t>
  </si>
  <si>
    <t>Jakarta – Soekarno Hatta JKT</t>
  </si>
  <si>
    <t>Jeddah – King Abdulaziz JED</t>
  </si>
  <si>
    <t>Joe Foss Field-Sioux Falls FSD</t>
  </si>
  <si>
    <t>Joensuu JOE</t>
  </si>
  <si>
    <t>Johannesburg JNB</t>
  </si>
  <si>
    <t>Johnstown – Cambria County JST</t>
  </si>
  <si>
    <t>Johor Bahru – Sultan Ismail JHB</t>
  </si>
  <si>
    <t>Jyvaskyla JYV</t>
  </si>
  <si>
    <t>Jönköping JKJ</t>
  </si>
  <si>
    <t>Kabul-Khwaja Rawash KBL</t>
  </si>
  <si>
    <t>Kajaani KAJ</t>
  </si>
  <si>
    <t>Kalamazoo/Battle Creek Int´l AZO</t>
  </si>
  <si>
    <t>Kalmar KLR</t>
  </si>
  <si>
    <t>Kano – Mallam Aminu Kano KAN</t>
  </si>
  <si>
    <t>Kansas City MCI</t>
  </si>
  <si>
    <t>Kansas City Downtown MKC</t>
  </si>
  <si>
    <t>Kaohsiung Int´l KHH</t>
  </si>
  <si>
    <t>Karachi KHI</t>
  </si>
  <si>
    <t>Karaganda – Sary Arka KGF</t>
  </si>
  <si>
    <t>Kariba KAB</t>
  </si>
  <si>
    <t>Karlovy Vary KLV</t>
  </si>
  <si>
    <t>Karonga KGJ</t>
  </si>
  <si>
    <t>Karup KRP</t>
  </si>
  <si>
    <t>Kasane BBK</t>
  </si>
  <si>
    <t>Kassel KSF</t>
  </si>
  <si>
    <t>Kathmandu – Tribhuvan KTM</t>
  </si>
  <si>
    <t>Katowice KTW</t>
  </si>
  <si>
    <t>Kaunas KUN</t>
  </si>
  <si>
    <t>Kavala-Megas Alexandros Int´l KVA</t>
  </si>
  <si>
    <t>Kazan KZN</t>
  </si>
  <si>
    <t>Kefallinia EFL</t>
  </si>
  <si>
    <t>Keflavik KEF</t>
  </si>
  <si>
    <t>Kelowna YLW</t>
  </si>
  <si>
    <t>Kemi-Tornio KEM</t>
  </si>
  <si>
    <t>Kerry KIR</t>
  </si>
  <si>
    <t>Key West EYW</t>
  </si>
  <si>
    <t>Khabarovsk – Novy KHV</t>
  </si>
  <si>
    <t>Khartoum KRT</t>
  </si>
  <si>
    <t>Kiev – Boryspil State KBP</t>
  </si>
  <si>
    <t>Kiev – Zulhany IEV</t>
  </si>
  <si>
    <t>Kigali KGL</t>
  </si>
  <si>
    <t>Kilimanjaro JRO</t>
  </si>
  <si>
    <t>Kimberley KIM</t>
  </si>
  <si>
    <t>Kingston – Norman Manley KIN</t>
  </si>
  <si>
    <t>Kinshasa-N´Djili FIH</t>
  </si>
  <si>
    <t>Kinston – North Carolina Global Transpark ISO</t>
  </si>
  <si>
    <t>Kirkenes KKN</t>
  </si>
  <si>
    <t>Kirkwall KOI</t>
  </si>
  <si>
    <t>Kiruna KRN</t>
  </si>
  <si>
    <t>Kittilä KTT</t>
  </si>
  <si>
    <t>Klagenfurt KLU</t>
  </si>
  <si>
    <t>Klamath Falls Int´l LMT</t>
  </si>
  <si>
    <t>Knock Int´l NOC</t>
  </si>
  <si>
    <t>Knoxville – McGhee Tyson TYS</t>
  </si>
  <si>
    <t>Kochi KCZ</t>
  </si>
  <si>
    <t>Kolkata – Netaji Subhas Chanra Bose Int´l CCU</t>
  </si>
  <si>
    <t>Komatsu KMQ</t>
  </si>
  <si>
    <t>Kortrijk-Wevelgem/Flanders Int´l FIA</t>
  </si>
  <si>
    <t>Kos – Ippokratis KGS</t>
  </si>
  <si>
    <t>Kosice KSC</t>
  </si>
  <si>
    <t>Kota Bharu – Sultan Ismail Petra KBR</t>
  </si>
  <si>
    <t>Kota Kinabalu Int´l BKI</t>
  </si>
  <si>
    <t>Kotoka ACC</t>
  </si>
  <si>
    <t>Krakow-Balice KRK</t>
  </si>
  <si>
    <t>Krasnoyarsk KJA</t>
  </si>
  <si>
    <t>Kristianstad – Everod KID</t>
  </si>
  <si>
    <t>Krivij Rig KWG</t>
  </si>
  <si>
    <t>Kruunupyy – Kokkola-Pietarsaari KOK</t>
  </si>
  <si>
    <t>Kuala Lumpur – KLIA KUL</t>
  </si>
  <si>
    <t>Kuala Lumpur – Sultan Abdul Aziz Shah SZB</t>
  </si>
  <si>
    <t>Kuala Terengganu – Sultan Mahmud TGG</t>
  </si>
  <si>
    <t>Kuantan – Sultan Haji Ahmad Shah KUA</t>
  </si>
  <si>
    <t>Kuching Int´l KCH</t>
  </si>
  <si>
    <t>Kumamoto KMJ</t>
  </si>
  <si>
    <t>Kumasi KMS</t>
  </si>
  <si>
    <t>Kunming – Wujiaba KMG</t>
  </si>
  <si>
    <t>Kuopio KUO</t>
  </si>
  <si>
    <t>Kuressaare URE</t>
  </si>
  <si>
    <t>Kuusamo KAO</t>
  </si>
  <si>
    <t>Kuwait KWI</t>
  </si>
  <si>
    <t>Kärdla KDL</t>
  </si>
  <si>
    <t>La Ceiba – Golson LCE</t>
  </si>
  <si>
    <t>La Coruña LCG</t>
  </si>
  <si>
    <t>La Crosse Municipal LSE</t>
  </si>
  <si>
    <t>La Havana – Jose Marti HAV</t>
  </si>
  <si>
    <t>La Palma SPC</t>
  </si>
  <si>
    <t>La Paz-El Alto LPB</t>
  </si>
  <si>
    <t>La Paz-Manuel de Leon LAP</t>
  </si>
  <si>
    <t>La Rochelle – Ile de Ré LRH</t>
  </si>
  <si>
    <t>Laayoune Hassan EUN</t>
  </si>
  <si>
    <t>Labuan LBU</t>
  </si>
  <si>
    <t>Lae LAE</t>
  </si>
  <si>
    <t>Lafayette Regional LFT</t>
  </si>
  <si>
    <t>Lagos – Murtala Muhammed LOS</t>
  </si>
  <si>
    <t>Lahad Datu LDU</t>
  </si>
  <si>
    <t>Lahore – Allama Iqbal LHE</t>
  </si>
  <si>
    <t>Lahr – Black Forest LHA</t>
  </si>
  <si>
    <t>Lake Tahoe TVL</t>
  </si>
  <si>
    <t>Lakselv – Banak LKL</t>
  </si>
  <si>
    <t>Lambarene LBQ</t>
  </si>
  <si>
    <t>Lamezia SUF</t>
  </si>
  <si>
    <t>Lancaster LNS</t>
  </si>
  <si>
    <t>Langkawi LGK</t>
  </si>
  <si>
    <t>Lannion LAI</t>
  </si>
  <si>
    <t>Lanseria HLA</t>
  </si>
  <si>
    <t>Lansing – Capital City LAN</t>
  </si>
  <si>
    <t>Lanzarote ACE</t>
  </si>
  <si>
    <t>Lappeenranta LPP</t>
  </si>
  <si>
    <t>Laredo Int´l LRD</t>
  </si>
  <si>
    <t>Larnaca LCA</t>
  </si>
  <si>
    <t>Las Vegas – McCarran LAS</t>
  </si>
  <si>
    <t>Launceston LST</t>
  </si>
  <si>
    <t>Le Bourget LBG</t>
  </si>
  <si>
    <t>Le Havre/Octeville LEH</t>
  </si>
  <si>
    <t>Le Touquet-Côte d´Opale LTQ</t>
  </si>
  <si>
    <t>Leeds Bradford LBA</t>
  </si>
  <si>
    <t>Lehigh Valley ABE</t>
  </si>
  <si>
    <t>Leipzig/Halle LEJ</t>
  </si>
  <si>
    <t>Lelystad LEY</t>
  </si>
  <si>
    <t>Lexington/Blue Grass LEX</t>
  </si>
  <si>
    <t>Libreville-Leon M´Ba Int´l LBV</t>
  </si>
  <si>
    <t>Liepaja LPX</t>
  </si>
  <si>
    <t>Lihue LIH</t>
  </si>
  <si>
    <t>Lille LIL</t>
  </si>
  <si>
    <t>Lilongwe LLW</t>
  </si>
  <si>
    <t>Lima – Jorge Chavez CLX</t>
  </si>
  <si>
    <t>Limnos LXS</t>
  </si>
  <si>
    <t>Limoges/Bellegarde LIG</t>
  </si>
  <si>
    <t>Limon LMH</t>
  </si>
  <si>
    <t>Linz – Blue Danube LNZ</t>
  </si>
  <si>
    <t>Lisbon LIS</t>
  </si>
  <si>
    <t>Little Rock National LIT</t>
  </si>
  <si>
    <t>Liverpool – John Lennon LPL</t>
  </si>
  <si>
    <t>Livingstone LVI</t>
  </si>
  <si>
    <t>Liège LGG</t>
  </si>
  <si>
    <t>Ljubljana D D LJU</t>
  </si>
  <si>
    <t>Ljubljana D Dndoza-El Plumerillo MDZ</t>
  </si>
  <si>
    <t>Lome-Tokoin LFW</t>
  </si>
  <si>
    <t>London – Biggin Hill BQH</t>
  </si>
  <si>
    <t>London – City LCY</t>
  </si>
  <si>
    <t>London – Gatwick LGW</t>
  </si>
  <si>
    <t>London – Heathrow LHR</t>
  </si>
  <si>
    <t>London – Luton LTN</t>
  </si>
  <si>
    <t>London – Manston MSE</t>
  </si>
  <si>
    <t>London – Southend SEN</t>
  </si>
  <si>
    <t>London – Stansted STN</t>
  </si>
  <si>
    <t>Long Beach LGB</t>
  </si>
  <si>
    <t>Long Island – MacArthur ISP</t>
  </si>
  <si>
    <t>Lorain County Regional LPR</t>
  </si>
  <si>
    <t>Lorient/Lann-Bihoué LRT</t>
  </si>
  <si>
    <t>Los Angeles LAX</t>
  </si>
  <si>
    <t>Louisville SDF</t>
  </si>
  <si>
    <t>Luanda – 4 de Fevereiro LAD</t>
  </si>
  <si>
    <t>Lubbock LBB</t>
  </si>
  <si>
    <t>Lucknow – Amausi LKO</t>
  </si>
  <si>
    <t>Luebeck – Blankensee LBC</t>
  </si>
  <si>
    <t>Lugano LUG</t>
  </si>
  <si>
    <t>Luleå-Kallax Cargo LLA</t>
  </si>
  <si>
    <t>Lusaka LUN</t>
  </si>
  <si>
    <t>Luxembourg-Findel LUX</t>
  </si>
  <si>
    <t>Luxor LXR</t>
  </si>
  <si>
    <t>Lydd LYX</t>
  </si>
  <si>
    <t>Lynchburg Regional LYH</t>
  </si>
  <si>
    <t>Lyon – Aéroport Lyon-Saint Exupéry LYS</t>
  </si>
  <si>
    <t>Lyon/Bron Int´l LYS</t>
  </si>
  <si>
    <t>Maastricht Aachen MST</t>
  </si>
  <si>
    <t>Macau MFM</t>
  </si>
  <si>
    <t>Mackay MKY</t>
  </si>
  <si>
    <t>Mactan – Cebu Int´l NOP</t>
  </si>
  <si>
    <t>Madrid – Barajas MAD</t>
  </si>
  <si>
    <t>Madrid – Cuatro Vientos MCV</t>
  </si>
  <si>
    <t>Magadan Sokol GDX</t>
  </si>
  <si>
    <t>Makedonia-Thessaloniki SKG</t>
  </si>
  <si>
    <t>Malabo SSG</t>
  </si>
  <si>
    <t>Malaga AGP</t>
  </si>
  <si>
    <t>Male MLE</t>
  </si>
  <si>
    <t>Malmö – Sturup MMX</t>
  </si>
  <si>
    <t>Malta Int´l MLA</t>
  </si>
  <si>
    <t>Manado – Sam Ratulangi MDC</t>
  </si>
  <si>
    <t>Managua – Augusto Cesar Sandino MGA</t>
  </si>
  <si>
    <t>Manaus-Eduardo Gomes Int´l MAO</t>
  </si>
  <si>
    <t>Manchester MHT</t>
  </si>
  <si>
    <t>Manchester MAN</t>
  </si>
  <si>
    <t>Mandalay MDL</t>
  </si>
  <si>
    <t>Manila – Ninoy Aquino Int´l MNL</t>
  </si>
  <si>
    <t>Manzanillo-Sierra Maestra Int´l MZO</t>
  </si>
  <si>
    <t>Maputo MPM</t>
  </si>
  <si>
    <t>Marathon MTH</t>
  </si>
  <si>
    <t>Maribor Aerodrom MBX</t>
  </si>
  <si>
    <t>Mariehamn MHQ</t>
  </si>
  <si>
    <t>Marrakech – Menara RAK</t>
  </si>
  <si>
    <t>Marseille/Provence MRS</t>
  </si>
  <si>
    <t>Martinique-Lamentin FDF</t>
  </si>
  <si>
    <t>Maseru-Moshoeshoe 1 MSU</t>
  </si>
  <si>
    <t>Mason City Municipal MCW</t>
  </si>
  <si>
    <t>Matamoros – General Servando Canales MAM</t>
  </si>
  <si>
    <t>Matsapha MTS</t>
  </si>
  <si>
    <t>Matsumoto MMJ</t>
  </si>
  <si>
    <t>Maun MUB</t>
  </si>
  <si>
    <t>Mazatlan – General Rafael Buelna MZT</t>
  </si>
  <si>
    <t>Mbandaka MDK</t>
  </si>
  <si>
    <t>McAllen – Miller MFE</t>
  </si>
  <si>
    <t>Medan-Polonia MES</t>
  </si>
  <si>
    <t>Medellin – Jose Maria Cordova MDE</t>
  </si>
  <si>
    <t>Melaka – Batu Berendam MKZ</t>
  </si>
  <si>
    <t>Melbourne Int´l MLB</t>
  </si>
  <si>
    <t>Melbourne – Tullamarine MEL</t>
  </si>
  <si>
    <t>Melilla MLN</t>
  </si>
  <si>
    <t>Melo – Aeropuerto Int´l de Cerro Largo MLZ</t>
  </si>
  <si>
    <t>Melville Hall DOM</t>
  </si>
  <si>
    <t>Memphis MEM</t>
  </si>
  <si>
    <t>Menorca MAH</t>
  </si>
  <si>
    <t>Mercedita PSE</t>
  </si>
  <si>
    <t>Merida – Licenciado Manuel Crecencio Rejon Int´l MID</t>
  </si>
  <si>
    <t>Meridian Regional-Key Field MEI</t>
  </si>
  <si>
    <t>Metz/Nancy/Lorraine ETZ</t>
  </si>
  <si>
    <t>Mexico-Benito Juarez MEX</t>
  </si>
  <si>
    <t>Miami MIA</t>
  </si>
  <si>
    <t>Midland MAF</t>
  </si>
  <si>
    <t>Mikkeli City MIK</t>
  </si>
  <si>
    <t>Milan – Orio Al Serio BGY</t>
  </si>
  <si>
    <t>Milan-Linate LIN</t>
  </si>
  <si>
    <t>Milan-Malpensa MXP</t>
  </si>
  <si>
    <t>Milwaukee – General Mitchell Int´l MKE</t>
  </si>
  <si>
    <t>Minneapolis-St Paul Int´l MSP</t>
  </si>
  <si>
    <t>Minot MOT</t>
  </si>
  <si>
    <t>Minsk National MSQ</t>
  </si>
  <si>
    <t>Miri MYY</t>
  </si>
  <si>
    <t>Misawa MSJ</t>
  </si>
  <si>
    <t>Missoula Int´l – Johnson-Bell Field MSO</t>
  </si>
  <si>
    <t>Mitilini MJT</t>
  </si>
  <si>
    <t>Mobile Downtown BFM</t>
  </si>
  <si>
    <t>Mobile Regional MOB</t>
  </si>
  <si>
    <t>Modesto City County MOD</t>
  </si>
  <si>
    <t>Mogadishu MGQ</t>
  </si>
  <si>
    <t>Molde-Aaro MOL</t>
  </si>
  <si>
    <t>Mombasa – Moi Int´l MBA</t>
  </si>
  <si>
    <t>Monaco Heliport MCM</t>
  </si>
  <si>
    <t>Moncton YQM</t>
  </si>
  <si>
    <t>Monrovia-Roberts ROB</t>
  </si>
  <si>
    <t>Montego Bay – Sangster MBJ</t>
  </si>
  <si>
    <t>Monterrey MTY</t>
  </si>
  <si>
    <t>Montevideo – Carrasco MUD</t>
  </si>
  <si>
    <t>Montpellier – Mediterranée Aéroport MPL</t>
  </si>
  <si>
    <t>Montréal–Mirabel YMX</t>
  </si>
  <si>
    <t>Montréal–Pierre Elliott Trudeau YUL</t>
  </si>
  <si>
    <t>Montserrat MNI</t>
  </si>
  <si>
    <t>Moorabbin MBW</t>
  </si>
  <si>
    <t>Mora – Siljan MXX</t>
  </si>
  <si>
    <t>Moscow – Domodedovo DME</t>
  </si>
  <si>
    <t>Moscow – Sheremetyevo SVO</t>
  </si>
  <si>
    <t>Moscow – Vnukovo VKO</t>
  </si>
  <si>
    <t>Mostar OMO</t>
  </si>
  <si>
    <t>Mount Isa ISA</t>
  </si>
  <si>
    <t>Mumbai/Bombay – Chhatarpati Shivaji BOM</t>
  </si>
  <si>
    <t>Munich MUC</t>
  </si>
  <si>
    <t>Murmansk MMK</t>
  </si>
  <si>
    <t>Muscat-Seeb MCT</t>
  </si>
  <si>
    <t>Münster-Osnabrück MSR</t>
  </si>
  <si>
    <t>Nagoya NGO</t>
  </si>
  <si>
    <t>Nairobi – Jomo Kenyatta NBO</t>
  </si>
  <si>
    <t>Nampula APL</t>
  </si>
  <si>
    <t>Nancy/Essey Aéroport ENC</t>
  </si>
  <si>
    <t>Nanjing Lukou Co Ltd NKG</t>
  </si>
  <si>
    <t>Nantes-Atlantique NTE</t>
  </si>
  <si>
    <t>Nantucket Memorial ACK</t>
  </si>
  <si>
    <t>Naples Municipal APF</t>
  </si>
  <si>
    <t>Naples-Capodichino NAP</t>
  </si>
  <si>
    <t>Narssarssuaq UAK</t>
  </si>
  <si>
    <t>Nashville BNA</t>
  </si>
  <si>
    <t>Nassau NAS</t>
  </si>
  <si>
    <t>Natal – Augusto Severo NAT</t>
  </si>
  <si>
    <t>Nauru INU</t>
  </si>
  <si>
    <t>Ndola and Kitwe NLA</t>
  </si>
  <si>
    <t>Nevis – Newcastle NEV</t>
  </si>
  <si>
    <t>New Caledonia NOU</t>
  </si>
  <si>
    <t>New Haven HVN</t>
  </si>
  <si>
    <t>New Orleans – Louis Armstrong MSY</t>
  </si>
  <si>
    <t>New York – John F Kennedy JFK</t>
  </si>
  <si>
    <t>New York-La Guardia LGA</t>
  </si>
  <si>
    <t>Newark EWR</t>
  </si>
  <si>
    <t>Newcastle NTL</t>
  </si>
  <si>
    <t>Newcastle NCL</t>
  </si>
  <si>
    <t>Newquay Cornwall NQY</t>
  </si>
  <si>
    <t>Niamey Diori Hamani NIM</t>
  </si>
  <si>
    <t>Nice/Cote D´Azur NCE</t>
  </si>
  <si>
    <t>Niigata KIJ</t>
  </si>
  <si>
    <t>Nimes/Arles/Camargue FNI</t>
  </si>
  <si>
    <t>Nogales NOG</t>
  </si>
  <si>
    <t>Norfolk ORF</t>
  </si>
  <si>
    <t>Norrköping NRK</t>
  </si>
  <si>
    <t>North Platte Regional LBF</t>
  </si>
  <si>
    <t>Northern Maine Regional PQI</t>
  </si>
  <si>
    <t>Norwich NWI</t>
  </si>
  <si>
    <t>Nouadhibou Aerodrome NDB</t>
  </si>
  <si>
    <t>Nouakchott Aerodrome NKO</t>
  </si>
  <si>
    <t>Novosibirsk Tolmachevo OVB</t>
  </si>
  <si>
    <t>Nuevo Laredo – Quetzalcoatl NLD</t>
  </si>
  <si>
    <t>Nuremberg NUE</t>
  </si>
  <si>
    <t>N´Djamena NDH</t>
  </si>
  <si>
    <t>Oakland OAK</t>
  </si>
  <si>
    <t>Oaxaca OAX</t>
  </si>
  <si>
    <t>Odense ODE</t>
  </si>
  <si>
    <t>Odessa ODS</t>
  </si>
  <si>
    <t>Ohrid OHD</t>
  </si>
  <si>
    <t>Okayama OKJ</t>
  </si>
  <si>
    <t>Okinawa/Naha OKA</t>
  </si>
  <si>
    <t>Oklahoma City-Will Rogers World OKC</t>
  </si>
  <si>
    <t>Olbia-Costa Smerelda OLB</t>
  </si>
  <si>
    <t>Omaha-Eppley Airfield OMA</t>
  </si>
  <si>
    <t>Ontario Int´l ONT</t>
  </si>
  <si>
    <t>Oporto – Fr SA Carneiro OPO</t>
  </si>
  <si>
    <t>Orkney Is – Eday Airstrip EOI</t>
  </si>
  <si>
    <t>Orkney Is – N Ronaldsay Airstrip NRL</t>
  </si>
  <si>
    <t>Orlando MCO</t>
  </si>
  <si>
    <t>Orlando/Sanford Central Florida Regional SFB</t>
  </si>
  <si>
    <t>Osaka – Itami ITM</t>
  </si>
  <si>
    <t>Osaka – Kansai Co Ltd KIX</t>
  </si>
  <si>
    <t>Oslo – Gardermoen GEN</t>
  </si>
  <si>
    <t>Ostend OST</t>
  </si>
  <si>
    <t>Ostrava Int´l OSR</t>
  </si>
  <si>
    <t>Ottawa YOW</t>
  </si>
  <si>
    <t>Ouagadougou OUA</t>
  </si>
  <si>
    <t>Ouarzazate OZZ</t>
  </si>
  <si>
    <t>Oujda Angads OUD</t>
  </si>
  <si>
    <t>Oulu OUL</t>
  </si>
  <si>
    <t>Oxford OXF</t>
  </si>
  <si>
    <t>Paderborn/Lippstadt PAD</t>
  </si>
  <si>
    <t>Pago Pago PPG</t>
  </si>
  <si>
    <t>Palanga PLQ</t>
  </si>
  <si>
    <t>Palembang – Sultan Mahmud Badaruddin II PLM</t>
  </si>
  <si>
    <t>Palermo -o Falcone e Borsellino PMO</t>
  </si>
  <si>
    <t>Palm Beach Int´l PBI</t>
  </si>
  <si>
    <t>Palm Springs Regional PSP</t>
  </si>
  <si>
    <t>Palma De Mallorca PMI</t>
  </si>
  <si>
    <t>Pamplona PNA</t>
  </si>
  <si>
    <t>Panama City-Tocumen PTY</t>
  </si>
  <si>
    <t>Panama City/Bay County Int´l PFN</t>
  </si>
  <si>
    <t>Paphos PFO</t>
  </si>
  <si>
    <t>Paramaribo – Johan Adolf Pengel Int´l PBM</t>
  </si>
  <si>
    <t>Pardubice PED</t>
  </si>
  <si>
    <t>Paris – Charles De Gaulle CDG</t>
  </si>
  <si>
    <t>Paris – Orly ORY</t>
  </si>
  <si>
    <t>Paris – Pontoise POX</t>
  </si>
  <si>
    <t>Parkersburg – Mid-Ohio Valley Regional PKB</t>
  </si>
  <si>
    <t>Paro PBH</t>
  </si>
  <si>
    <t>Patna PAT</t>
  </si>
  <si>
    <t>Patras/Araxos National GPA</t>
  </si>
  <si>
    <t>Pau – Pyrenees PUF</t>
  </si>
  <si>
    <t>Penang PEN</t>
  </si>
  <si>
    <t>Pendleton/Eastern Oregon Regional PDT</t>
  </si>
  <si>
    <t>Pensacola PNS</t>
  </si>
  <si>
    <t>Penzance Heliport PZE</t>
  </si>
  <si>
    <t>Peoria – Greater Peoria Regional PIA</t>
  </si>
  <si>
    <t>Pereira-Matecana PEI</t>
  </si>
  <si>
    <t>Perpignan/Rivesaltes PGF</t>
  </si>
  <si>
    <t>Perth Int´l – Westralia Corporation PER</t>
  </si>
  <si>
    <t>Peru/Grissom Aeroplex IND</t>
  </si>
  <si>
    <t>Peshawar PEW</t>
  </si>
  <si>
    <t>Petropavlovsk-Kamchatsky – Yelizovo PKC</t>
  </si>
  <si>
    <t>Philadelphia PHL</t>
  </si>
  <si>
    <t>Phnom Penh PNH</t>
  </si>
  <si>
    <t>Phoenix Sky Harbor Int´l PHX</t>
  </si>
  <si>
    <t>Phuket Int´l HKT</t>
  </si>
  <si>
    <t>Piarco POS</t>
  </si>
  <si>
    <t>Piedmont Triad Int´l GSO</t>
  </si>
  <si>
    <t>Piestany PZY</t>
  </si>
  <si>
    <t>Pilanesburg NTY</t>
  </si>
  <si>
    <t>Pisa PSA</t>
  </si>
  <si>
    <t>Pittsburgh DTP</t>
  </si>
  <si>
    <t>Piura PIU</t>
  </si>
  <si>
    <t>Plattsburgh Clinton County PLB</t>
  </si>
  <si>
    <t>Plattsburgh Int´l AFB PBG</t>
  </si>
  <si>
    <t>Plovdiv PDV</t>
  </si>
  <si>
    <t>Plymouth City PLH</t>
  </si>
  <si>
    <t>Point-a-Pitre Le Raizet PTP</t>
  </si>
  <si>
    <t>Pointe – Noire Aerodrome PNR</t>
  </si>
  <si>
    <t>Poitiers – Biard PIS</t>
  </si>
  <si>
    <t>Ponta Pora Int´l PMG</t>
  </si>
  <si>
    <t>Pontianak – Supadio PNK</t>
  </si>
  <si>
    <t>Poprad-Tatry TAT</t>
  </si>
  <si>
    <t>Pori POR</t>
  </si>
  <si>
    <t>Port Angeles-William R Fairchild Int´l CLM</t>
  </si>
  <si>
    <t>Port Elizabeth PLZ</t>
  </si>
  <si>
    <t>Port Gentil POG</t>
  </si>
  <si>
    <t>Port Harcourt PHC</t>
  </si>
  <si>
    <t>Port Moresby/Jacksons POM</t>
  </si>
  <si>
    <t>Port Vila – Bauerfield VLI</t>
  </si>
  <si>
    <t>Port-au-Prince PAP</t>
  </si>
  <si>
    <t>Portland PDX</t>
  </si>
  <si>
    <t>Porto Alegre – Salgado Filho Int´l POA</t>
  </si>
  <si>
    <t>Porto Santo PXO</t>
  </si>
  <si>
    <t>Poughkeepsie – Dutchess County POU</t>
  </si>
  <si>
    <t>Poza Rica – Tajin PAZ</t>
  </si>
  <si>
    <t>Poznan-Lawica POZ</t>
  </si>
  <si>
    <t>Prague-Ruzyne PRG</t>
  </si>
  <si>
    <t>Prince George YXS</t>
  </si>
  <si>
    <t>Providence-Theodore Francis Green PVD</t>
  </si>
  <si>
    <t>Providenciales PLS</t>
  </si>
  <si>
    <t>Provincetown Municipal PNN</t>
  </si>
  <si>
    <t>Puebla – Hermanos Serdan PBC</t>
  </si>
  <si>
    <t>Puerto Montt-El Tepual PMC</t>
  </si>
  <si>
    <t>Puerto Plata POP</t>
  </si>
  <si>
    <t>Puerto Vallarta Int´l – Gustavo Diaz Ordaz PVR</t>
  </si>
  <si>
    <t>Pula PUY</t>
  </si>
  <si>
    <t>Punta Arenas PUQ</t>
  </si>
  <si>
    <t>P´yongyang-Sunan FNJ</t>
  </si>
  <si>
    <t>Quaid-e-Azam KHI</t>
  </si>
  <si>
    <t>Querétaro – Ingeniero F Espinoza Gutierrez Int´l QRO</t>
  </si>
  <si>
    <t>Quimper – Pluguffan UIP</t>
  </si>
  <si>
    <t>Quito-Mariscal Sucre UIO</t>
  </si>
  <si>
    <t>Québec YQB</t>
  </si>
  <si>
    <t>Rabat-Sale RBA</t>
  </si>
  <si>
    <t>Rabaul-Lakunai RAB</t>
  </si>
  <si>
    <t>Rafha RAH</t>
  </si>
  <si>
    <t>Raleigh – Durham Int´l RDU</t>
  </si>
  <si>
    <t>Rapid City Regional RAP</t>
  </si>
  <si>
    <t>Ras Al Khaimah RKT</t>
  </si>
  <si>
    <t>Reading Regional RDG</t>
  </si>
  <si>
    <t>Recife – Guararapes/Gilberto Freyre Int´l REC</t>
  </si>
  <si>
    <t>Redmond Municipal – Roberts Field RDM</t>
  </si>
  <si>
    <t>Reims/Champagne RHE</t>
  </si>
  <si>
    <t>Rennes/Saint-Jacques RNS</t>
  </si>
  <si>
    <t>Reno/Tahoe RNO</t>
  </si>
  <si>
    <t>Reus REU</t>
  </si>
  <si>
    <t>Reykjavik REK</t>
  </si>
  <si>
    <t>Rhinelander – Oneida County RHI</t>
  </si>
  <si>
    <t>Rhodes-Diagoras RHQ</t>
  </si>
  <si>
    <t>Richmond RIC</t>
  </si>
  <si>
    <t>Rickenbacker LCK</t>
  </si>
  <si>
    <t>Riga RIX</t>
  </si>
  <si>
    <t>Rijeka-Riviera Kvarner RJK</t>
  </si>
  <si>
    <t>Rimini – Miramareo RMI</t>
  </si>
  <si>
    <t>Rio Branco – Presidente Medici RBR</t>
  </si>
  <si>
    <t>Rio De Janeiro – Santos Dumont GIG</t>
  </si>
  <si>
    <t>Rio de Janeiro-Galeão – Antonio Carlos Jobim International A GIG</t>
  </si>
  <si>
    <t>Riyadh – King Khaled RUH</t>
  </si>
  <si>
    <t>Roanoke Regional ROA</t>
  </si>
  <si>
    <t>Rochester RST</t>
  </si>
  <si>
    <t>Rock Sound RSD</t>
  </si>
  <si>
    <t>Rocky Mount/Wilson Regional RWI</t>
  </si>
  <si>
    <t>Rodez/Marcillac RDZ</t>
  </si>
  <si>
    <t>Roland Garros RUN</t>
  </si>
  <si>
    <t>Rome – Ciampino CIA</t>
  </si>
  <si>
    <t>Rome-Leonardo da Vinci Fiumicino FCO</t>
  </si>
  <si>
    <t>Rosh Pina – Mahanaim Ben Yaakov RPN</t>
  </si>
  <si>
    <t>Roswell Industrial Air Center ROW</t>
  </si>
  <si>
    <t>Rotterdam RTM</t>
  </si>
  <si>
    <t>Rovaniemi RVN</t>
  </si>
  <si>
    <t>Rzeszow-Jasionka RZE</t>
  </si>
  <si>
    <t>Saarbrucken SCN</t>
  </si>
  <si>
    <t>Sabadell QSA</t>
  </si>
  <si>
    <t>Sacramento County System SMF</t>
  </si>
  <si>
    <t>Saint Brieuc-Armor SBK</t>
  </si>
  <si>
    <t>Saint Croix – Henry E Rohlsen STX</t>
  </si>
  <si>
    <t>Saint Etienne/Boutheon EBU</t>
  </si>
  <si>
    <t>Saint Kitts – Robert Bradshaw SKB</t>
  </si>
  <si>
    <t>Saint Louis – Lambert Int´l STL</t>
  </si>
  <si>
    <t>Saint Lucia – Hewanorra UVW</t>
  </si>
  <si>
    <t>Saint Lucia-Vigie SLU</t>
  </si>
  <si>
    <t>Saint Maarten-Princess Juliana SXM</t>
  </si>
  <si>
    <t>Saint Thomas-Cyril E King STT</t>
  </si>
  <si>
    <t>Saint Vincent-E T Joshua SVD</t>
  </si>
  <si>
    <t>Saipan SPN</t>
  </si>
  <si>
    <t>Salalah SLL</t>
  </si>
  <si>
    <t>Salamanca SLM</t>
  </si>
  <si>
    <t>Salina SLN</t>
  </si>
  <si>
    <t>Salisbury/Ocean City Regional SBY</t>
  </si>
  <si>
    <t>Salt Lake City SLC</t>
  </si>
  <si>
    <t>Salta SLA</t>
  </si>
  <si>
    <t>Salzburg – W A Mozart SZG</t>
  </si>
  <si>
    <t>Samarkand SKD</t>
  </si>
  <si>
    <t>Samos SMI</t>
  </si>
  <si>
    <t>San Andres – Gustavo Rojas Pinilla ADZ</t>
  </si>
  <si>
    <t>San Angelo Regional/Mathis Field SJT</t>
  </si>
  <si>
    <t>San Antonio SAT</t>
  </si>
  <si>
    <t>San Diego SAN</t>
  </si>
  <si>
    <t>San Francisco SFO</t>
  </si>
  <si>
    <t>San Javier/Murcia MJV</t>
  </si>
  <si>
    <t>San Jose SJC</t>
  </si>
  <si>
    <t>San Jose – Juan Santamaria SJO</t>
  </si>
  <si>
    <t>San José – Tobias Bolanos SYQ</t>
  </si>
  <si>
    <t>San Juan – Luiz Munoz Marin SJU</t>
  </si>
  <si>
    <t>San Luis County Regional SBP</t>
  </si>
  <si>
    <t>San Pedro Sula – La Mesa SAP</t>
  </si>
  <si>
    <t>San Sebastian – Fuenterrabia EAS</t>
  </si>
  <si>
    <t>Sana´a SAH</t>
  </si>
  <si>
    <t>Sandakan SDK</t>
  </si>
  <si>
    <t>Sandefjord – Torp TRF</t>
  </si>
  <si>
    <t>Santa Ana – John Wayne SNA</t>
  </si>
  <si>
    <t>Santa Barbara SNA</t>
  </si>
  <si>
    <t>Santa Maria SMA</t>
  </si>
  <si>
    <t>Santander – Parayas SDR</t>
  </si>
  <si>
    <t>Santarém Int´l STM</t>
  </si>
  <si>
    <t>Santiago SCQ</t>
  </si>
  <si>
    <t>Santiago – Antonio Maceo SCU</t>
  </si>
  <si>
    <t>Santiago – Arturo Merino Benitez SCL</t>
  </si>
  <si>
    <t>Santo Domingo-Las Americas SDQ</t>
  </si>
  <si>
    <t>Sao Tome TMS</t>
  </si>
  <si>
    <t>Sarajevo SJJ</t>
  </si>
  <si>
    <t>Saranac Lake-Adirondack Regional SLK</t>
  </si>
  <si>
    <t>Sarasota Bradenton Int´l SRQ</t>
  </si>
  <si>
    <t>Saratov – Tsentralny RTW</t>
  </si>
  <si>
    <t>Saskatoon YXE</t>
  </si>
  <si>
    <t>Satu Mare SUJ</t>
  </si>
  <si>
    <t>Savannah SAV</t>
  </si>
  <si>
    <t>Savonlinna SVL</t>
  </si>
  <si>
    <t>Seattle/Tacoma SEA</t>
  </si>
  <si>
    <t>Sebha SEB</t>
  </si>
  <si>
    <t>Seinäjoki SJY</t>
  </si>
  <si>
    <t>Selebi Phikwe PKW</t>
  </si>
  <si>
    <t>Sendai SDJ</t>
  </si>
  <si>
    <t>Seoul – Incheon ICN</t>
  </si>
  <si>
    <t>Seoul – Kimpo SEL</t>
  </si>
  <si>
    <t>Seville – San Pablo SVQ</t>
  </si>
  <si>
    <t>Seychelles Int´l SEZ</t>
  </si>
  <si>
    <t>Sfax-el-Maou SFA</t>
  </si>
  <si>
    <t>Shanghai – Hong Qiao SHA</t>
  </si>
  <si>
    <t>Shanghai – Pudong PVG</t>
  </si>
  <si>
    <t>Shannon SHN</t>
  </si>
  <si>
    <t>Sharjah SHJ</t>
  </si>
  <si>
    <t>Sheffield City SZD</t>
  </si>
  <si>
    <t>Shenyang – Taoxian SHE</t>
  </si>
  <si>
    <t>Shenzhen – Baoan SZX</t>
  </si>
  <si>
    <t>Shetland Island – Sumburgh LSI</t>
  </si>
  <si>
    <t>Shiraz – Shahid Dastghaib SYZ</t>
  </si>
  <si>
    <t>Shoreham ESH</t>
  </si>
  <si>
    <t>Shreveport Regional SHV</t>
  </si>
  <si>
    <t>Sibu SBW</t>
  </si>
  <si>
    <t>Sidney Municipal SDY</t>
  </si>
  <si>
    <t>Singapore – Changi SIN</t>
  </si>
  <si>
    <t>Sion SIR</t>
  </si>
  <si>
    <t>Sioux Falls Regional FSD</t>
  </si>
  <si>
    <t>Sioux Gateway SUX</t>
  </si>
  <si>
    <t>Sir Seewoosagur Ramgoolam MRU</t>
  </si>
  <si>
    <t>Skive SQW</t>
  </si>
  <si>
    <t>Skopje SKP</t>
  </si>
  <si>
    <t>Sliac SLD</t>
  </si>
  <si>
    <t>Sligo Regional SXL</t>
  </si>
  <si>
    <t>Sofia EAD SOF</t>
  </si>
  <si>
    <t>Sondre Stromfjord/Kangerlussuaq SFJ</t>
  </si>
  <si>
    <t>South Bend Regional SBN</t>
  </si>
  <si>
    <t>South Caicos SLX</t>
  </si>
  <si>
    <t>Southampton SOU</t>
  </si>
  <si>
    <t>Split SPU</t>
  </si>
  <si>
    <t>Spokane GEG</t>
  </si>
  <si>
    <t>Springfield – Branson Regional SGF</t>
  </si>
  <si>
    <t>St Moritz – Samedan SMV</t>
  </si>
  <si>
    <t>St Nazaire/Montoir SNR</t>
  </si>
  <si>
    <t>St Petersburg-Clearwater Int´l PIE</t>
  </si>
  <si>
    <t>St Petersburg-Pulkovo LED</t>
  </si>
  <si>
    <t>St Tropez du Golfe LTT</t>
  </si>
  <si>
    <t>St. John's YYT</t>
  </si>
  <si>
    <t>State College SCE</t>
  </si>
  <si>
    <t>Stauning Vestjyllands STA</t>
  </si>
  <si>
    <t>Stavanger SVG</t>
  </si>
  <si>
    <t>Stewart SWF</t>
  </si>
  <si>
    <t>Stockholm – Arlanda ARN</t>
  </si>
  <si>
    <t>Stockholm – Bromma BMA</t>
  </si>
  <si>
    <t>Stockholm – Skavsta NYO</t>
  </si>
  <si>
    <t>Stord – Soerstokken SRP</t>
  </si>
  <si>
    <t>Stornoway STY</t>
  </si>
  <si>
    <t>Strasbourg - S</t>
  </si>
  <si>
    <t>Stuttgart STR</t>
  </si>
  <si>
    <t>Sundsvall-Härnösand SDL</t>
  </si>
  <si>
    <t>Surabaya-Juanda Int´l SUB</t>
  </si>
  <si>
    <t>Surakarta – Adi Sumarmo Wiryokusumo SOC</t>
  </si>
  <si>
    <t>Svalbard-Longyear LYR</t>
  </si>
  <si>
    <t>Swansea SWS</t>
  </si>
  <si>
    <t>Sydney SYD</t>
  </si>
  <si>
    <t>Syracuse – Hancock SYR</t>
  </si>
  <si>
    <t>Szczecin – Goleniow SZZ</t>
  </si>
  <si>
    <t>São Paulo – Congonhas Int´l CGH</t>
  </si>
  <si>
    <t>São Paulo – Guarulhos Int´l SAO</t>
  </si>
  <si>
    <t>São Paulo – Viracopos VCP</t>
  </si>
  <si>
    <t>Sønderborg SGD</t>
  </si>
  <si>
    <t>Tabarka-7 Novembre Int´l TBJ</t>
  </si>
  <si>
    <t>Tahiti – Faa´a PPT</t>
  </si>
  <si>
    <t>Taipei-Chiang Kai Shek TPE</t>
  </si>
  <si>
    <t>Tallinn TLL</t>
  </si>
  <si>
    <t>Tamale ACC</t>
  </si>
  <si>
    <t>Tampa Int´l TPA</t>
  </si>
  <si>
    <t>Tampere-Pirkkala TMP</t>
  </si>
  <si>
    <t>Tanga TGT</t>
  </si>
  <si>
    <t>Tangier – Boukhalef TNG</t>
  </si>
  <si>
    <t>Tarbes-Lourdes-Pyrennes LDE</t>
  </si>
  <si>
    <t>Targu Mures TGM</t>
  </si>
  <si>
    <t>Tartu Raadi Ltd TAY</t>
  </si>
  <si>
    <t>Tashkent – Yuzhny TAS</t>
  </si>
  <si>
    <t>Tawau TWU</t>
  </si>
  <si>
    <t>Tbilisi TBS</t>
  </si>
  <si>
    <t>Teesside MME</t>
  </si>
  <si>
    <t>Tegucigalpa-Toncontin TGU</t>
  </si>
  <si>
    <t>Tehran – Mehrabad THR</t>
  </si>
  <si>
    <t>Tehuacán TCN</t>
  </si>
  <si>
    <t>Tel Aviv-Ben Gurion TLV</t>
  </si>
  <si>
    <t>Tel Aviv-Dov Hoz SDV</t>
  </si>
  <si>
    <t>Tenerife North TFN</t>
  </si>
  <si>
    <t>Tenerife South TFS</t>
  </si>
  <si>
    <t>Tennant Creek TCA</t>
  </si>
  <si>
    <t>Tepic TPQ</t>
  </si>
  <si>
    <t>Thiruvanthapuram Int´l TRV</t>
  </si>
  <si>
    <t>Thisted TED</t>
  </si>
  <si>
    <t>Thunder Bay YQT</t>
  </si>
  <si>
    <t>Tianjin – Binhai TSN</t>
  </si>
  <si>
    <t>Tirana – Rinas Mother Teresa TIA</t>
  </si>
  <si>
    <t>Tiree TRE</t>
  </si>
  <si>
    <t>Tiruchirapalli TRZ</t>
  </si>
  <si>
    <t>Tokyo – Haneda Int´l HNT</t>
  </si>
  <si>
    <t>Tokyo-Narita Int´l NRT</t>
  </si>
  <si>
    <t>Toledo Express TOL</t>
  </si>
  <si>
    <t>Toluca – Licenciado Adolfo Lopez Mateos Int´l TLC</t>
  </si>
  <si>
    <t>Toronto YYZ</t>
  </si>
  <si>
    <t>Toulon/Hyeres TLN</t>
  </si>
  <si>
    <t>Toulouse-Blagnac TLS</t>
  </si>
  <si>
    <t>Townsville Int´l TSV</t>
  </si>
  <si>
    <t>Toyama TOY</t>
  </si>
  <si>
    <t>Tozeur – Nefta TOE</t>
  </si>
  <si>
    <t>Trenton – Mercer County TTN</t>
  </si>
  <si>
    <t>Treviso-San Angelo TSF</t>
  </si>
  <si>
    <t>Tri-Cities Regional TRI</t>
  </si>
  <si>
    <t>Trieste – R Dei Legionari TRS</t>
  </si>
  <si>
    <t>Tripoli TIP</t>
  </si>
  <si>
    <t>Tromsø TOS</t>
  </si>
  <si>
    <t>Trondheim/Vaernes TRD</t>
  </si>
  <si>
    <t>Tucson TUS</t>
  </si>
  <si>
    <t>Tulcea TCE</t>
  </si>
  <si>
    <t>Tulsa TUL</t>
  </si>
  <si>
    <t>Tunis – Carthage TUN</t>
  </si>
  <si>
    <t>Tupelo Municipal TUP</t>
  </si>
  <si>
    <t>Turin TRN</t>
  </si>
  <si>
    <t>Turku TRK</t>
  </si>
  <si>
    <t>Tuxtla Gutiérrez – Francisco Sarabia TGZ</t>
  </si>
  <si>
    <t>Tyler Pounds Regional TYR</t>
  </si>
  <si>
    <t>Tyumen – Roshchino TJM</t>
  </si>
  <si>
    <t>Uherské Hradiste – Kunovice UHE</t>
  </si>
  <si>
    <t>Ulan Bator – Buyant Ukha ULN</t>
  </si>
  <si>
    <t>Ulyanovsk-Vostochny ULY</t>
  </si>
  <si>
    <t>Umeå UME</t>
  </si>
  <si>
    <t>Upington UTN</t>
  </si>
  <si>
    <t>Uruapan – Licenciado Y Gen Ignacio Lopez Rayon UPN</t>
  </si>
  <si>
    <t>Urumqi – Diwopu URC</t>
  </si>
  <si>
    <t>Utica – Oneida County UCA</t>
  </si>
  <si>
    <t>Vaasa VAA</t>
  </si>
  <si>
    <t>Vagar FAE</t>
  </si>
  <si>
    <t>Valence/Chabeuil VAF</t>
  </si>
  <si>
    <t>Valencia VLC</t>
  </si>
  <si>
    <t>Valladolid VLL</t>
  </si>
  <si>
    <t>Vancouver YVR</t>
  </si>
  <si>
    <t>Varadero-Juan G Gomez Int´l VRA</t>
  </si>
  <si>
    <t>Varanasi VNS</t>
  </si>
  <si>
    <t>Varkaus VRK</t>
  </si>
  <si>
    <t>Varna Ltd VAR</t>
  </si>
  <si>
    <t>Venice-Aeroporto Marco Polo VCE</t>
  </si>
  <si>
    <t>Vero Beach VRB</t>
  </si>
  <si>
    <t>Verona-Valerio Catullo VRN</t>
  </si>
  <si>
    <t>Vichy/Charmeil VHY</t>
  </si>
  <si>
    <t>Victoria Falls VFA</t>
  </si>
  <si>
    <t>Victoria, CA YYJ</t>
  </si>
  <si>
    <t>Vienna VIE</t>
  </si>
  <si>
    <t>Vientiane – Wattay VTE</t>
  </si>
  <si>
    <t>Vigo VGO</t>
  </si>
  <si>
    <t>Vilnius Int´l VNO</t>
  </si>
  <si>
    <t>Virgin Gorda VIJ</t>
  </si>
  <si>
    <t>Viseu VSE</t>
  </si>
  <si>
    <t>Vitoria Int´l VIT</t>
  </si>
  <si>
    <t>Vladivostok (JSC Vladivostok Air) VVO</t>
  </si>
  <si>
    <t>Vojens – Skrydstrup SKS</t>
  </si>
  <si>
    <t>Växjö – Urasa VXO</t>
  </si>
  <si>
    <t>Wakkanai WKJ</t>
  </si>
  <si>
    <t>Wallis Hihifo WLS</t>
  </si>
  <si>
    <t>Warsaw – Frederic Chopin WAW</t>
  </si>
  <si>
    <t>Washington – Dulles IAD</t>
  </si>
  <si>
    <t>Washington – Ronald Reagan National DCA</t>
  </si>
  <si>
    <t>Waterford Regional WAT</t>
  </si>
  <si>
    <t>Waterloo Municipal ALO</t>
  </si>
  <si>
    <t>Watertown Int´l ART</t>
  </si>
  <si>
    <t>Wausau/Central Wisconsin Regional CWA</t>
  </si>
  <si>
    <t>Wellington WLG</t>
  </si>
  <si>
    <t>Wenatchee/Pangborn Memorial EAT</t>
  </si>
  <si>
    <t>Westchester County HPN</t>
  </si>
  <si>
    <t>Westerland-SFG Sylter Flughafen GmbH &amp; Co GWT</t>
  </si>
  <si>
    <t>Wichita Mid-Continent ICT</t>
  </si>
  <si>
    <t>Wick Aerodrome WIC</t>
  </si>
  <si>
    <t>Wilkes-Barre – Scranton Int´l WBW</t>
  </si>
  <si>
    <t>Williams Gateway IWA</t>
  </si>
  <si>
    <t>Williamsport Regional IPT</t>
  </si>
  <si>
    <t>Wilmington Int´l ILM</t>
  </si>
  <si>
    <t>Windhoek – Hosea Kutako WDH</t>
  </si>
  <si>
    <t>Windsor, CA YQG</t>
  </si>
  <si>
    <t>Winnipeg YWG</t>
  </si>
  <si>
    <t>Winston-Salem INT</t>
  </si>
  <si>
    <t>Worcester Regional ORH</t>
  </si>
  <si>
    <t>Wroclaw-Strachowice WRO</t>
  </si>
  <si>
    <t>Yangon RGN</t>
  </si>
  <si>
    <t>Yaounde-Nsimalen NSI</t>
  </si>
  <si>
    <t>Yerevan-Zvartnots EVN</t>
  </si>
  <si>
    <t>Yogyakarta-Adi Sucipto JOG</t>
  </si>
  <si>
    <t>Yuzhno-Sakhalinsk UUS</t>
  </si>
  <si>
    <t>Örnsköldsvik OER</t>
  </si>
  <si>
    <t>Östersund OSD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</si>
  <si>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</si>
  <si>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</si>
  <si>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</si>
  <si>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</si>
  <si>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</si>
  <si>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</si>
  <si>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</si>
  <si>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</si>
  <si>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</si>
  <si>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</si>
  <si>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</si>
  <si>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</si>
  <si>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From dd/MM/yyyy</t>
  </si>
  <si>
    <t>To dd/MM/yyyy</t>
  </si>
  <si>
    <t>No</t>
  </si>
  <si>
    <t>Yes</t>
  </si>
  <si>
    <t>Route (Round trip: Yes/No)</t>
  </si>
  <si>
    <t>Opportunity Number</t>
  </si>
  <si>
    <t>01</t>
  </si>
  <si>
    <t>02</t>
  </si>
  <si>
    <t>03</t>
  </si>
  <si>
    <t>04</t>
  </si>
  <si>
    <t>05</t>
  </si>
  <si>
    <t>06</t>
  </si>
  <si>
    <t>07</t>
  </si>
  <si>
    <t>08</t>
  </si>
  <si>
    <t>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</si>
</sst>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9"/>
      <color theme="1"/>
      <name val="Microsoft Sans Serif"/>
      <family val="2"/>
    </font>
    <font>
      <sz val="9"/>
      <color theme="1"/>
      <name val="Microsoft Sans Serif"/>
      <family val="2"/>
    </font>
    <font>
      <b/>
      <sz val="10"/>
      <color theme="1"/>
      <name val="Microsoft Sans Serif"/>
      <family val="2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25">
    <xf numFmtId="0" fontId="0" fillId="0" borderId="0" xfId="0"/>
    <xf numFmtId="0" fontId="3" fillId="4" borderId="5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 wrapText="1"/>
    </xf>
    <xf numFmtId="0" fontId="0" fillId="5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1" applyFont="1" applyAlignment="1">
      <alignment horizontal="left"/>
    </xf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horizontal="left" vertical="center" wrapText="1"/>
    </xf>
    <xf numFmtId="0" fontId="0" fillId="0" borderId="18" xfId="0" applyFont="1" applyBorder="1" applyAlignment="1">
      <alignment horizontal="left" vertical="center"/>
    </xf>
    <xf numFmtId="0" fontId="0" fillId="6" borderId="18" xfId="0" applyFont="1" applyFill="1" applyBorder="1" applyAlignment="1">
      <alignment horizontal="left" vertical="center"/>
    </xf>
    <xf numFmtId="0" fontId="3" fillId="4" borderId="8" xfId="0" applyFont="1" applyFill="1" applyBorder="1" applyAlignment="1">
      <alignment vertical="center" wrapText="1"/>
    </xf>
    <xf numFmtId="0" fontId="3" fillId="4" borderId="1" xfId="0" applyNumberFormat="1" applyFont="1" applyFill="1" applyBorder="1" applyAlignment="1">
      <alignment vertical="center" wrapText="1"/>
    </xf>
    <xf numFmtId="49" fontId="0" fillId="0" borderId="0" xfId="0" applyNumberFormat="1"/>
    <xf numFmtId="0" fontId="2" fillId="3" borderId="8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3" fillId="4" borderId="11" xfId="0" applyFont="1" applyFill="1" applyBorder="1" applyAlignment="1">
      <alignment vertical="center" wrapText="1"/>
    </xf>
    <xf numFmtId="0" fontId="3" fillId="4" borderId="12" xfId="0" applyFont="1" applyFill="1" applyBorder="1" applyAlignment="1">
      <alignment vertical="center" wrapText="1"/>
    </xf>
    <xf numFmtId="0" fontId="3" fillId="4" borderId="13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vertical="center" wrapText="1"/>
    </xf>
    <xf numFmtId="0" fontId="3" fillId="4" borderId="3" xfId="0" applyFont="1" applyFill="1" applyBorder="1" applyAlignment="1">
      <alignment vertical="center" wrapText="1"/>
    </xf>
    <xf numFmtId="0" fontId="3" fillId="4" borderId="4" xfId="0" applyFont="1" applyFill="1" applyBorder="1" applyAlignment="1">
      <alignment vertical="center" wrapText="1"/>
    </xf>
    <xf numFmtId="0" fontId="3" fillId="4" borderId="8" xfId="0" applyFont="1" applyFill="1" applyBorder="1" applyAlignment="1">
      <alignment vertical="center" wrapText="1"/>
    </xf>
    <xf numFmtId="0" fontId="3" fillId="4" borderId="9" xfId="0" applyFont="1" applyFill="1" applyBorder="1" applyAlignment="1">
      <alignment vertical="center" wrapText="1"/>
    </xf>
    <xf numFmtId="0" fontId="3" fillId="4" borderId="10" xfId="0" applyFont="1" applyFill="1" applyBorder="1" applyAlignment="1">
      <alignment vertical="center" wrapText="1"/>
    </xf>
    <xf numFmtId="0" fontId="2" fillId="3" borderId="11" xfId="0" applyFont="1" applyFill="1" applyBorder="1" applyAlignment="1">
      <alignment vertical="center" wrapText="1"/>
    </xf>
    <xf numFmtId="0" fontId="2" fillId="3" borderId="12" xfId="0" applyFont="1" applyFill="1" applyBorder="1" applyAlignment="1">
      <alignment vertical="center" wrapText="1"/>
    </xf>
    <xf numFmtId="0" fontId="2" fillId="3" borderId="13" xfId="0" applyFont="1" applyFill="1" applyBorder="1" applyAlignment="1">
      <alignment vertical="center" wrapText="1"/>
    </xf>
    <xf numFmtId="0" fontId="2" fillId="3" borderId="8" xfId="0" applyFont="1" applyFill="1" applyBorder="1" applyAlignment="1">
      <alignment vertical="center" wrapText="1"/>
    </xf>
    <xf numFmtId="0" fontId="2" fillId="3" borderId="9" xfId="0" applyFont="1" applyFill="1" applyBorder="1" applyAlignment="1">
      <alignment vertical="center" wrapText="1"/>
    </xf>
    <xf numFmtId="0" fontId="2" fillId="3" borderId="10" xfId="0" applyFont="1" applyFill="1" applyBorder="1" applyAlignment="1">
      <alignment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4" borderId="6" xfId="0" applyFont="1" applyFill="1" applyBorder="1" applyAlignment="1">
      <alignment vertical="center" wrapText="1"/>
    </xf>
    <xf numFmtId="0" fontId="3" fillId="4" borderId="0" xfId="0" applyFont="1" applyFill="1" applyBorder="1" applyAlignment="1">
      <alignment vertical="center" wrapText="1"/>
    </xf>
    <xf numFmtId="0" fontId="3" fillId="4" borderId="7" xfId="0" applyFont="1" applyFill="1" applyBorder="1" applyAlignment="1">
      <alignment vertical="center" wrapText="1"/>
    </xf>
    <xf numFmtId="0" fontId="0" fillId="0" borderId="18" xfId="0" applyBorder="1" applyAlignment="1">
      <alignment horizontal="left"/>
    </xf>
    <xf numFmtId="0" fontId="3" fillId="3" borderId="15" xfId="0" applyFont="1" applyFill="1" applyBorder="1" applyAlignment="1">
      <alignment horizontal="center" vertical="center" wrapText="1"/>
    </xf>
    <xf numFmtId="0" fontId="3" fillId="3" borderId="23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4" fillId="0" borderId="19" xfId="0" applyFont="1" applyBorder="1" applyAlignment="1">
      <alignment horizontal="left" vertical="center" wrapText="1"/>
    </xf>
    <xf numFmtId="0" fontId="4" fillId="0" borderId="18" xfId="0" applyFont="1" applyBorder="1" applyAlignment="1">
      <alignment horizontal="left" vertical="center" wrapText="1"/>
    </xf>
    <xf numFmtId="0" fontId="8" fillId="0" borderId="19" xfId="0" applyFont="1" applyBorder="1" applyAlignment="1">
      <alignment horizontal="left"/>
    </xf>
    <xf numFmtId="0" fontId="8" fillId="0" borderId="18" xfId="0" applyFont="1" applyBorder="1" applyAlignment="1">
      <alignment horizontal="left"/>
    </xf>
    <xf numFmtId="0" fontId="5" fillId="0" borderId="18" xfId="0" applyFont="1" applyBorder="1" applyAlignment="1">
      <alignment horizontal="left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3" fillId="0" borderId="11" xfId="0" applyFont="1" applyBorder="1" applyAlignment="1">
      <alignment vertical="center" wrapText="1"/>
    </xf>
    <xf numFmtId="0" fontId="3" fillId="0" borderId="12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8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3" fillId="0" borderId="10" xfId="0" applyFont="1" applyBorder="1" applyAlignment="1">
      <alignment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</xdr:colOff>
      <xdr:row>12</xdr:row>
      <xdr:rowOff>106680</xdr:rowOff>
    </xdr:from>
    <xdr:to>
      <xdr:col>1</xdr:col>
      <xdr:colOff>220980</xdr:colOff>
      <xdr:row>13</xdr:row>
      <xdr:rowOff>76200</xdr:rowOff>
    </xdr:to>
    <xdr:sp macro="" textlink="">
      <xdr:nvSpPr>
        <xdr:cNvPr id="2" name="AutoShape 24"/>
        <xdr:cNvSpPr>
          <a:spLocks noChangeArrowheads="1"/>
        </xdr:cNvSpPr>
      </xdr:nvSpPr>
      <xdr:spPr bwMode="auto">
        <a:xfrm>
          <a:off x="678180" y="2354580"/>
          <a:ext cx="152400" cy="152400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213360</xdr:colOff>
      <xdr:row>12</xdr:row>
      <xdr:rowOff>91440</xdr:rowOff>
    </xdr:from>
    <xdr:to>
      <xdr:col>16</xdr:col>
      <xdr:colOff>365760</xdr:colOff>
      <xdr:row>13</xdr:row>
      <xdr:rowOff>60960</xdr:rowOff>
    </xdr:to>
    <xdr:sp macro="" textlink="">
      <xdr:nvSpPr>
        <xdr:cNvPr id="3" name="AutoShape 23"/>
        <xdr:cNvSpPr>
          <a:spLocks noChangeArrowheads="1"/>
        </xdr:cNvSpPr>
      </xdr:nvSpPr>
      <xdr:spPr bwMode="auto">
        <a:xfrm>
          <a:off x="9966960" y="2339340"/>
          <a:ext cx="152400" cy="152400"/>
        </a:xfrm>
        <a:prstGeom prst="roundRect">
          <a:avLst>
            <a:gd name="adj" fmla="val 16667"/>
          </a:avLst>
        </a:prstGeom>
        <a:ln w="9525">
          <a:solidFill>
            <a:schemeClr val="tx1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wrap="square" lIns="91440" tIns="45720" rIns="91440" bIns="45720" anchor="t" upright="1"/>
        <a:lstStyle/>
        <a:p>
          <a:pPr algn="l" rtl="0">
            <a:lnSpc>
              <a:spcPts val="1200"/>
            </a:lnSpc>
            <a:defRPr sz="1000"/>
          </a:pPr>
          <a:endParaRPr lang="en-US" sz="12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7</xdr:col>
      <xdr:colOff>228600</xdr:colOff>
      <xdr:row>12</xdr:row>
      <xdr:rowOff>114300</xdr:rowOff>
    </xdr:from>
    <xdr:to>
      <xdr:col>7</xdr:col>
      <xdr:colOff>381000</xdr:colOff>
      <xdr:row>13</xdr:row>
      <xdr:rowOff>83820</xdr:rowOff>
    </xdr:to>
    <xdr:sp macro="" textlink="">
      <xdr:nvSpPr>
        <xdr:cNvPr id="4" name="AutoShape 21"/>
        <xdr:cNvSpPr>
          <a:spLocks noChangeArrowheads="1"/>
        </xdr:cNvSpPr>
      </xdr:nvSpPr>
      <xdr:spPr bwMode="auto">
        <a:xfrm>
          <a:off x="4495800" y="2362200"/>
          <a:ext cx="152400" cy="152400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449580</xdr:colOff>
      <xdr:row>12</xdr:row>
      <xdr:rowOff>99060</xdr:rowOff>
    </xdr:from>
    <xdr:to>
      <xdr:col>12</xdr:col>
      <xdr:colOff>601980</xdr:colOff>
      <xdr:row>13</xdr:row>
      <xdr:rowOff>68580</xdr:rowOff>
    </xdr:to>
    <xdr:sp macro="" textlink="">
      <xdr:nvSpPr>
        <xdr:cNvPr id="5" name="AutoShape 22"/>
        <xdr:cNvSpPr>
          <a:spLocks noChangeArrowheads="1"/>
        </xdr:cNvSpPr>
      </xdr:nvSpPr>
      <xdr:spPr bwMode="auto">
        <a:xfrm>
          <a:off x="7764780" y="2346960"/>
          <a:ext cx="152400" cy="152400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0</xdr:col>
      <xdr:colOff>495300</xdr:colOff>
      <xdr:row>0</xdr:row>
      <xdr:rowOff>114300</xdr:rowOff>
    </xdr:from>
    <xdr:to>
      <xdr:col>2</xdr:col>
      <xdr:colOff>571500</xdr:colOff>
      <xdr:row>4</xdr:row>
      <xdr:rowOff>89535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14300"/>
          <a:ext cx="1295400" cy="790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mailto:zyad.khaled@gizasystems.com" TargetMode="External"/><Relationship Id="rId1" Type="http://schemas.openxmlformats.org/officeDocument/2006/relationships/hyperlink" Target="mailto:ziyad.elghamdi@gizasystem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9"/>
  <sheetViews>
    <sheetView tabSelected="1" topLeftCell="A7" zoomScaleNormal="100" workbookViewId="0">
      <selection activeCell="N19" sqref="N19:Q19"/>
    </sheetView>
  </sheetViews>
  <sheetFormatPr defaultRowHeight="15" x14ac:dyDescent="0.25"/>
  <sheetData>
    <row r="1" spans="1:21" ht="18" customHeight="1" x14ac:dyDescent="0.25">
      <c r="A1" s="99"/>
      <c r="B1" s="100"/>
      <c r="C1" s="100"/>
      <c r="D1" s="101"/>
      <c r="E1" s="108" t="s">
        <v>50</v>
      </c>
      <c r="F1" s="109"/>
      <c r="G1" s="109"/>
      <c r="H1" s="109"/>
      <c r="I1" s="109"/>
      <c r="J1" s="109"/>
      <c r="K1" s="109"/>
      <c r="L1" s="109"/>
      <c r="M1" s="109"/>
      <c r="N1" s="110"/>
      <c r="O1" s="94" t="s">
        <v>53</v>
      </c>
      <c r="P1" s="95"/>
      <c r="Q1" s="95" t="s">
        <v>54</v>
      </c>
      <c r="R1" s="95"/>
      <c r="S1" s="95"/>
      <c r="T1" s="95"/>
      <c r="U1" s="95"/>
    </row>
    <row r="2" spans="1:21" ht="15.75" x14ac:dyDescent="0.25">
      <c r="A2" s="102"/>
      <c r="B2" s="103"/>
      <c r="C2" s="103"/>
      <c r="D2" s="104"/>
      <c r="E2" s="102"/>
      <c r="F2" s="103"/>
      <c r="G2" s="103"/>
      <c r="H2" s="103"/>
      <c r="I2" s="103"/>
      <c r="J2" s="103"/>
      <c r="K2" s="103"/>
      <c r="L2" s="103"/>
      <c r="M2" s="103"/>
      <c r="N2" s="104"/>
      <c r="O2" s="96" t="s">
        <v>52</v>
      </c>
      <c r="P2" s="90"/>
      <c r="Q2" s="90">
        <v>1.2</v>
      </c>
      <c r="R2" s="90"/>
      <c r="S2" s="90"/>
      <c r="T2" s="90"/>
      <c r="U2" s="90"/>
    </row>
    <row r="3" spans="1:21" ht="16.5" thickBot="1" x14ac:dyDescent="0.3">
      <c r="A3" s="102"/>
      <c r="B3" s="103"/>
      <c r="C3" s="103"/>
      <c r="D3" s="104"/>
      <c r="E3" s="105"/>
      <c r="F3" s="106"/>
      <c r="G3" s="106"/>
      <c r="H3" s="106"/>
      <c r="I3" s="106"/>
      <c r="J3" s="106"/>
      <c r="K3" s="106"/>
      <c r="L3" s="106"/>
      <c r="M3" s="106"/>
      <c r="N3" s="107"/>
      <c r="O3" s="96" t="s">
        <v>56</v>
      </c>
      <c r="P3" s="90"/>
      <c r="Q3" s="90" t="s">
        <v>64</v>
      </c>
      <c r="R3" s="90"/>
      <c r="S3" s="90"/>
      <c r="T3" s="90"/>
      <c r="U3" s="90"/>
    </row>
    <row r="4" spans="1:21" ht="14.45" customHeight="1" x14ac:dyDescent="0.25">
      <c r="A4" s="102"/>
      <c r="B4" s="103"/>
      <c r="C4" s="103"/>
      <c r="D4" s="104"/>
      <c r="E4" s="111" t="s">
        <v>51</v>
      </c>
      <c r="F4" s="109"/>
      <c r="G4" s="109"/>
      <c r="H4" s="109"/>
      <c r="I4" s="109"/>
      <c r="J4" s="109"/>
      <c r="K4" s="109"/>
      <c r="L4" s="109"/>
      <c r="M4" s="109"/>
      <c r="N4" s="109"/>
      <c r="O4" s="97" t="s">
        <v>55</v>
      </c>
      <c r="P4" s="97"/>
      <c r="Q4" s="90"/>
      <c r="R4" s="90"/>
      <c r="S4" s="90"/>
      <c r="T4" s="90"/>
      <c r="U4" s="90"/>
    </row>
    <row r="5" spans="1:21" ht="16.5" thickBot="1" x14ac:dyDescent="0.3">
      <c r="A5" s="105"/>
      <c r="B5" s="106"/>
      <c r="C5" s="106"/>
      <c r="D5" s="107"/>
      <c r="E5" s="105"/>
      <c r="F5" s="106"/>
      <c r="G5" s="106"/>
      <c r="H5" s="106"/>
      <c r="I5" s="106"/>
      <c r="J5" s="106"/>
      <c r="K5" s="106"/>
      <c r="L5" s="106"/>
      <c r="M5" s="106"/>
      <c r="N5" s="106"/>
      <c r="O5" s="97" t="s">
        <v>57</v>
      </c>
      <c r="P5" s="98"/>
      <c r="Q5" s="90" t="s">
        <v>58</v>
      </c>
      <c r="R5" s="90"/>
      <c r="S5" s="90"/>
      <c r="T5" s="90"/>
      <c r="U5" s="90"/>
    </row>
    <row r="6" spans="1:21" ht="15" customHeight="1" thickBot="1" x14ac:dyDescent="0.3">
      <c r="A6" s="120" t="s">
        <v>0</v>
      </c>
      <c r="B6" s="121"/>
      <c r="C6" s="121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3"/>
      <c r="P6" s="123"/>
      <c r="Q6" s="123"/>
      <c r="R6" s="123"/>
      <c r="S6" s="123"/>
      <c r="T6" s="123"/>
      <c r="U6" s="124"/>
    </row>
    <row r="7" spans="1:21" ht="14.45" customHeight="1" thickBot="1" x14ac:dyDescent="0.3">
      <c r="A7" s="35" t="s">
        <v>47</v>
      </c>
      <c r="B7" s="36"/>
      <c r="C7" s="31"/>
      <c r="D7" s="32"/>
      <c r="E7" s="35" t="s">
        <v>48</v>
      </c>
      <c r="F7" s="24"/>
      <c r="G7" s="25" t="str">
        <f>IFERROR(VLOOKUP(C7,Emp,2,FALSE),"Unknown")</f>
        <v>Unknown</v>
      </c>
      <c r="H7" s="26"/>
      <c r="I7" s="26"/>
      <c r="J7" s="26"/>
      <c r="K7" s="26"/>
      <c r="L7" s="26"/>
      <c r="M7" s="26"/>
      <c r="N7" s="27"/>
      <c r="O7" s="8" t="s">
        <v>59</v>
      </c>
      <c r="P7" s="28" t="str">
        <f>IFERROR(VLOOKUP(C7,Emp,4,FALSE),"Unknown")</f>
        <v>Unknown</v>
      </c>
      <c r="Q7" s="29"/>
      <c r="R7" s="29"/>
      <c r="S7" s="29"/>
      <c r="T7" s="29"/>
      <c r="U7" s="30"/>
    </row>
    <row r="8" spans="1:21" ht="19.899999999999999" customHeight="1" thickBot="1" x14ac:dyDescent="0.3">
      <c r="A8" s="37"/>
      <c r="B8" s="38"/>
      <c r="C8" s="33"/>
      <c r="D8" s="34"/>
      <c r="E8" s="23" t="s">
        <v>4065</v>
      </c>
      <c r="F8" s="24"/>
      <c r="G8" s="25" t="str">
        <f>IFERROR(VLOOKUP(C7,Emp,3,FALSE),"Unknown")</f>
        <v>Unknown</v>
      </c>
      <c r="H8" s="26"/>
      <c r="I8" s="26"/>
      <c r="J8" s="26"/>
      <c r="K8" s="26"/>
      <c r="L8" s="26"/>
      <c r="M8" s="26"/>
      <c r="N8" s="27"/>
      <c r="O8" s="9" t="s">
        <v>4066</v>
      </c>
      <c r="P8" s="25" t="str">
        <f>IFERROR(VLOOKUP(C7,Emp,5,FALSE),"UNKNOWN")</f>
        <v>UNKNOWN</v>
      </c>
      <c r="Q8" s="26"/>
      <c r="R8" s="26"/>
      <c r="S8" s="26"/>
      <c r="T8" s="26"/>
      <c r="U8" s="27"/>
    </row>
    <row r="9" spans="1:21" ht="15" customHeight="1" thickBot="1" x14ac:dyDescent="0.3">
      <c r="A9" s="15" t="s">
        <v>1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7"/>
      <c r="O9" s="18" t="s">
        <v>2</v>
      </c>
      <c r="P9" s="19"/>
      <c r="Q9" s="20" t="s">
        <v>5278</v>
      </c>
      <c r="R9" s="21"/>
      <c r="S9" s="21"/>
      <c r="T9" s="21"/>
      <c r="U9" s="22"/>
    </row>
    <row r="10" spans="1:21" ht="15" customHeight="1" x14ac:dyDescent="0.25">
      <c r="A10" s="112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4"/>
      <c r="O10" s="112"/>
      <c r="P10" s="114"/>
      <c r="Q10" s="35"/>
      <c r="R10" s="118"/>
      <c r="S10" s="118"/>
      <c r="T10" s="118"/>
      <c r="U10" s="36"/>
    </row>
    <row r="11" spans="1:21" ht="15.75" thickBot="1" x14ac:dyDescent="0.3">
      <c r="A11" s="115"/>
      <c r="B11" s="116"/>
      <c r="C11" s="116"/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7"/>
      <c r="O11" s="115"/>
      <c r="P11" s="117"/>
      <c r="Q11" s="37"/>
      <c r="R11" s="119"/>
      <c r="S11" s="119"/>
      <c r="T11" s="119"/>
      <c r="U11" s="38"/>
    </row>
    <row r="12" spans="1:21" ht="15.75" thickBot="1" x14ac:dyDescent="0.3">
      <c r="A12" s="45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7"/>
    </row>
    <row r="13" spans="1:21" ht="14.45" customHeight="1" x14ac:dyDescent="0.25">
      <c r="A13" s="79" t="s">
        <v>3</v>
      </c>
      <c r="B13" s="80"/>
      <c r="C13" s="80"/>
      <c r="D13" s="80"/>
      <c r="E13" s="85"/>
      <c r="F13" s="79" t="s">
        <v>4</v>
      </c>
      <c r="G13" s="80"/>
      <c r="H13" s="80"/>
      <c r="I13" s="80"/>
      <c r="J13" s="80"/>
      <c r="K13" s="80"/>
      <c r="L13" s="85"/>
      <c r="M13" s="79" t="s">
        <v>5</v>
      </c>
      <c r="N13" s="80"/>
      <c r="O13" s="80"/>
      <c r="P13" s="81"/>
      <c r="Q13" s="80" t="s">
        <v>46</v>
      </c>
      <c r="R13" s="80"/>
      <c r="S13" s="80"/>
      <c r="T13" s="80"/>
      <c r="U13" s="85"/>
    </row>
    <row r="14" spans="1:21" ht="15.75" thickBot="1" x14ac:dyDescent="0.3">
      <c r="A14" s="82"/>
      <c r="B14" s="83"/>
      <c r="C14" s="83"/>
      <c r="D14" s="83"/>
      <c r="E14" s="86"/>
      <c r="F14" s="82"/>
      <c r="G14" s="83"/>
      <c r="H14" s="83"/>
      <c r="I14" s="83"/>
      <c r="J14" s="83"/>
      <c r="K14" s="83"/>
      <c r="L14" s="86"/>
      <c r="M14" s="82"/>
      <c r="N14" s="83"/>
      <c r="O14" s="83"/>
      <c r="P14" s="84"/>
      <c r="Q14" s="83"/>
      <c r="R14" s="83"/>
      <c r="S14" s="83"/>
      <c r="T14" s="83"/>
      <c r="U14" s="86"/>
    </row>
    <row r="15" spans="1:21" ht="15" customHeight="1" thickBot="1" x14ac:dyDescent="0.3">
      <c r="A15" s="42" t="s">
        <v>6</v>
      </c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4"/>
    </row>
    <row r="16" spans="1:21" ht="15" customHeight="1" thickBot="1" x14ac:dyDescent="0.3">
      <c r="A16" s="45" t="s">
        <v>7</v>
      </c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7"/>
    </row>
    <row r="17" spans="1:21" ht="15" customHeight="1" thickBot="1" x14ac:dyDescent="0.3">
      <c r="A17" s="48" t="s">
        <v>8</v>
      </c>
      <c r="B17" s="49" t="s">
        <v>9</v>
      </c>
      <c r="C17" s="50"/>
      <c r="D17" s="50"/>
      <c r="E17" s="21"/>
      <c r="F17" s="21"/>
      <c r="G17" s="22"/>
      <c r="H17" s="53" t="s">
        <v>5277</v>
      </c>
      <c r="I17" s="54"/>
      <c r="J17" s="54"/>
      <c r="K17" s="54"/>
      <c r="L17" s="54"/>
      <c r="M17" s="54"/>
      <c r="N17" s="54"/>
      <c r="O17" s="54"/>
      <c r="P17" s="54"/>
      <c r="Q17" s="55"/>
      <c r="R17" s="49" t="s">
        <v>10</v>
      </c>
      <c r="S17" s="50"/>
      <c r="T17" s="51"/>
      <c r="U17" s="48" t="s">
        <v>11</v>
      </c>
    </row>
    <row r="18" spans="1:21" ht="15.75" thickBot="1" x14ac:dyDescent="0.3">
      <c r="A18" s="15"/>
      <c r="B18" s="91" t="s">
        <v>5273</v>
      </c>
      <c r="C18" s="92"/>
      <c r="D18" s="93"/>
      <c r="E18" s="66" t="s">
        <v>5274</v>
      </c>
      <c r="F18" s="66"/>
      <c r="G18" s="65"/>
      <c r="H18" s="56" t="s">
        <v>5276</v>
      </c>
      <c r="I18" s="57"/>
      <c r="J18" s="57"/>
      <c r="K18" s="57"/>
      <c r="L18" s="57"/>
      <c r="M18" s="57"/>
      <c r="N18" s="57"/>
      <c r="O18" s="57"/>
      <c r="P18" s="57"/>
      <c r="Q18" s="58"/>
      <c r="R18" s="15"/>
      <c r="S18" s="16"/>
      <c r="T18" s="17"/>
      <c r="U18" s="52"/>
    </row>
    <row r="19" spans="1:21" ht="15.75" thickBot="1" x14ac:dyDescent="0.3">
      <c r="A19" s="1">
        <v>1</v>
      </c>
      <c r="B19" s="12"/>
      <c r="C19" s="3"/>
      <c r="D19" s="13"/>
      <c r="E19" s="13"/>
      <c r="F19" s="13"/>
      <c r="G19" s="13"/>
      <c r="H19" s="3" t="s">
        <v>60</v>
      </c>
      <c r="I19" s="39"/>
      <c r="J19" s="40"/>
      <c r="K19" s="40"/>
      <c r="L19" s="41"/>
      <c r="M19" s="3" t="s">
        <v>61</v>
      </c>
      <c r="N19" s="39"/>
      <c r="O19" s="40"/>
      <c r="P19" s="40"/>
      <c r="Q19" s="41"/>
      <c r="R19" s="39"/>
      <c r="S19" s="40"/>
      <c r="T19" s="41"/>
      <c r="U19" s="2"/>
    </row>
    <row r="20" spans="1:21" ht="15" customHeight="1" thickBot="1" x14ac:dyDescent="0.3">
      <c r="A20" s="45" t="s">
        <v>5</v>
      </c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7"/>
    </row>
    <row r="21" spans="1:21" ht="15" customHeight="1" thickBot="1" x14ac:dyDescent="0.3">
      <c r="A21" s="49" t="s">
        <v>8</v>
      </c>
      <c r="B21" s="51"/>
      <c r="C21" s="49" t="s">
        <v>13</v>
      </c>
      <c r="D21" s="50"/>
      <c r="E21" s="50"/>
      <c r="F21" s="50"/>
      <c r="G21" s="51"/>
      <c r="H21" s="20" t="s">
        <v>14</v>
      </c>
      <c r="I21" s="21"/>
      <c r="J21" s="21"/>
      <c r="K21" s="21"/>
      <c r="L21" s="21"/>
      <c r="M21" s="22"/>
      <c r="N21" s="49" t="s">
        <v>15</v>
      </c>
      <c r="O21" s="50"/>
      <c r="P21" s="50"/>
      <c r="Q21" s="51"/>
      <c r="R21" s="49" t="s">
        <v>17</v>
      </c>
      <c r="S21" s="50"/>
      <c r="T21" s="51"/>
      <c r="U21" s="48" t="s">
        <v>18</v>
      </c>
    </row>
    <row r="22" spans="1:21" ht="15.75" thickBot="1" x14ac:dyDescent="0.3">
      <c r="A22" s="15"/>
      <c r="B22" s="17"/>
      <c r="C22" s="15"/>
      <c r="D22" s="16"/>
      <c r="E22" s="16"/>
      <c r="F22" s="16"/>
      <c r="G22" s="17"/>
      <c r="H22" s="64" t="s">
        <v>19</v>
      </c>
      <c r="I22" s="65"/>
      <c r="J22" s="64" t="s">
        <v>12</v>
      </c>
      <c r="K22" s="66"/>
      <c r="L22" s="66"/>
      <c r="M22" s="65"/>
      <c r="N22" s="15" t="s">
        <v>16</v>
      </c>
      <c r="O22" s="16"/>
      <c r="P22" s="16"/>
      <c r="Q22" s="17"/>
      <c r="R22" s="15"/>
      <c r="S22" s="16"/>
      <c r="T22" s="17"/>
      <c r="U22" s="52"/>
    </row>
    <row r="23" spans="1:21" ht="16.5" thickBot="1" x14ac:dyDescent="0.3">
      <c r="A23" s="39"/>
      <c r="B23" s="41"/>
      <c r="C23" s="2"/>
      <c r="D23" s="39"/>
      <c r="E23" s="40"/>
      <c r="F23" s="41"/>
      <c r="G23" s="39"/>
      <c r="H23" s="40"/>
      <c r="I23" s="40"/>
      <c r="J23" s="41"/>
      <c r="K23" s="59"/>
      <c r="L23" s="60"/>
      <c r="M23" s="60"/>
      <c r="N23" s="60"/>
      <c r="O23" s="60"/>
      <c r="P23" s="60"/>
      <c r="Q23" s="60"/>
      <c r="R23" s="60"/>
      <c r="S23" s="60"/>
      <c r="T23" s="60"/>
      <c r="U23" s="60"/>
    </row>
    <row r="24" spans="1:21" ht="15" customHeight="1" thickBot="1" x14ac:dyDescent="0.3">
      <c r="A24" s="45" t="s">
        <v>20</v>
      </c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7"/>
    </row>
    <row r="25" spans="1:21" ht="14.45" customHeight="1" x14ac:dyDescent="0.25">
      <c r="A25" s="61" t="s">
        <v>21</v>
      </c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3"/>
    </row>
    <row r="26" spans="1:21" ht="15" customHeight="1" thickBot="1" x14ac:dyDescent="0.3">
      <c r="A26" s="70" t="s">
        <v>22</v>
      </c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2"/>
    </row>
    <row r="27" spans="1:21" ht="15" customHeight="1" thickBot="1" x14ac:dyDescent="0.3">
      <c r="A27" s="45" t="s">
        <v>23</v>
      </c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7"/>
    </row>
    <row r="28" spans="1:21" ht="14.45" customHeight="1" x14ac:dyDescent="0.25">
      <c r="A28" s="73" t="s">
        <v>24</v>
      </c>
      <c r="B28" s="74"/>
      <c r="C28" s="74"/>
      <c r="D28" s="74"/>
      <c r="E28" s="74"/>
      <c r="F28" s="74"/>
      <c r="G28" s="74"/>
      <c r="H28" s="75"/>
      <c r="I28" s="73" t="s">
        <v>25</v>
      </c>
      <c r="J28" s="74"/>
      <c r="K28" s="74"/>
      <c r="L28" s="74"/>
      <c r="M28" s="74"/>
      <c r="N28" s="74"/>
      <c r="O28" s="75"/>
      <c r="P28" s="73" t="s">
        <v>25</v>
      </c>
      <c r="Q28" s="74"/>
      <c r="R28" s="74"/>
      <c r="S28" s="74"/>
      <c r="T28" s="74"/>
      <c r="U28" s="75"/>
    </row>
    <row r="29" spans="1:21" ht="15" customHeight="1" thickBot="1" x14ac:dyDescent="0.3">
      <c r="A29" s="76"/>
      <c r="B29" s="77"/>
      <c r="C29" s="77"/>
      <c r="D29" s="77"/>
      <c r="E29" s="77"/>
      <c r="F29" s="77"/>
      <c r="G29" s="77"/>
      <c r="H29" s="78"/>
      <c r="I29" s="76" t="s">
        <v>26</v>
      </c>
      <c r="J29" s="77"/>
      <c r="K29" s="77"/>
      <c r="L29" s="77"/>
      <c r="M29" s="77"/>
      <c r="N29" s="77"/>
      <c r="O29" s="78"/>
      <c r="P29" s="76" t="s">
        <v>27</v>
      </c>
      <c r="Q29" s="77"/>
      <c r="R29" s="77"/>
      <c r="S29" s="77"/>
      <c r="T29" s="77"/>
      <c r="U29" s="78"/>
    </row>
    <row r="30" spans="1:21" ht="15.75" thickBot="1" x14ac:dyDescent="0.3">
      <c r="A30" s="67" t="s">
        <v>28</v>
      </c>
      <c r="B30" s="68"/>
      <c r="C30" s="68"/>
      <c r="D30" s="68"/>
      <c r="E30" s="68"/>
      <c r="F30" s="68"/>
      <c r="G30" s="68"/>
      <c r="H30" s="69"/>
      <c r="I30" s="67" t="s">
        <v>28</v>
      </c>
      <c r="J30" s="68"/>
      <c r="K30" s="68"/>
      <c r="L30" s="68"/>
      <c r="M30" s="68"/>
      <c r="N30" s="68"/>
      <c r="O30" s="69"/>
      <c r="P30" s="67" t="s">
        <v>28</v>
      </c>
      <c r="Q30" s="68"/>
      <c r="R30" s="68"/>
      <c r="S30" s="68"/>
      <c r="T30" s="68"/>
      <c r="U30" s="69"/>
    </row>
    <row r="31" spans="1:21" ht="15.75" thickBot="1" x14ac:dyDescent="0.3">
      <c r="A31" s="67" t="s">
        <v>29</v>
      </c>
      <c r="B31" s="68"/>
      <c r="C31" s="68"/>
      <c r="D31" s="68"/>
      <c r="E31" s="68"/>
      <c r="F31" s="68"/>
      <c r="G31" s="68"/>
      <c r="H31" s="69"/>
      <c r="I31" s="67" t="s">
        <v>29</v>
      </c>
      <c r="J31" s="68"/>
      <c r="K31" s="68"/>
      <c r="L31" s="68"/>
      <c r="M31" s="68"/>
      <c r="N31" s="68"/>
      <c r="O31" s="69"/>
      <c r="P31" s="67" t="s">
        <v>29</v>
      </c>
      <c r="Q31" s="68"/>
      <c r="R31" s="68"/>
      <c r="S31" s="68"/>
      <c r="T31" s="68"/>
      <c r="U31" s="69"/>
    </row>
    <row r="32" spans="1:21" ht="15.75" thickBot="1" x14ac:dyDescent="0.3">
      <c r="A32" s="67" t="s">
        <v>30</v>
      </c>
      <c r="B32" s="68"/>
      <c r="C32" s="68"/>
      <c r="D32" s="68"/>
      <c r="E32" s="68"/>
      <c r="F32" s="68"/>
      <c r="G32" s="68"/>
      <c r="H32" s="69"/>
      <c r="I32" s="67" t="s">
        <v>30</v>
      </c>
      <c r="J32" s="68"/>
      <c r="K32" s="68"/>
      <c r="L32" s="68"/>
      <c r="M32" s="68"/>
      <c r="N32" s="68"/>
      <c r="O32" s="69"/>
      <c r="P32" s="67" t="s">
        <v>30</v>
      </c>
      <c r="Q32" s="68"/>
      <c r="R32" s="68"/>
      <c r="S32" s="68"/>
      <c r="T32" s="68"/>
      <c r="U32" s="69"/>
    </row>
    <row r="33" spans="1:21" ht="15" customHeight="1" thickBot="1" x14ac:dyDescent="0.3">
      <c r="A33" s="45" t="s">
        <v>31</v>
      </c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7"/>
    </row>
    <row r="34" spans="1:21" ht="14.45" customHeight="1" x14ac:dyDescent="0.25">
      <c r="A34" s="73" t="s">
        <v>24</v>
      </c>
      <c r="B34" s="74"/>
      <c r="C34" s="74"/>
      <c r="D34" s="74"/>
      <c r="E34" s="74"/>
      <c r="F34" s="74"/>
      <c r="G34" s="74"/>
      <c r="H34" s="75"/>
      <c r="I34" s="73" t="s">
        <v>25</v>
      </c>
      <c r="J34" s="74"/>
      <c r="K34" s="74"/>
      <c r="L34" s="74"/>
      <c r="M34" s="74"/>
      <c r="N34" s="74"/>
      <c r="O34" s="75"/>
      <c r="P34" s="73" t="s">
        <v>25</v>
      </c>
      <c r="Q34" s="74"/>
      <c r="R34" s="74"/>
      <c r="S34" s="74"/>
      <c r="T34" s="74"/>
      <c r="U34" s="75"/>
    </row>
    <row r="35" spans="1:21" ht="15" customHeight="1" thickBot="1" x14ac:dyDescent="0.3">
      <c r="A35" s="76"/>
      <c r="B35" s="77"/>
      <c r="C35" s="77"/>
      <c r="D35" s="77"/>
      <c r="E35" s="77"/>
      <c r="F35" s="77"/>
      <c r="G35" s="77"/>
      <c r="H35" s="78"/>
      <c r="I35" s="76" t="s">
        <v>32</v>
      </c>
      <c r="J35" s="77"/>
      <c r="K35" s="77"/>
      <c r="L35" s="77"/>
      <c r="M35" s="77"/>
      <c r="N35" s="77"/>
      <c r="O35" s="78"/>
      <c r="P35" s="76" t="s">
        <v>33</v>
      </c>
      <c r="Q35" s="77"/>
      <c r="R35" s="77"/>
      <c r="S35" s="77"/>
      <c r="T35" s="77"/>
      <c r="U35" s="78"/>
    </row>
    <row r="36" spans="1:21" ht="15" customHeight="1" thickBot="1" x14ac:dyDescent="0.3">
      <c r="A36" s="67" t="s">
        <v>63</v>
      </c>
      <c r="B36" s="68"/>
      <c r="C36" s="68"/>
      <c r="D36" s="68"/>
      <c r="E36" s="68"/>
      <c r="F36" s="68"/>
      <c r="G36" s="68"/>
      <c r="H36" s="69"/>
      <c r="I36" s="67" t="s">
        <v>63</v>
      </c>
      <c r="J36" s="68"/>
      <c r="K36" s="68"/>
      <c r="L36" s="68"/>
      <c r="M36" s="68"/>
      <c r="N36" s="68"/>
      <c r="O36" s="69"/>
      <c r="P36" s="67" t="s">
        <v>28</v>
      </c>
      <c r="Q36" s="68"/>
      <c r="R36" s="68"/>
      <c r="S36" s="68"/>
      <c r="T36" s="68"/>
      <c r="U36" s="69"/>
    </row>
    <row r="37" spans="1:21" ht="15" customHeight="1" thickBot="1" x14ac:dyDescent="0.3">
      <c r="A37" s="67" t="s">
        <v>62</v>
      </c>
      <c r="B37" s="68"/>
      <c r="C37" s="68"/>
      <c r="D37" s="68"/>
      <c r="E37" s="68"/>
      <c r="F37" s="68"/>
      <c r="G37" s="68"/>
      <c r="H37" s="69"/>
      <c r="I37" s="67" t="s">
        <v>62</v>
      </c>
      <c r="J37" s="68"/>
      <c r="K37" s="68"/>
      <c r="L37" s="68"/>
      <c r="M37" s="68"/>
      <c r="N37" s="68"/>
      <c r="O37" s="69"/>
      <c r="P37" s="67" t="s">
        <v>29</v>
      </c>
      <c r="Q37" s="68"/>
      <c r="R37" s="68"/>
      <c r="S37" s="68"/>
      <c r="T37" s="68"/>
      <c r="U37" s="69"/>
    </row>
    <row r="38" spans="1:21" x14ac:dyDescent="0.25">
      <c r="A38" s="61" t="s">
        <v>34</v>
      </c>
      <c r="B38" s="62"/>
      <c r="C38" s="62"/>
      <c r="D38" s="62"/>
      <c r="E38" s="62"/>
      <c r="F38" s="62"/>
      <c r="G38" s="62"/>
      <c r="H38" s="63"/>
      <c r="I38" s="61" t="s">
        <v>34</v>
      </c>
      <c r="J38" s="62"/>
      <c r="K38" s="62"/>
      <c r="L38" s="62"/>
      <c r="M38" s="62"/>
      <c r="N38" s="62"/>
      <c r="O38" s="63"/>
      <c r="P38" s="61" t="s">
        <v>30</v>
      </c>
      <c r="Q38" s="62"/>
      <c r="R38" s="62"/>
      <c r="S38" s="62"/>
      <c r="T38" s="62"/>
      <c r="U38" s="63"/>
    </row>
    <row r="39" spans="1:21" x14ac:dyDescent="0.25">
      <c r="A39" s="87"/>
      <c r="B39" s="88"/>
      <c r="C39" s="88"/>
      <c r="D39" s="88"/>
      <c r="E39" s="88"/>
      <c r="F39" s="88"/>
      <c r="G39" s="88"/>
      <c r="H39" s="89"/>
      <c r="I39" s="87"/>
      <c r="J39" s="88"/>
      <c r="K39" s="88"/>
      <c r="L39" s="88"/>
      <c r="M39" s="88"/>
      <c r="N39" s="88"/>
      <c r="O39" s="89"/>
      <c r="P39" s="87"/>
      <c r="Q39" s="88"/>
      <c r="R39" s="88"/>
      <c r="S39" s="88"/>
      <c r="T39" s="88"/>
      <c r="U39" s="89"/>
    </row>
    <row r="40" spans="1:21" ht="15.75" thickBot="1" x14ac:dyDescent="0.3">
      <c r="A40" s="70"/>
      <c r="B40" s="71"/>
      <c r="C40" s="71"/>
      <c r="D40" s="71"/>
      <c r="E40" s="71"/>
      <c r="F40" s="71"/>
      <c r="G40" s="71"/>
      <c r="H40" s="72"/>
      <c r="I40" s="70"/>
      <c r="J40" s="71"/>
      <c r="K40" s="71"/>
      <c r="L40" s="71"/>
      <c r="M40" s="71"/>
      <c r="N40" s="71"/>
      <c r="O40" s="72"/>
      <c r="P40" s="70"/>
      <c r="Q40" s="71"/>
      <c r="R40" s="71"/>
      <c r="S40" s="71"/>
      <c r="T40" s="71"/>
      <c r="U40" s="72"/>
    </row>
    <row r="41" spans="1:21" ht="15" customHeight="1" thickBot="1" x14ac:dyDescent="0.3">
      <c r="A41" s="45" t="s">
        <v>35</v>
      </c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7"/>
    </row>
    <row r="42" spans="1:21" ht="15" customHeight="1" thickBot="1" x14ac:dyDescent="0.3">
      <c r="A42" s="20" t="s">
        <v>3</v>
      </c>
      <c r="B42" s="21"/>
      <c r="C42" s="21"/>
      <c r="D42" s="22"/>
      <c r="E42" s="20" t="s">
        <v>4</v>
      </c>
      <c r="F42" s="21"/>
      <c r="G42" s="21"/>
      <c r="H42" s="21"/>
      <c r="I42" s="21"/>
      <c r="J42" s="21"/>
      <c r="K42" s="22"/>
      <c r="L42" s="20" t="s">
        <v>5</v>
      </c>
      <c r="M42" s="21"/>
      <c r="N42" s="21"/>
      <c r="O42" s="21"/>
      <c r="P42" s="21"/>
      <c r="Q42" s="21"/>
      <c r="R42" s="22"/>
      <c r="S42" s="20" t="s">
        <v>36</v>
      </c>
      <c r="T42" s="21"/>
      <c r="U42" s="22"/>
    </row>
    <row r="43" spans="1:21" ht="14.45" customHeight="1" x14ac:dyDescent="0.25">
      <c r="A43" s="61" t="s">
        <v>37</v>
      </c>
      <c r="B43" s="62"/>
      <c r="C43" s="62"/>
      <c r="D43" s="63"/>
      <c r="E43" s="61" t="s">
        <v>38</v>
      </c>
      <c r="F43" s="62"/>
      <c r="G43" s="62"/>
      <c r="H43" s="62"/>
      <c r="I43" s="62"/>
      <c r="J43" s="62"/>
      <c r="K43" s="63"/>
      <c r="L43" s="61" t="s">
        <v>39</v>
      </c>
      <c r="M43" s="62"/>
      <c r="N43" s="62"/>
      <c r="O43" s="62"/>
      <c r="P43" s="62"/>
      <c r="Q43" s="62"/>
      <c r="R43" s="63"/>
      <c r="S43" s="61" t="s">
        <v>40</v>
      </c>
      <c r="T43" s="62"/>
      <c r="U43" s="63"/>
    </row>
    <row r="44" spans="1:21" ht="15.75" thickBot="1" x14ac:dyDescent="0.3">
      <c r="A44" s="87"/>
      <c r="B44" s="88"/>
      <c r="C44" s="88"/>
      <c r="D44" s="89"/>
      <c r="E44" s="70"/>
      <c r="F44" s="71"/>
      <c r="G44" s="71"/>
      <c r="H44" s="71"/>
      <c r="I44" s="71"/>
      <c r="J44" s="71"/>
      <c r="K44" s="72"/>
      <c r="L44" s="70"/>
      <c r="M44" s="71"/>
      <c r="N44" s="71"/>
      <c r="O44" s="71"/>
      <c r="P44" s="71"/>
      <c r="Q44" s="71"/>
      <c r="R44" s="72"/>
      <c r="S44" s="87"/>
      <c r="T44" s="88"/>
      <c r="U44" s="89"/>
    </row>
    <row r="45" spans="1:21" ht="14.45" customHeight="1" x14ac:dyDescent="0.25">
      <c r="A45" s="87"/>
      <c r="B45" s="88"/>
      <c r="C45" s="88"/>
      <c r="D45" s="89"/>
      <c r="E45" s="61" t="s">
        <v>41</v>
      </c>
      <c r="F45" s="62"/>
      <c r="G45" s="62"/>
      <c r="H45" s="62"/>
      <c r="I45" s="62"/>
      <c r="J45" s="62"/>
      <c r="K45" s="63"/>
      <c r="L45" s="61" t="s">
        <v>42</v>
      </c>
      <c r="M45" s="62"/>
      <c r="N45" s="62"/>
      <c r="O45" s="62"/>
      <c r="P45" s="62"/>
      <c r="Q45" s="62"/>
      <c r="R45" s="63"/>
      <c r="S45" s="87"/>
      <c r="T45" s="88"/>
      <c r="U45" s="89"/>
    </row>
    <row r="46" spans="1:21" ht="15.75" thickBot="1" x14ac:dyDescent="0.3">
      <c r="A46" s="70"/>
      <c r="B46" s="71"/>
      <c r="C46" s="71"/>
      <c r="D46" s="72"/>
      <c r="E46" s="70"/>
      <c r="F46" s="71"/>
      <c r="G46" s="71"/>
      <c r="H46" s="71"/>
      <c r="I46" s="71"/>
      <c r="J46" s="71"/>
      <c r="K46" s="72"/>
      <c r="L46" s="70"/>
      <c r="M46" s="71"/>
      <c r="N46" s="71"/>
      <c r="O46" s="71"/>
      <c r="P46" s="71"/>
      <c r="Q46" s="71"/>
      <c r="R46" s="72"/>
      <c r="S46" s="70"/>
      <c r="T46" s="71"/>
      <c r="U46" s="72"/>
    </row>
    <row r="47" spans="1:21" ht="15" customHeight="1" thickBot="1" x14ac:dyDescent="0.3">
      <c r="A47" s="45" t="s">
        <v>43</v>
      </c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7"/>
    </row>
    <row r="48" spans="1:21" ht="15" customHeight="1" thickBot="1" x14ac:dyDescent="0.3">
      <c r="A48" s="67" t="s">
        <v>44</v>
      </c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9"/>
    </row>
    <row r="49" spans="1:21" ht="15" customHeight="1" thickBot="1" x14ac:dyDescent="0.3">
      <c r="A49" s="67" t="s">
        <v>45</v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9"/>
    </row>
  </sheetData>
  <mergeCells count="107">
    <mergeCell ref="Q5:U5"/>
    <mergeCell ref="E18:G18"/>
    <mergeCell ref="B18:D18"/>
    <mergeCell ref="O1:P1"/>
    <mergeCell ref="Q1:U1"/>
    <mergeCell ref="O2:P2"/>
    <mergeCell ref="Q2:U2"/>
    <mergeCell ref="O3:P3"/>
    <mergeCell ref="Q3:U3"/>
    <mergeCell ref="O4:P4"/>
    <mergeCell ref="Q4:U4"/>
    <mergeCell ref="O5:P5"/>
    <mergeCell ref="A1:D5"/>
    <mergeCell ref="E1:N3"/>
    <mergeCell ref="E4:N5"/>
    <mergeCell ref="E7:F7"/>
    <mergeCell ref="G7:N7"/>
    <mergeCell ref="A10:N11"/>
    <mergeCell ref="O10:P11"/>
    <mergeCell ref="A12:U12"/>
    <mergeCell ref="A13:E14"/>
    <mergeCell ref="F13:L14"/>
    <mergeCell ref="Q10:U11"/>
    <mergeCell ref="A6:U6"/>
    <mergeCell ref="A47:U47"/>
    <mergeCell ref="A48:U48"/>
    <mergeCell ref="A49:U49"/>
    <mergeCell ref="M13:P14"/>
    <mergeCell ref="Q13:U14"/>
    <mergeCell ref="A43:D46"/>
    <mergeCell ref="E43:K44"/>
    <mergeCell ref="L43:R44"/>
    <mergeCell ref="S43:U46"/>
    <mergeCell ref="E45:K46"/>
    <mergeCell ref="L45:R46"/>
    <mergeCell ref="A38:H40"/>
    <mergeCell ref="I38:O40"/>
    <mergeCell ref="P38:U40"/>
    <mergeCell ref="A41:U41"/>
    <mergeCell ref="A42:D42"/>
    <mergeCell ref="E42:K42"/>
    <mergeCell ref="L42:R42"/>
    <mergeCell ref="S42:U42"/>
    <mergeCell ref="A36:H36"/>
    <mergeCell ref="I36:O36"/>
    <mergeCell ref="P36:U36"/>
    <mergeCell ref="A37:H37"/>
    <mergeCell ref="I37:O37"/>
    <mergeCell ref="P37:U37"/>
    <mergeCell ref="A32:H32"/>
    <mergeCell ref="I32:O32"/>
    <mergeCell ref="P32:U32"/>
    <mergeCell ref="A33:U33"/>
    <mergeCell ref="A34:H35"/>
    <mergeCell ref="I34:O34"/>
    <mergeCell ref="P34:U34"/>
    <mergeCell ref="I35:O35"/>
    <mergeCell ref="P35:U35"/>
    <mergeCell ref="A30:H30"/>
    <mergeCell ref="I30:O30"/>
    <mergeCell ref="P30:U30"/>
    <mergeCell ref="A31:H31"/>
    <mergeCell ref="I31:O31"/>
    <mergeCell ref="P31:U31"/>
    <mergeCell ref="A26:U26"/>
    <mergeCell ref="A27:U27"/>
    <mergeCell ref="A28:H29"/>
    <mergeCell ref="I28:O28"/>
    <mergeCell ref="P28:U28"/>
    <mergeCell ref="I29:O29"/>
    <mergeCell ref="P29:U29"/>
    <mergeCell ref="A23:B23"/>
    <mergeCell ref="D23:F23"/>
    <mergeCell ref="G23:J23"/>
    <mergeCell ref="K23:U23"/>
    <mergeCell ref="A24:U24"/>
    <mergeCell ref="A25:U25"/>
    <mergeCell ref="A20:U20"/>
    <mergeCell ref="A21:B22"/>
    <mergeCell ref="C21:G22"/>
    <mergeCell ref="H21:M21"/>
    <mergeCell ref="N21:Q21"/>
    <mergeCell ref="R21:T22"/>
    <mergeCell ref="U21:U22"/>
    <mergeCell ref="H22:I22"/>
    <mergeCell ref="J22:M22"/>
    <mergeCell ref="N22:Q22"/>
    <mergeCell ref="N19:Q19"/>
    <mergeCell ref="R19:T19"/>
    <mergeCell ref="I19:L19"/>
    <mergeCell ref="A15:U15"/>
    <mergeCell ref="A16:U16"/>
    <mergeCell ref="A17:A18"/>
    <mergeCell ref="B17:G17"/>
    <mergeCell ref="R17:T18"/>
    <mergeCell ref="U17:U18"/>
    <mergeCell ref="H17:Q17"/>
    <mergeCell ref="H18:Q18"/>
    <mergeCell ref="A9:N9"/>
    <mergeCell ref="O9:P9"/>
    <mergeCell ref="Q9:U9"/>
    <mergeCell ref="E8:F8"/>
    <mergeCell ref="G8:N8"/>
    <mergeCell ref="P7:U7"/>
    <mergeCell ref="P8:U8"/>
    <mergeCell ref="C7:D8"/>
    <mergeCell ref="A7:B8"/>
  </mergeCells>
  <dataValidations count="3">
    <dataValidation type="list" allowBlank="1" showInputMessage="1" showErrorMessage="1" sqref="B19 E19">
      <formula1>INDIRECT(C19)</formula1>
    </dataValidation>
    <dataValidation type="list" allowBlank="1" showInputMessage="1" sqref="I19:L19">
      <formula1>valid_cities</formula1>
    </dataValidation>
    <dataValidation type="list" allowBlank="1" showInputMessage="1" sqref="N19:Q19">
      <formula1>valid_cities2</formula1>
    </dataValidation>
  </dataValidation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Date!$A$1:$A$12</xm:f>
          </x14:formula1>
          <xm:sqref>C19 F19</xm:sqref>
        </x14:dataValidation>
        <x14:dataValidation type="list" allowBlank="1" showInputMessage="1" showErrorMessage="1">
          <x14:formula1>
            <xm:f>Date!$O$1:$O$2</xm:f>
          </x14:formula1>
          <xm:sqref>H18:Q18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0223"/>
  <sheetViews>
    <sheetView topLeftCell="C2" workbookViewId="0">
      <selection activeCell="I2" sqref="I2"/>
    </sheetView>
  </sheetViews>
  <sheetFormatPr defaultRowHeight="15" x14ac:dyDescent="0.25"/>
  <cols>
    <col min="2" max="2" width="59.85546875" style="10" bestFit="1" customWidth="1"/>
    <col min="4" max="4" width="59.85546875" bestFit="1" customWidth="1"/>
    <col min="5" max="5" width="17.85546875" bestFit="1" customWidth="1"/>
    <col min="7" max="7" width="59.85546875" bestFit="1" customWidth="1"/>
  </cols>
  <sheetData>
    <row r="1" spans="1:9" x14ac:dyDescent="0.25">
      <c r="B1" s="10" t="s">
        <v>4067</v>
      </c>
      <c r="G1" s="10" t="s">
        <v>4067</v>
      </c>
    </row>
    <row r="2" spans="1:9" x14ac:dyDescent="0.25">
      <c r="A2">
        <f>IF(ISNUMBER(SEARCH(Request!$I$19,B2)),MAX($A$1:A1)+1,0)</f>
        <v>1</v>
      </c>
      <c r="B2" s="11" t="s">
        <v>4068</v>
      </c>
      <c r="D2" t="str">
        <f>IFERROR(VLOOKUP(ROWS($D$2:D2),A2:B1220,2,0),"")</f>
        <v>Aalborg AMBA AAL</v>
      </c>
      <c r="E2" t="str">
        <f ca="1">OFFSET(Cities!$D$2,,,COUNTIF($D$2:$D$1220,"?*"))</f>
        <v>Aalborg AMBA AAL</v>
      </c>
      <c r="F2">
        <f>IF(ISNUMBER(SEARCH(Request!$N$19,G2)),MAX(F$1:$F1)+1,0)</f>
        <v>1</v>
      </c>
      <c r="G2" s="11" t="s">
        <v>4068</v>
      </c>
      <c r="H2" t="str">
        <f>IFERROR(VLOOKUP(ROWS($H$2:H2),F2:G1220,2,0),"")</f>
        <v>Aalborg AMBA AAL</v>
      </c>
      <c r="I2" t="str">
        <f ca="1">OFFSET(Cities!$H$2,,,COUNTIF($H$2:$H$1220,"?*"))</f>
        <v>Aalborg AMBA AAL</v>
      </c>
    </row>
    <row r="3" spans="1:9" x14ac:dyDescent="0.25">
      <c r="A3">
        <f>IF(ISNUMBER(SEARCH(Request!$I$19,B3)),MAX($A$1:A2)+1,0)</f>
        <v>2</v>
      </c>
      <c r="B3" s="11" t="s">
        <v>4069</v>
      </c>
      <c r="D3" t="str">
        <f>IFERROR(VLOOKUP(ROWS($D$2:D3),A3:B1221,2,0),"")</f>
        <v>Aarhus AAR</v>
      </c>
      <c r="F3">
        <f>IF(ISNUMBER(SEARCH(Request!$N$19,G3)),MAX(F$1:$F2)+1,0)</f>
        <v>2</v>
      </c>
      <c r="G3" s="11" t="s">
        <v>4069</v>
      </c>
      <c r="H3" t="str">
        <f>IFERROR(VLOOKUP(ROWS($H$2:H3),F3:G1221,2,0),"")</f>
        <v>Aarhus AAR</v>
      </c>
    </row>
    <row r="4" spans="1:9" x14ac:dyDescent="0.25">
      <c r="A4">
        <f>IF(ISNUMBER(SEARCH(Request!$I$19,B4)),MAX($A$1:A3)+1,0)</f>
        <v>3</v>
      </c>
      <c r="B4" s="11" t="s">
        <v>4070</v>
      </c>
      <c r="D4" t="str">
        <f>IFERROR(VLOOKUP(ROWS($D$2:D4),A4:B1222,2,0),"")</f>
        <v>Aberdeen Ltd ABZ</v>
      </c>
      <c r="F4">
        <f>IF(ISNUMBER(SEARCH(Request!$N$19,G4)),MAX(F$1:$F3)+1,0)</f>
        <v>3</v>
      </c>
      <c r="G4" s="11" t="s">
        <v>4070</v>
      </c>
      <c r="H4" t="str">
        <f>IFERROR(VLOOKUP(ROWS($H$2:H4),F4:G1222,2,0),"")</f>
        <v>Aberdeen Ltd ABZ</v>
      </c>
    </row>
    <row r="5" spans="1:9" x14ac:dyDescent="0.25">
      <c r="A5">
        <f>IF(ISNUMBER(SEARCH(Request!$I$19,B5)),MAX($A$1:A4)+1,0)</f>
        <v>4</v>
      </c>
      <c r="B5" s="11" t="s">
        <v>4071</v>
      </c>
      <c r="D5" t="str">
        <f>IFERROR(VLOOKUP(ROWS($D$2:D5),A5:B1223,2,0),"")</f>
        <v>Abu Dhabi AUH</v>
      </c>
      <c r="F5">
        <f>IF(ISNUMBER(SEARCH(Request!$N$19,G5)),MAX(F$1:$F4)+1,0)</f>
        <v>4</v>
      </c>
      <c r="G5" s="11" t="s">
        <v>4071</v>
      </c>
      <c r="H5" t="str">
        <f>IFERROR(VLOOKUP(ROWS($H$2:H5),F5:G1223,2,0),"")</f>
        <v>Abu Dhabi AUH</v>
      </c>
    </row>
    <row r="6" spans="1:9" x14ac:dyDescent="0.25">
      <c r="A6">
        <f>IF(ISNUMBER(SEARCH(Request!$I$19,B6)),MAX($A$1:A5)+1,0)</f>
        <v>5</v>
      </c>
      <c r="B6" s="11" t="s">
        <v>4072</v>
      </c>
      <c r="D6" t="str">
        <f>IFERROR(VLOOKUP(ROWS($D$2:D6),A6:B1224,2,0),"")</f>
        <v>Acapulco ACA</v>
      </c>
      <c r="F6">
        <f>IF(ISNUMBER(SEARCH(Request!$N$19,G6)),MAX(F$1:$F5)+1,0)</f>
        <v>5</v>
      </c>
      <c r="G6" s="11" t="s">
        <v>4072</v>
      </c>
      <c r="H6" t="str">
        <f>IFERROR(VLOOKUP(ROWS($H$2:H6),F6:G1224,2,0),"")</f>
        <v>Acapulco ACA</v>
      </c>
    </row>
    <row r="7" spans="1:9" x14ac:dyDescent="0.25">
      <c r="A7">
        <f>IF(ISNUMBER(SEARCH(Request!$I$19,B7)),MAX($A$1:A6)+1,0)</f>
        <v>6</v>
      </c>
      <c r="B7" s="11" t="s">
        <v>4073</v>
      </c>
      <c r="D7" t="str">
        <f>IFERROR(VLOOKUP(ROWS($D$2:D7),A7:B1225,2,0),"")</f>
        <v>Adana-Sakirpasa ADA</v>
      </c>
      <c r="F7">
        <f>IF(ISNUMBER(SEARCH(Request!$N$19,G7)),MAX(F$1:$F6)+1,0)</f>
        <v>6</v>
      </c>
      <c r="G7" s="11" t="s">
        <v>4073</v>
      </c>
      <c r="H7" t="str">
        <f>IFERROR(VLOOKUP(ROWS($H$2:H7),F7:G1225,2,0),"")</f>
        <v>Adana-Sakirpasa ADA</v>
      </c>
    </row>
    <row r="8" spans="1:9" x14ac:dyDescent="0.25">
      <c r="A8">
        <f>IF(ISNUMBER(SEARCH(Request!$I$19,B8)),MAX($A$1:A7)+1,0)</f>
        <v>7</v>
      </c>
      <c r="B8" s="11" t="s">
        <v>4074</v>
      </c>
      <c r="D8" t="str">
        <f>IFERROR(VLOOKUP(ROWS($D$2:D8),A8:B1226,2,0),"")</f>
        <v>Addis Ababa-Bole ADD</v>
      </c>
      <c r="F8">
        <f>IF(ISNUMBER(SEARCH(Request!$N$19,G8)),MAX(F$1:$F7)+1,0)</f>
        <v>7</v>
      </c>
      <c r="G8" s="11" t="s">
        <v>4074</v>
      </c>
      <c r="H8" t="str">
        <f>IFERROR(VLOOKUP(ROWS($H$2:H8),F8:G1226,2,0),"")</f>
        <v>Addis Ababa-Bole ADD</v>
      </c>
    </row>
    <row r="9" spans="1:9" x14ac:dyDescent="0.25">
      <c r="A9">
        <f>IF(ISNUMBER(SEARCH(Request!$I$19,B9)),MAX($A$1:A8)+1,0)</f>
        <v>8</v>
      </c>
      <c r="B9" s="11" t="s">
        <v>4075</v>
      </c>
      <c r="D9" t="str">
        <f>IFERROR(VLOOKUP(ROWS($D$2:D9),A9:B1227,2,0),"")</f>
        <v>Adelaide ADL</v>
      </c>
      <c r="F9">
        <f>IF(ISNUMBER(SEARCH(Request!$N$19,G9)),MAX(F$1:$F8)+1,0)</f>
        <v>8</v>
      </c>
      <c r="G9" s="11" t="s">
        <v>4075</v>
      </c>
      <c r="H9" t="str">
        <f>IFERROR(VLOOKUP(ROWS($H$2:H9),F9:G1227,2,0),"")</f>
        <v>Adelaide ADL</v>
      </c>
    </row>
    <row r="10" spans="1:9" x14ac:dyDescent="0.25">
      <c r="A10">
        <f>IF(ISNUMBER(SEARCH(Request!$I$19,B10)),MAX($A$1:A9)+1,0)</f>
        <v>9</v>
      </c>
      <c r="B10" s="11" t="s">
        <v>4076</v>
      </c>
      <c r="D10" t="str">
        <f>IFERROR(VLOOKUP(ROWS($D$2:D10),A10:B1228,2,0),"")</f>
        <v>Aden ADE</v>
      </c>
      <c r="F10">
        <f>IF(ISNUMBER(SEARCH(Request!$N$19,G10)),MAX(F$1:$F9)+1,0)</f>
        <v>9</v>
      </c>
      <c r="G10" s="11" t="s">
        <v>4076</v>
      </c>
      <c r="H10" t="str">
        <f>IFERROR(VLOOKUP(ROWS($H$2:H10),F10:G1228,2,0),"")</f>
        <v>Aden ADE</v>
      </c>
    </row>
    <row r="11" spans="1:9" x14ac:dyDescent="0.25">
      <c r="A11">
        <f>IF(ISNUMBER(SEARCH(Request!$I$19,B11)),MAX($A$1:A10)+1,0)</f>
        <v>10</v>
      </c>
      <c r="B11" s="11" t="s">
        <v>4077</v>
      </c>
      <c r="D11" t="str">
        <f>IFERROR(VLOOKUP(ROWS($D$2:D11),A11:B1229,2,0),"")</f>
        <v>Aerodrom Portoroz doo POW</v>
      </c>
      <c r="F11">
        <f>IF(ISNUMBER(SEARCH(Request!$N$19,G11)),MAX(F$1:$F10)+1,0)</f>
        <v>10</v>
      </c>
      <c r="G11" s="11" t="s">
        <v>4077</v>
      </c>
      <c r="H11" t="str">
        <f>IFERROR(VLOOKUP(ROWS($H$2:H11),F11:G1229,2,0),"")</f>
        <v>Aerodrom Portoroz doo POW</v>
      </c>
    </row>
    <row r="12" spans="1:9" x14ac:dyDescent="0.25">
      <c r="A12">
        <f>IF(ISNUMBER(SEARCH(Request!$I$19,B12)),MAX($A$1:A11)+1,0)</f>
        <v>11</v>
      </c>
      <c r="B12" s="11" t="s">
        <v>4078</v>
      </c>
      <c r="D12" t="str">
        <f>IFERROR(VLOOKUP(ROWS($D$2:D12),A12:B1230,2,0),"")</f>
        <v>Agadir – Al Massira AGA</v>
      </c>
      <c r="F12">
        <f>IF(ISNUMBER(SEARCH(Request!$N$19,G12)),MAX(F$1:$F11)+1,0)</f>
        <v>11</v>
      </c>
      <c r="G12" s="11" t="s">
        <v>4078</v>
      </c>
      <c r="H12" t="str">
        <f>IFERROR(VLOOKUP(ROWS($H$2:H12),F12:G1230,2,0),"")</f>
        <v>Agadir – Al Massira AGA</v>
      </c>
    </row>
    <row r="13" spans="1:9" x14ac:dyDescent="0.25">
      <c r="A13">
        <f>IF(ISNUMBER(SEARCH(Request!$I$19,B13)),MAX($A$1:A12)+1,0)</f>
        <v>12</v>
      </c>
      <c r="B13" s="11" t="s">
        <v>4079</v>
      </c>
      <c r="D13" t="str">
        <f>IFERROR(VLOOKUP(ROWS($D$2:D13),A13:B1231,2,0),"")</f>
        <v>Agen – La Garenne AGF</v>
      </c>
      <c r="F13">
        <f>IF(ISNUMBER(SEARCH(Request!$N$19,G13)),MAX(F$1:$F12)+1,0)</f>
        <v>12</v>
      </c>
      <c r="G13" s="11" t="s">
        <v>4079</v>
      </c>
      <c r="H13" t="str">
        <f>IFERROR(VLOOKUP(ROWS($H$2:H13),F13:G1231,2,0),"")</f>
        <v>Agen – La Garenne AGF</v>
      </c>
    </row>
    <row r="14" spans="1:9" x14ac:dyDescent="0.25">
      <c r="A14">
        <f>IF(ISNUMBER(SEARCH(Request!$I$19,B14)),MAX($A$1:A13)+1,0)</f>
        <v>13</v>
      </c>
      <c r="B14" s="11" t="s">
        <v>4080</v>
      </c>
      <c r="D14" t="str">
        <f>IFERROR(VLOOKUP(ROWS($D$2:D14),A14:B1232,2,0),"")</f>
        <v>Agra AGR</v>
      </c>
      <c r="F14">
        <f>IF(ISNUMBER(SEARCH(Request!$N$19,G14)),MAX(F$1:$F13)+1,0)</f>
        <v>13</v>
      </c>
      <c r="G14" s="11" t="s">
        <v>4080</v>
      </c>
      <c r="H14" t="str">
        <f>IFERROR(VLOOKUP(ROWS($H$2:H14),F14:G1232,2,0),"")</f>
        <v>Agra AGR</v>
      </c>
    </row>
    <row r="15" spans="1:9" x14ac:dyDescent="0.25">
      <c r="A15">
        <f>IF(ISNUMBER(SEARCH(Request!$I$19,B15)),MAX($A$1:A14)+1,0)</f>
        <v>14</v>
      </c>
      <c r="B15" s="11" t="s">
        <v>4081</v>
      </c>
      <c r="D15" t="str">
        <f>IFERROR(VLOOKUP(ROWS($D$2:D15),A15:B1233,2,0),"")</f>
        <v>Ahmedabad – Sardar Vallabh Bhai Patel Int´l AMD</v>
      </c>
      <c r="F15">
        <f>IF(ISNUMBER(SEARCH(Request!$N$19,G15)),MAX(F$1:$F14)+1,0)</f>
        <v>14</v>
      </c>
      <c r="G15" s="11" t="s">
        <v>4081</v>
      </c>
      <c r="H15" t="str">
        <f>IFERROR(VLOOKUP(ROWS($H$2:H15),F15:G1233,2,0),"")</f>
        <v>Ahmedabad – Sardar Vallabh Bhai Patel Int´l AMD</v>
      </c>
    </row>
    <row r="16" spans="1:9" x14ac:dyDescent="0.25">
      <c r="A16">
        <f>IF(ISNUMBER(SEARCH(Request!$I$19,B16)),MAX($A$1:A15)+1,0)</f>
        <v>15</v>
      </c>
      <c r="B16" s="11" t="s">
        <v>4082</v>
      </c>
      <c r="D16" t="str">
        <f>IFERROR(VLOOKUP(ROWS($D$2:D16),A16:B1234,2,0),"")</f>
        <v>Ajaccio – Campo Dell´Oro AJA</v>
      </c>
      <c r="F16">
        <f>IF(ISNUMBER(SEARCH(Request!$N$19,G16)),MAX(F$1:$F15)+1,0)</f>
        <v>15</v>
      </c>
      <c r="G16" s="11" t="s">
        <v>4082</v>
      </c>
      <c r="H16" t="str">
        <f>IFERROR(VLOOKUP(ROWS($H$2:H16),F16:G1234,2,0),"")</f>
        <v>Ajaccio – Campo Dell´Oro AJA</v>
      </c>
    </row>
    <row r="17" spans="1:8" x14ac:dyDescent="0.25">
      <c r="A17">
        <f>IF(ISNUMBER(SEARCH(Request!$I$19,B17)),MAX($A$1:A16)+1,0)</f>
        <v>16</v>
      </c>
      <c r="B17" s="11" t="s">
        <v>4083</v>
      </c>
      <c r="D17" t="str">
        <f>IFERROR(VLOOKUP(ROWS($D$2:D17),A17:B1235,2,0),"")</f>
        <v>Akron-Canton Regional CAK</v>
      </c>
      <c r="F17">
        <f>IF(ISNUMBER(SEARCH(Request!$N$19,G17)),MAX(F$1:$F16)+1,0)</f>
        <v>16</v>
      </c>
      <c r="G17" s="11" t="s">
        <v>4083</v>
      </c>
      <c r="H17" t="str">
        <f>IFERROR(VLOOKUP(ROWS($H$2:H17),F17:G1235,2,0),"")</f>
        <v>Akron-Canton Regional CAK</v>
      </c>
    </row>
    <row r="18" spans="1:8" x14ac:dyDescent="0.25">
      <c r="A18">
        <f>IF(ISNUMBER(SEARCH(Request!$I$19,B18)),MAX($A$1:A17)+1,0)</f>
        <v>17</v>
      </c>
      <c r="B18" s="11" t="s">
        <v>4084</v>
      </c>
      <c r="D18" t="str">
        <f>IFERROR(VLOOKUP(ROWS($D$2:D18),A18:B1236,2,0),"")</f>
        <v>Alamosa-Bergman-San Luis Valley Regional Airfield ALS</v>
      </c>
      <c r="F18">
        <f>IF(ISNUMBER(SEARCH(Request!$N$19,G18)),MAX(F$1:$F17)+1,0)</f>
        <v>17</v>
      </c>
      <c r="G18" s="11" t="s">
        <v>4084</v>
      </c>
      <c r="H18" t="str">
        <f>IFERROR(VLOOKUP(ROWS($H$2:H18),F18:G1236,2,0),"")</f>
        <v>Alamosa-Bergman-San Luis Valley Regional Airfield ALS</v>
      </c>
    </row>
    <row r="19" spans="1:8" x14ac:dyDescent="0.25">
      <c r="A19">
        <f>IF(ISNUMBER(SEARCH(Request!$I$19,B19)),MAX($A$1:A18)+1,0)</f>
        <v>18</v>
      </c>
      <c r="B19" s="11" t="s">
        <v>4085</v>
      </c>
      <c r="D19" t="str">
        <f>IFERROR(VLOOKUP(ROWS($D$2:D19),A19:B1237,2,0),"")</f>
        <v>Albany ALB</v>
      </c>
      <c r="F19">
        <f>IF(ISNUMBER(SEARCH(Request!$N$19,G19)),MAX(F$1:$F18)+1,0)</f>
        <v>18</v>
      </c>
      <c r="G19" s="11" t="s">
        <v>4085</v>
      </c>
      <c r="H19" t="str">
        <f>IFERROR(VLOOKUP(ROWS($H$2:H19),F19:G1237,2,0),"")</f>
        <v>Albany ALB</v>
      </c>
    </row>
    <row r="20" spans="1:8" x14ac:dyDescent="0.25">
      <c r="A20">
        <f>IF(ISNUMBER(SEARCH(Request!$I$19,B20)),MAX($A$1:A19)+1,0)</f>
        <v>19</v>
      </c>
      <c r="B20" s="11" t="s">
        <v>4086</v>
      </c>
      <c r="D20" t="str">
        <f>IFERROR(VLOOKUP(ROWS($D$2:D20),A20:B1238,2,0),"")</f>
        <v>Albi – Le Sequestre LBI</v>
      </c>
      <c r="F20">
        <f>IF(ISNUMBER(SEARCH(Request!$N$19,G20)),MAX(F$1:$F19)+1,0)</f>
        <v>19</v>
      </c>
      <c r="G20" s="11" t="s">
        <v>4086</v>
      </c>
      <c r="H20" t="str">
        <f>IFERROR(VLOOKUP(ROWS($H$2:H20),F20:G1238,2,0),"")</f>
        <v>Albi – Le Sequestre LBI</v>
      </c>
    </row>
    <row r="21" spans="1:8" x14ac:dyDescent="0.25">
      <c r="A21">
        <f>IF(ISNUMBER(SEARCH(Request!$I$19,B21)),MAX($A$1:A20)+1,0)</f>
        <v>20</v>
      </c>
      <c r="B21" s="11" t="s">
        <v>4087</v>
      </c>
      <c r="D21" t="str">
        <f>IFERROR(VLOOKUP(ROWS($D$2:D21),A21:B1239,2,0),"")</f>
        <v>Albuquerque ABQ</v>
      </c>
      <c r="F21">
        <f>IF(ISNUMBER(SEARCH(Request!$N$19,G21)),MAX(F$1:$F20)+1,0)</f>
        <v>20</v>
      </c>
      <c r="G21" s="11" t="s">
        <v>4087</v>
      </c>
      <c r="H21" t="str">
        <f>IFERROR(VLOOKUP(ROWS($H$2:H21),F21:G1239,2,0),"")</f>
        <v>Albuquerque ABQ</v>
      </c>
    </row>
    <row r="22" spans="1:8" x14ac:dyDescent="0.25">
      <c r="A22">
        <f>IF(ISNUMBER(SEARCH(Request!$I$19,B22)),MAX($A$1:A21)+1,0)</f>
        <v>21</v>
      </c>
      <c r="B22" s="11" t="s">
        <v>4088</v>
      </c>
      <c r="D22" t="str">
        <f>IFERROR(VLOOKUP(ROWS($D$2:D22),A22:B1240,2,0),"")</f>
        <v>Alderney ACI</v>
      </c>
      <c r="F22">
        <f>IF(ISNUMBER(SEARCH(Request!$N$19,G22)),MAX(F$1:$F21)+1,0)</f>
        <v>21</v>
      </c>
      <c r="G22" s="11" t="s">
        <v>4088</v>
      </c>
      <c r="H22" t="str">
        <f>IFERROR(VLOOKUP(ROWS($H$2:H22),F22:G1240,2,0),"")</f>
        <v>Alderney ACI</v>
      </c>
    </row>
    <row r="23" spans="1:8" x14ac:dyDescent="0.25">
      <c r="A23">
        <f>IF(ISNUMBER(SEARCH(Request!$I$19,B23)),MAX($A$1:A22)+1,0)</f>
        <v>22</v>
      </c>
      <c r="B23" s="11" t="s">
        <v>4089</v>
      </c>
      <c r="D23" t="str">
        <f>IFERROR(VLOOKUP(ROWS($D$2:D23),A23:B1241,2,0),"")</f>
        <v>Aleppo ALP</v>
      </c>
      <c r="F23">
        <f>IF(ISNUMBER(SEARCH(Request!$N$19,G23)),MAX(F$1:$F22)+1,0)</f>
        <v>22</v>
      </c>
      <c r="G23" s="11" t="s">
        <v>4089</v>
      </c>
      <c r="H23" t="str">
        <f>IFERROR(VLOOKUP(ROWS($H$2:H23),F23:G1241,2,0),"")</f>
        <v>Aleppo ALP</v>
      </c>
    </row>
    <row r="24" spans="1:8" x14ac:dyDescent="0.25">
      <c r="A24">
        <f>IF(ISNUMBER(SEARCH(Request!$I$19,B24)),MAX($A$1:A23)+1,0)</f>
        <v>23</v>
      </c>
      <c r="B24" s="11" t="s">
        <v>4090</v>
      </c>
      <c r="D24" t="str">
        <f>IFERROR(VLOOKUP(ROWS($D$2:D24),A24:B1242,2,0),"")</f>
        <v>Alesund-Vigra AES</v>
      </c>
      <c r="F24">
        <f>IF(ISNUMBER(SEARCH(Request!$N$19,G24)),MAX(F$1:$F23)+1,0)</f>
        <v>23</v>
      </c>
      <c r="G24" s="11" t="s">
        <v>4090</v>
      </c>
      <c r="H24" t="str">
        <f>IFERROR(VLOOKUP(ROWS($H$2:H24),F24:G1242,2,0),"")</f>
        <v>Alesund-Vigra AES</v>
      </c>
    </row>
    <row r="25" spans="1:8" x14ac:dyDescent="0.25">
      <c r="A25">
        <f>IF(ISNUMBER(SEARCH(Request!$I$19,B25)),MAX($A$1:A24)+1,0)</f>
        <v>24</v>
      </c>
      <c r="B25" s="11" t="s">
        <v>4092</v>
      </c>
      <c r="D25" t="str">
        <f>IFERROR(VLOOKUP(ROWS($D$2:D25),A25:B1243,2,0),"")</f>
        <v>Alexandria – El Nhouza ALY</v>
      </c>
      <c r="F25">
        <f>IF(ISNUMBER(SEARCH(Request!$N$19,G25)),MAX(F$1:$F24)+1,0)</f>
        <v>24</v>
      </c>
      <c r="G25" s="11" t="s">
        <v>4092</v>
      </c>
      <c r="H25" t="str">
        <f>IFERROR(VLOOKUP(ROWS($H$2:H25),F25:G1243,2,0),"")</f>
        <v>Alexandria – El Nhouza ALY</v>
      </c>
    </row>
    <row r="26" spans="1:8" x14ac:dyDescent="0.25">
      <c r="A26">
        <f>IF(ISNUMBER(SEARCH(Request!$I$19,B26)),MAX($A$1:A25)+1,0)</f>
        <v>25</v>
      </c>
      <c r="B26" s="11" t="s">
        <v>4091</v>
      </c>
      <c r="D26" t="str">
        <f>IFERROR(VLOOKUP(ROWS($D$2:D26),A26:B1244,2,0),"")</f>
        <v>Alexandria ESF</v>
      </c>
      <c r="F26">
        <f>IF(ISNUMBER(SEARCH(Request!$N$19,G26)),MAX(F$1:$F25)+1,0)</f>
        <v>25</v>
      </c>
      <c r="G26" s="11" t="s">
        <v>4091</v>
      </c>
      <c r="H26" t="str">
        <f>IFERROR(VLOOKUP(ROWS($H$2:H26),F26:G1244,2,0),"")</f>
        <v>Alexandria ESF</v>
      </c>
    </row>
    <row r="27" spans="1:8" x14ac:dyDescent="0.25">
      <c r="A27">
        <f>IF(ISNUMBER(SEARCH(Request!$I$19,B27)),MAX($A$1:A26)+1,0)</f>
        <v>26</v>
      </c>
      <c r="B27" s="11" t="s">
        <v>4093</v>
      </c>
      <c r="D27" t="str">
        <f>IFERROR(VLOOKUP(ROWS($D$2:D27),A27:B1245,2,0),"")</f>
        <v>Alexandroupolis National AXD</v>
      </c>
      <c r="F27">
        <f>IF(ISNUMBER(SEARCH(Request!$N$19,G27)),MAX(F$1:$F26)+1,0)</f>
        <v>26</v>
      </c>
      <c r="G27" s="11" t="s">
        <v>4093</v>
      </c>
      <c r="H27" t="str">
        <f>IFERROR(VLOOKUP(ROWS($H$2:H27),F27:G1245,2,0),"")</f>
        <v>Alexandroupolis National AXD</v>
      </c>
    </row>
    <row r="28" spans="1:8" x14ac:dyDescent="0.25">
      <c r="A28">
        <f>IF(ISNUMBER(SEARCH(Request!$I$19,B28)),MAX($A$1:A27)+1,0)</f>
        <v>27</v>
      </c>
      <c r="B28" s="11" t="s">
        <v>4094</v>
      </c>
      <c r="D28" t="str">
        <f>IFERROR(VLOOKUP(ROWS($D$2:D28),A28:B1246,2,0),"")</f>
        <v>Alghero-Fertilia AHO</v>
      </c>
      <c r="F28">
        <f>IF(ISNUMBER(SEARCH(Request!$N$19,G28)),MAX(F$1:$F27)+1,0)</f>
        <v>27</v>
      </c>
      <c r="G28" s="11" t="s">
        <v>4094</v>
      </c>
      <c r="H28" t="str">
        <f>IFERROR(VLOOKUP(ROWS($H$2:H28),F28:G1246,2,0),"")</f>
        <v>Alghero-Fertilia AHO</v>
      </c>
    </row>
    <row r="29" spans="1:8" x14ac:dyDescent="0.25">
      <c r="A29">
        <f>IF(ISNUMBER(SEARCH(Request!$I$19,B29)),MAX($A$1:A28)+1,0)</f>
        <v>28</v>
      </c>
      <c r="B29" s="11" t="s">
        <v>4095</v>
      </c>
      <c r="D29" t="str">
        <f>IFERROR(VLOOKUP(ROWS($D$2:D29),A29:B1247,2,0),"")</f>
        <v>Algiers-Houari Boumedienne ALG</v>
      </c>
      <c r="F29">
        <f>IF(ISNUMBER(SEARCH(Request!$N$19,G29)),MAX(F$1:$F28)+1,0)</f>
        <v>28</v>
      </c>
      <c r="G29" s="11" t="s">
        <v>4095</v>
      </c>
      <c r="H29" t="str">
        <f>IFERROR(VLOOKUP(ROWS($H$2:H29),F29:G1247,2,0),"")</f>
        <v>Algiers-Houari Boumedienne ALG</v>
      </c>
    </row>
    <row r="30" spans="1:8" x14ac:dyDescent="0.25">
      <c r="A30">
        <f>IF(ISNUMBER(SEARCH(Request!$I$19,B30)),MAX($A$1:A29)+1,0)</f>
        <v>29</v>
      </c>
      <c r="B30" s="11" t="s">
        <v>4096</v>
      </c>
      <c r="D30" t="str">
        <f>IFERROR(VLOOKUP(ROWS($D$2:D30),A30:B1248,2,0),"")</f>
        <v>Alicante ALC</v>
      </c>
      <c r="F30">
        <f>IF(ISNUMBER(SEARCH(Request!$N$19,G30)),MAX(F$1:$F29)+1,0)</f>
        <v>29</v>
      </c>
      <c r="G30" s="11" t="s">
        <v>4096</v>
      </c>
      <c r="H30" t="str">
        <f>IFERROR(VLOOKUP(ROWS($H$2:H30),F30:G1248,2,0),"")</f>
        <v>Alicante ALC</v>
      </c>
    </row>
    <row r="31" spans="1:8" x14ac:dyDescent="0.25">
      <c r="A31">
        <f>IF(ISNUMBER(SEARCH(Request!$I$19,B31)),MAX($A$1:A30)+1,0)</f>
        <v>30</v>
      </c>
      <c r="B31" s="11" t="s">
        <v>4097</v>
      </c>
      <c r="D31" t="str">
        <f>IFERROR(VLOOKUP(ROWS($D$2:D31),A31:B1249,2,0),"")</f>
        <v>Alice Springs ASP</v>
      </c>
      <c r="F31">
        <f>IF(ISNUMBER(SEARCH(Request!$N$19,G31)),MAX(F$1:$F30)+1,0)</f>
        <v>30</v>
      </c>
      <c r="G31" s="11" t="s">
        <v>4097</v>
      </c>
      <c r="H31" t="str">
        <f>IFERROR(VLOOKUP(ROWS($H$2:H31),F31:G1249,2,0),"")</f>
        <v>Alice Springs ASP</v>
      </c>
    </row>
    <row r="32" spans="1:8" x14ac:dyDescent="0.25">
      <c r="A32">
        <f>IF(ISNUMBER(SEARCH(Request!$I$19,B32)),MAX($A$1:A31)+1,0)</f>
        <v>31</v>
      </c>
      <c r="B32" s="11" t="s">
        <v>4098</v>
      </c>
      <c r="D32" t="str">
        <f>IFERROR(VLOOKUP(ROWS($D$2:D32),A32:B1250,2,0),"")</f>
        <v>Almaty Int´l ALA</v>
      </c>
      <c r="F32">
        <f>IF(ISNUMBER(SEARCH(Request!$N$19,G32)),MAX(F$1:$F31)+1,0)</f>
        <v>31</v>
      </c>
      <c r="G32" s="11" t="s">
        <v>4098</v>
      </c>
      <c r="H32" t="str">
        <f>IFERROR(VLOOKUP(ROWS($H$2:H32),F32:G1250,2,0),"")</f>
        <v>Almaty Int´l ALA</v>
      </c>
    </row>
    <row r="33" spans="1:8" x14ac:dyDescent="0.25">
      <c r="A33">
        <f>IF(ISNUMBER(SEARCH(Request!$I$19,B33)),MAX($A$1:A32)+1,0)</f>
        <v>32</v>
      </c>
      <c r="B33" s="11" t="s">
        <v>4099</v>
      </c>
      <c r="D33" t="str">
        <f>IFERROR(VLOOKUP(ROWS($D$2:D33),A33:B1251,2,0),"")</f>
        <v>Almeria LEI</v>
      </c>
      <c r="F33">
        <f>IF(ISNUMBER(SEARCH(Request!$N$19,G33)),MAX(F$1:$F32)+1,0)</f>
        <v>32</v>
      </c>
      <c r="G33" s="11" t="s">
        <v>4099</v>
      </c>
      <c r="H33" t="str">
        <f>IFERROR(VLOOKUP(ROWS($H$2:H33),F33:G1251,2,0),"")</f>
        <v>Almeria LEI</v>
      </c>
    </row>
    <row r="34" spans="1:8" x14ac:dyDescent="0.25">
      <c r="A34">
        <f>IF(ISNUMBER(SEARCH(Request!$I$19,B34)),MAX($A$1:A33)+1,0)</f>
        <v>33</v>
      </c>
      <c r="B34" s="11" t="s">
        <v>4100</v>
      </c>
      <c r="D34" t="str">
        <f>IFERROR(VLOOKUP(ROWS($D$2:D34),A34:B1252,2,0),"")</f>
        <v>Alor Setar – Sultan Abdul Halim AOR</v>
      </c>
      <c r="F34">
        <f>IF(ISNUMBER(SEARCH(Request!$N$19,G34)),MAX(F$1:$F33)+1,0)</f>
        <v>33</v>
      </c>
      <c r="G34" s="11" t="s">
        <v>4100</v>
      </c>
      <c r="H34" t="str">
        <f>IFERROR(VLOOKUP(ROWS($H$2:H34),F34:G1252,2,0),"")</f>
        <v>Alor Setar – Sultan Abdul Halim AOR</v>
      </c>
    </row>
    <row r="35" spans="1:8" x14ac:dyDescent="0.25">
      <c r="A35">
        <f>IF(ISNUMBER(SEARCH(Request!$I$19,B35)),MAX($A$1:A34)+1,0)</f>
        <v>34</v>
      </c>
      <c r="B35" s="11" t="s">
        <v>4101</v>
      </c>
      <c r="D35" t="str">
        <f>IFERROR(VLOOKUP(ROWS($D$2:D35),A35:B1253,2,0),"")</f>
        <v>Altenrhein ACH</v>
      </c>
      <c r="F35">
        <f>IF(ISNUMBER(SEARCH(Request!$N$19,G35)),MAX(F$1:$F34)+1,0)</f>
        <v>34</v>
      </c>
      <c r="G35" s="11" t="s">
        <v>4101</v>
      </c>
      <c r="H35" t="str">
        <f>IFERROR(VLOOKUP(ROWS($H$2:H35),F35:G1253,2,0),"")</f>
        <v>Altenrhein ACH</v>
      </c>
    </row>
    <row r="36" spans="1:8" x14ac:dyDescent="0.25">
      <c r="A36">
        <f>IF(ISNUMBER(SEARCH(Request!$I$19,B36)),MAX($A$1:A35)+1,0)</f>
        <v>35</v>
      </c>
      <c r="B36" s="11" t="s">
        <v>4102</v>
      </c>
      <c r="D36" t="str">
        <f>IFERROR(VLOOKUP(ROWS($D$2:D36),A36:B1254,2,0),"")</f>
        <v>Amarillo – Rick Husband AMA</v>
      </c>
      <c r="F36">
        <f>IF(ISNUMBER(SEARCH(Request!$N$19,G36)),MAX(F$1:$F35)+1,0)</f>
        <v>35</v>
      </c>
      <c r="G36" s="11" t="s">
        <v>4102</v>
      </c>
      <c r="H36" t="str">
        <f>IFERROR(VLOOKUP(ROWS($H$2:H36),F36:G1254,2,0),"")</f>
        <v>Amarillo – Rick Husband AMA</v>
      </c>
    </row>
    <row r="37" spans="1:8" x14ac:dyDescent="0.25">
      <c r="A37">
        <f>IF(ISNUMBER(SEARCH(Request!$I$19,B37)),MAX($A$1:A36)+1,0)</f>
        <v>36</v>
      </c>
      <c r="B37" s="11" t="s">
        <v>4103</v>
      </c>
      <c r="D37" t="str">
        <f>IFERROR(VLOOKUP(ROWS($D$2:D37),A37:B1255,2,0),"")</f>
        <v>Amilcar Cabral SID</v>
      </c>
      <c r="F37">
        <f>IF(ISNUMBER(SEARCH(Request!$N$19,G37)),MAX(F$1:$F36)+1,0)</f>
        <v>36</v>
      </c>
      <c r="G37" s="11" t="s">
        <v>4103</v>
      </c>
      <c r="H37" t="str">
        <f>IFERROR(VLOOKUP(ROWS($H$2:H37),F37:G1255,2,0),"")</f>
        <v>Amilcar Cabral SID</v>
      </c>
    </row>
    <row r="38" spans="1:8" x14ac:dyDescent="0.25">
      <c r="A38">
        <f>IF(ISNUMBER(SEARCH(Request!$I$19,B38)),MAX($A$1:A37)+1,0)</f>
        <v>37</v>
      </c>
      <c r="B38" s="11" t="s">
        <v>4104</v>
      </c>
      <c r="D38" t="str">
        <f>IFERROR(VLOOKUP(ROWS($D$2:D38),A38:B1256,2,0),"")</f>
        <v>Amman-Queen Alia AMM</v>
      </c>
      <c r="F38">
        <f>IF(ISNUMBER(SEARCH(Request!$N$19,G38)),MAX(F$1:$F37)+1,0)</f>
        <v>37</v>
      </c>
      <c r="G38" s="11" t="s">
        <v>4104</v>
      </c>
      <c r="H38" t="str">
        <f>IFERROR(VLOOKUP(ROWS($H$2:H38),F38:G1256,2,0),"")</f>
        <v>Amman-Queen Alia AMM</v>
      </c>
    </row>
    <row r="39" spans="1:8" x14ac:dyDescent="0.25">
      <c r="A39">
        <f>IF(ISNUMBER(SEARCH(Request!$I$19,B39)),MAX($A$1:A38)+1,0)</f>
        <v>38</v>
      </c>
      <c r="B39" s="11" t="s">
        <v>4105</v>
      </c>
      <c r="D39" t="str">
        <f>IFERROR(VLOOKUP(ROWS($D$2:D39),A39:B1257,2,0),"")</f>
        <v>Amritsar – Raja Sansi ATQ</v>
      </c>
      <c r="F39">
        <f>IF(ISNUMBER(SEARCH(Request!$N$19,G39)),MAX(F$1:$F38)+1,0)</f>
        <v>38</v>
      </c>
      <c r="G39" s="11" t="s">
        <v>4105</v>
      </c>
      <c r="H39" t="str">
        <f>IFERROR(VLOOKUP(ROWS($H$2:H39),F39:G1257,2,0),"")</f>
        <v>Amritsar – Raja Sansi ATQ</v>
      </c>
    </row>
    <row r="40" spans="1:8" x14ac:dyDescent="0.25">
      <c r="A40">
        <f>IF(ISNUMBER(SEARCH(Request!$I$19,B40)),MAX($A$1:A39)+1,0)</f>
        <v>39</v>
      </c>
      <c r="B40" s="11" t="s">
        <v>4106</v>
      </c>
      <c r="D40" t="str">
        <f>IFERROR(VLOOKUP(ROWS($D$2:D40),A40:B1258,2,0),"")</f>
        <v>Amsterdam Schiphol SPL</v>
      </c>
      <c r="F40">
        <f>IF(ISNUMBER(SEARCH(Request!$N$19,G40)),MAX(F$1:$F39)+1,0)</f>
        <v>39</v>
      </c>
      <c r="G40" s="11" t="s">
        <v>4106</v>
      </c>
      <c r="H40" t="str">
        <f>IFERROR(VLOOKUP(ROWS($H$2:H40),F40:G1258,2,0),"")</f>
        <v>Amsterdam Schiphol SPL</v>
      </c>
    </row>
    <row r="41" spans="1:8" x14ac:dyDescent="0.25">
      <c r="A41">
        <f>IF(ISNUMBER(SEARCH(Request!$I$19,B41)),MAX($A$1:A40)+1,0)</f>
        <v>40</v>
      </c>
      <c r="B41" s="11" t="s">
        <v>4107</v>
      </c>
      <c r="D41" t="str">
        <f>IFERROR(VLOOKUP(ROWS($D$2:D41),A41:B1259,2,0),"")</f>
        <v>Anchorage – Ted Stevens ANC</v>
      </c>
      <c r="F41">
        <f>IF(ISNUMBER(SEARCH(Request!$N$19,G41)),MAX(F$1:$F40)+1,0)</f>
        <v>40</v>
      </c>
      <c r="G41" s="11" t="s">
        <v>4107</v>
      </c>
      <c r="H41" t="str">
        <f>IFERROR(VLOOKUP(ROWS($H$2:H41),F41:G1259,2,0),"")</f>
        <v>Anchorage – Ted Stevens ANC</v>
      </c>
    </row>
    <row r="42" spans="1:8" x14ac:dyDescent="0.25">
      <c r="A42">
        <f>IF(ISNUMBER(SEARCH(Request!$I$19,B42)),MAX($A$1:A41)+1,0)</f>
        <v>41</v>
      </c>
      <c r="B42" s="11" t="s">
        <v>4108</v>
      </c>
      <c r="D42" t="str">
        <f>IFERROR(VLOOKUP(ROWS($D$2:D42),A42:B1260,2,0),"")</f>
        <v>Ancona AOI</v>
      </c>
      <c r="F42">
        <f>IF(ISNUMBER(SEARCH(Request!$N$19,G42)),MAX(F$1:$F41)+1,0)</f>
        <v>41</v>
      </c>
      <c r="G42" s="11" t="s">
        <v>4108</v>
      </c>
      <c r="H42" t="str">
        <f>IFERROR(VLOOKUP(ROWS($H$2:H42),F42:G1260,2,0),"")</f>
        <v>Ancona AOI</v>
      </c>
    </row>
    <row r="43" spans="1:8" x14ac:dyDescent="0.25">
      <c r="A43">
        <f>IF(ISNUMBER(SEARCH(Request!$I$19,B43)),MAX($A$1:A42)+1,0)</f>
        <v>42</v>
      </c>
      <c r="B43" s="11" t="s">
        <v>4109</v>
      </c>
      <c r="D43" t="str">
        <f>IFERROR(VLOOKUP(ROWS($D$2:D43),A43:B1261,2,0),"")</f>
        <v>Angoulême – Brie-Champniers ANG</v>
      </c>
      <c r="F43">
        <f>IF(ISNUMBER(SEARCH(Request!$N$19,G43)),MAX(F$1:$F42)+1,0)</f>
        <v>42</v>
      </c>
      <c r="G43" s="11" t="s">
        <v>4109</v>
      </c>
      <c r="H43" t="str">
        <f>IFERROR(VLOOKUP(ROWS($H$2:H43),F43:G1261,2,0),"")</f>
        <v>Angoulême – Brie-Champniers ANG</v>
      </c>
    </row>
    <row r="44" spans="1:8" x14ac:dyDescent="0.25">
      <c r="A44">
        <f>IF(ISNUMBER(SEARCH(Request!$I$19,B44)),MAX($A$1:A43)+1,0)</f>
        <v>43</v>
      </c>
      <c r="B44" s="11" t="s">
        <v>4110</v>
      </c>
      <c r="D44" t="str">
        <f>IFERROR(VLOOKUP(ROWS($D$2:D44),A44:B1262,2,0),"")</f>
        <v>Ankara – Esenboga ESB</v>
      </c>
      <c r="F44">
        <f>IF(ISNUMBER(SEARCH(Request!$N$19,G44)),MAX(F$1:$F43)+1,0)</f>
        <v>43</v>
      </c>
      <c r="G44" s="11" t="s">
        <v>4110</v>
      </c>
      <c r="H44" t="str">
        <f>IFERROR(VLOOKUP(ROWS($H$2:H44),F44:G1262,2,0),"")</f>
        <v>Ankara – Esenboga ESB</v>
      </c>
    </row>
    <row r="45" spans="1:8" x14ac:dyDescent="0.25">
      <c r="A45">
        <f>IF(ISNUMBER(SEARCH(Request!$I$19,B45)),MAX($A$1:A44)+1,0)</f>
        <v>44</v>
      </c>
      <c r="B45" s="11" t="s">
        <v>4111</v>
      </c>
      <c r="D45" t="str">
        <f>IFERROR(VLOOKUP(ROWS($D$2:D45),A45:B1263,2,0),"")</f>
        <v>Annaba-Rabah Bitat AAE</v>
      </c>
      <c r="F45">
        <f>IF(ISNUMBER(SEARCH(Request!$N$19,G45)),MAX(F$1:$F44)+1,0)</f>
        <v>44</v>
      </c>
      <c r="G45" s="11" t="s">
        <v>4111</v>
      </c>
      <c r="H45" t="str">
        <f>IFERROR(VLOOKUP(ROWS($H$2:H45),F45:G1263,2,0),"")</f>
        <v>Annaba-Rabah Bitat AAE</v>
      </c>
    </row>
    <row r="46" spans="1:8" x14ac:dyDescent="0.25">
      <c r="A46">
        <f>IF(ISNUMBER(SEARCH(Request!$I$19,B46)),MAX($A$1:A45)+1,0)</f>
        <v>45</v>
      </c>
      <c r="B46" s="11" t="s">
        <v>4112</v>
      </c>
      <c r="D46" t="str">
        <f>IFERROR(VLOOKUP(ROWS($D$2:D46),A46:B1264,2,0),"")</f>
        <v>Annecy – Haute Savoie NCY</v>
      </c>
      <c r="F46">
        <f>IF(ISNUMBER(SEARCH(Request!$N$19,G46)),MAX(F$1:$F45)+1,0)</f>
        <v>45</v>
      </c>
      <c r="G46" s="11" t="s">
        <v>4112</v>
      </c>
      <c r="H46" t="str">
        <f>IFERROR(VLOOKUP(ROWS($H$2:H46),F46:G1264,2,0),"")</f>
        <v>Annecy – Haute Savoie NCY</v>
      </c>
    </row>
    <row r="47" spans="1:8" x14ac:dyDescent="0.25">
      <c r="A47">
        <f>IF(ISNUMBER(SEARCH(Request!$I$19,B47)),MAX($A$1:A46)+1,0)</f>
        <v>46</v>
      </c>
      <c r="B47" s="11" t="s">
        <v>4114</v>
      </c>
      <c r="D47" t="str">
        <f>IFERROR(VLOOKUP(ROWS($D$2:D47),A47:B1265,2,0),"")</f>
        <v>Antalya AYT</v>
      </c>
      <c r="F47">
        <f>IF(ISNUMBER(SEARCH(Request!$N$19,G47)),MAX(F$1:$F46)+1,0)</f>
        <v>46</v>
      </c>
      <c r="G47" s="11" t="s">
        <v>4114</v>
      </c>
      <c r="H47" t="str">
        <f>IFERROR(VLOOKUP(ROWS($H$2:H47),F47:G1265,2,0),"")</f>
        <v>Antalya AYT</v>
      </c>
    </row>
    <row r="48" spans="1:8" x14ac:dyDescent="0.25">
      <c r="A48">
        <f>IF(ISNUMBER(SEARCH(Request!$I$19,B48)),MAX($A$1:A47)+1,0)</f>
        <v>47</v>
      </c>
      <c r="B48" s="11" t="s">
        <v>4115</v>
      </c>
      <c r="D48" t="str">
        <f>IFERROR(VLOOKUP(ROWS($D$2:D48),A48:B1266,2,0),"")</f>
        <v>Antananarivo-Ivato Aerodrome TNR</v>
      </c>
      <c r="F48">
        <f>IF(ISNUMBER(SEARCH(Request!$N$19,G48)),MAX(F$1:$F47)+1,0)</f>
        <v>47</v>
      </c>
      <c r="G48" s="11" t="s">
        <v>4115</v>
      </c>
      <c r="H48" t="str">
        <f>IFERROR(VLOOKUP(ROWS($H$2:H48),F48:G1266,2,0),"")</f>
        <v>Antananarivo-Ivato Aerodrome TNR</v>
      </c>
    </row>
    <row r="49" spans="1:8" x14ac:dyDescent="0.25">
      <c r="A49">
        <f>IF(ISNUMBER(SEARCH(Request!$I$19,B49)),MAX($A$1:A48)+1,0)</f>
        <v>48</v>
      </c>
      <c r="B49" s="11" t="s">
        <v>4116</v>
      </c>
      <c r="D49" t="str">
        <f>IFERROR(VLOOKUP(ROWS($D$2:D49),A49:B1267,2,0),"")</f>
        <v>Antigua-VC Bird SJF</v>
      </c>
      <c r="F49">
        <f>IF(ISNUMBER(SEARCH(Request!$N$19,G49)),MAX(F$1:$F48)+1,0)</f>
        <v>48</v>
      </c>
      <c r="G49" s="11" t="s">
        <v>4116</v>
      </c>
      <c r="H49" t="str">
        <f>IFERROR(VLOOKUP(ROWS($H$2:H49),F49:G1267,2,0),"")</f>
        <v>Antigua-VC Bird SJF</v>
      </c>
    </row>
    <row r="50" spans="1:8" x14ac:dyDescent="0.25">
      <c r="A50">
        <f>IF(ISNUMBER(SEARCH(Request!$I$19,B50)),MAX($A$1:A49)+1,0)</f>
        <v>49</v>
      </c>
      <c r="B50" s="11" t="s">
        <v>4117</v>
      </c>
      <c r="D50" t="str">
        <f>IFERROR(VLOOKUP(ROWS($D$2:D50),A50:B1268,2,0),"")</f>
        <v>Antofagasta-Cerro Moreno ANF</v>
      </c>
      <c r="F50">
        <f>IF(ISNUMBER(SEARCH(Request!$N$19,G50)),MAX(F$1:$F49)+1,0)</f>
        <v>49</v>
      </c>
      <c r="G50" s="11" t="s">
        <v>4117</v>
      </c>
      <c r="H50" t="str">
        <f>IFERROR(VLOOKUP(ROWS($H$2:H50),F50:G1268,2,0),"")</f>
        <v>Antofagasta-Cerro Moreno ANF</v>
      </c>
    </row>
    <row r="51" spans="1:8" x14ac:dyDescent="0.25">
      <c r="A51">
        <f>IF(ISNUMBER(SEARCH(Request!$I$19,B51)),MAX($A$1:A50)+1,0)</f>
        <v>50</v>
      </c>
      <c r="B51" s="11" t="s">
        <v>4118</v>
      </c>
      <c r="D51" t="str">
        <f>IFERROR(VLOOKUP(ROWS($D$2:D51),A51:B1269,2,0),"")</f>
        <v>Antwerp ANR</v>
      </c>
      <c r="F51">
        <f>IF(ISNUMBER(SEARCH(Request!$N$19,G51)),MAX(F$1:$F50)+1,0)</f>
        <v>50</v>
      </c>
      <c r="G51" s="11" t="s">
        <v>4118</v>
      </c>
      <c r="H51" t="str">
        <f>IFERROR(VLOOKUP(ROWS($H$2:H51),F51:G1269,2,0),"")</f>
        <v>Antwerp ANR</v>
      </c>
    </row>
    <row r="52" spans="1:8" x14ac:dyDescent="0.25">
      <c r="A52">
        <f>IF(ISNUMBER(SEARCH(Request!$I$19,B52)),MAX($A$1:A51)+1,0)</f>
        <v>51</v>
      </c>
      <c r="B52" s="11" t="s">
        <v>4119</v>
      </c>
      <c r="D52" t="str">
        <f>IFERROR(VLOOKUP(ROWS($D$2:D52),A52:B1270,2,0),"")</f>
        <v>Appleton/Outagamie County Regional ATW</v>
      </c>
      <c r="F52">
        <f>IF(ISNUMBER(SEARCH(Request!$N$19,G52)),MAX(F$1:$F51)+1,0)</f>
        <v>51</v>
      </c>
      <c r="G52" s="11" t="s">
        <v>4119</v>
      </c>
      <c r="H52" t="str">
        <f>IFERROR(VLOOKUP(ROWS($H$2:H52),F52:G1270,2,0),"")</f>
        <v>Appleton/Outagamie County Regional ATW</v>
      </c>
    </row>
    <row r="53" spans="1:8" x14ac:dyDescent="0.25">
      <c r="A53">
        <f>IF(ISNUMBER(SEARCH(Request!$I$19,B53)),MAX($A$1:A52)+1,0)</f>
        <v>52</v>
      </c>
      <c r="B53" s="11" t="s">
        <v>4120</v>
      </c>
      <c r="D53" t="str">
        <f>IFERROR(VLOOKUP(ROWS($D$2:D53),A53:B1271,2,0),"")</f>
        <v>Aqaba AQJ</v>
      </c>
      <c r="F53">
        <f>IF(ISNUMBER(SEARCH(Request!$N$19,G53)),MAX(F$1:$F52)+1,0)</f>
        <v>52</v>
      </c>
      <c r="G53" s="11" t="s">
        <v>4120</v>
      </c>
      <c r="H53" t="str">
        <f>IFERROR(VLOOKUP(ROWS($H$2:H53),F53:G1271,2,0),"")</f>
        <v>Aqaba AQJ</v>
      </c>
    </row>
    <row r="54" spans="1:8" x14ac:dyDescent="0.25">
      <c r="A54">
        <f>IF(ISNUMBER(SEARCH(Request!$I$19,B54)),MAX($A$1:A53)+1,0)</f>
        <v>53</v>
      </c>
      <c r="B54" s="11" t="s">
        <v>4121</v>
      </c>
      <c r="D54" t="str">
        <f>IFERROR(VLOOKUP(ROWS($D$2:D54),A54:B1272,2,0),"")</f>
        <v>Arad ARW</v>
      </c>
      <c r="F54">
        <f>IF(ISNUMBER(SEARCH(Request!$N$19,G54)),MAX(F$1:$F53)+1,0)</f>
        <v>53</v>
      </c>
      <c r="G54" s="11" t="s">
        <v>4121</v>
      </c>
      <c r="H54" t="str">
        <f>IFERROR(VLOOKUP(ROWS($H$2:H54),F54:G1272,2,0),"")</f>
        <v>Arad ARW</v>
      </c>
    </row>
    <row r="55" spans="1:8" x14ac:dyDescent="0.25">
      <c r="A55">
        <f>IF(ISNUMBER(SEARCH(Request!$I$19,B55)),MAX($A$1:A54)+1,0)</f>
        <v>54</v>
      </c>
      <c r="B55" s="11" t="s">
        <v>4122</v>
      </c>
      <c r="D55" t="str">
        <f>IFERROR(VLOOKUP(ROWS($D$2:D55),A55:B1273,2,0),"")</f>
        <v>Arica-Chacalluta ARI</v>
      </c>
      <c r="F55">
        <f>IF(ISNUMBER(SEARCH(Request!$N$19,G55)),MAX(F$1:$F54)+1,0)</f>
        <v>54</v>
      </c>
      <c r="G55" s="11" t="s">
        <v>4122</v>
      </c>
      <c r="H55" t="str">
        <f>IFERROR(VLOOKUP(ROWS($H$2:H55),F55:G1273,2,0),"")</f>
        <v>Arica-Chacalluta ARI</v>
      </c>
    </row>
    <row r="56" spans="1:8" x14ac:dyDescent="0.25">
      <c r="A56">
        <f>IF(ISNUMBER(SEARCH(Request!$I$19,B56)),MAX($A$1:A55)+1,0)</f>
        <v>55</v>
      </c>
      <c r="B56" s="11" t="s">
        <v>4123</v>
      </c>
      <c r="D56" t="str">
        <f>IFERROR(VLOOKUP(ROWS($D$2:D56),A56:B1274,2,0),"")</f>
        <v>Arkhangelsk – Talagi ARH</v>
      </c>
      <c r="F56">
        <f>IF(ISNUMBER(SEARCH(Request!$N$19,G56)),MAX(F$1:$F55)+1,0)</f>
        <v>55</v>
      </c>
      <c r="G56" s="11" t="s">
        <v>4123</v>
      </c>
      <c r="H56" t="str">
        <f>IFERROR(VLOOKUP(ROWS($H$2:H56),F56:G1274,2,0),"")</f>
        <v>Arkhangelsk – Talagi ARH</v>
      </c>
    </row>
    <row r="57" spans="1:8" x14ac:dyDescent="0.25">
      <c r="A57">
        <f>IF(ISNUMBER(SEARCH(Request!$I$19,B57)),MAX($A$1:A56)+1,0)</f>
        <v>56</v>
      </c>
      <c r="B57" s="11" t="s">
        <v>4124</v>
      </c>
      <c r="D57" t="str">
        <f>IFERROR(VLOOKUP(ROWS($D$2:D57),A57:B1275,2,0),"")</f>
        <v>Aruba – Queen Beatrix AUA</v>
      </c>
      <c r="F57">
        <f>IF(ISNUMBER(SEARCH(Request!$N$19,G57)),MAX(F$1:$F56)+1,0)</f>
        <v>56</v>
      </c>
      <c r="G57" s="11" t="s">
        <v>4124</v>
      </c>
      <c r="H57" t="str">
        <f>IFERROR(VLOOKUP(ROWS($H$2:H57),F57:G1275,2,0),"")</f>
        <v>Aruba – Queen Beatrix AUA</v>
      </c>
    </row>
    <row r="58" spans="1:8" x14ac:dyDescent="0.25">
      <c r="A58">
        <f>IF(ISNUMBER(SEARCH(Request!$I$19,B58)),MAX($A$1:A57)+1,0)</f>
        <v>57</v>
      </c>
      <c r="B58" s="11" t="s">
        <v>4125</v>
      </c>
      <c r="D58" t="str">
        <f>IFERROR(VLOOKUP(ROWS($D$2:D58),A58:B1276,2,0),"")</f>
        <v>Asheville Regional AVL</v>
      </c>
      <c r="F58">
        <f>IF(ISNUMBER(SEARCH(Request!$N$19,G58)),MAX(F$1:$F57)+1,0)</f>
        <v>57</v>
      </c>
      <c r="G58" s="11" t="s">
        <v>4125</v>
      </c>
      <c r="H58" t="str">
        <f>IFERROR(VLOOKUP(ROWS($H$2:H58),F58:G1276,2,0),"")</f>
        <v>Asheville Regional AVL</v>
      </c>
    </row>
    <row r="59" spans="1:8" x14ac:dyDescent="0.25">
      <c r="A59">
        <f>IF(ISNUMBER(SEARCH(Request!$I$19,B59)),MAX($A$1:A58)+1,0)</f>
        <v>58</v>
      </c>
      <c r="B59" s="11" t="s">
        <v>4126</v>
      </c>
      <c r="D59" t="str">
        <f>IFERROR(VLOOKUP(ROWS($D$2:D59),A59:B1277,2,0),"")</f>
        <v>Ashkabad ASB</v>
      </c>
      <c r="F59">
        <f>IF(ISNUMBER(SEARCH(Request!$N$19,G59)),MAX(F$1:$F58)+1,0)</f>
        <v>58</v>
      </c>
      <c r="G59" s="11" t="s">
        <v>4126</v>
      </c>
      <c r="H59" t="str">
        <f>IFERROR(VLOOKUP(ROWS($H$2:H59),F59:G1277,2,0),"")</f>
        <v>Ashkabad ASB</v>
      </c>
    </row>
    <row r="60" spans="1:8" x14ac:dyDescent="0.25">
      <c r="A60">
        <f>IF(ISNUMBER(SEARCH(Request!$I$19,B60)),MAX($A$1:A59)+1,0)</f>
        <v>59</v>
      </c>
      <c r="B60" s="11" t="s">
        <v>4127</v>
      </c>
      <c r="D60" t="str">
        <f>IFERROR(VLOOKUP(ROWS($D$2:D60),A60:B1278,2,0),"")</f>
        <v>Asmara Int´l ASM</v>
      </c>
      <c r="F60">
        <f>IF(ISNUMBER(SEARCH(Request!$N$19,G60)),MAX(F$1:$F59)+1,0)</f>
        <v>59</v>
      </c>
      <c r="G60" s="11" t="s">
        <v>4127</v>
      </c>
      <c r="H60" t="str">
        <f>IFERROR(VLOOKUP(ROWS($H$2:H60),F60:G1278,2,0),"")</f>
        <v>Asmara Int´l ASM</v>
      </c>
    </row>
    <row r="61" spans="1:8" x14ac:dyDescent="0.25">
      <c r="A61">
        <f>IF(ISNUMBER(SEARCH(Request!$I$19,B61)),MAX($A$1:A60)+1,0)</f>
        <v>60</v>
      </c>
      <c r="B61" s="11" t="s">
        <v>4128</v>
      </c>
      <c r="D61" t="str">
        <f>IFERROR(VLOOKUP(ROWS($D$2:D61),A61:B1279,2,0),"")</f>
        <v>Asturias OVD</v>
      </c>
      <c r="F61">
        <f>IF(ISNUMBER(SEARCH(Request!$N$19,G61)),MAX(F$1:$F60)+1,0)</f>
        <v>60</v>
      </c>
      <c r="G61" s="11" t="s">
        <v>4128</v>
      </c>
      <c r="H61" t="str">
        <f>IFERROR(VLOOKUP(ROWS($H$2:H61),F61:G1279,2,0),"")</f>
        <v>Asturias OVD</v>
      </c>
    </row>
    <row r="62" spans="1:8" x14ac:dyDescent="0.25">
      <c r="A62">
        <f>IF(ISNUMBER(SEARCH(Request!$I$19,B62)),MAX($A$1:A61)+1,0)</f>
        <v>61</v>
      </c>
      <c r="B62" s="11" t="s">
        <v>4129</v>
      </c>
      <c r="D62" t="str">
        <f>IFERROR(VLOOKUP(ROWS($D$2:D62),A62:B1280,2,0),"")</f>
        <v>Asuncion – Silvio Pettirossi ASU</v>
      </c>
      <c r="F62">
        <f>IF(ISNUMBER(SEARCH(Request!$N$19,G62)),MAX(F$1:$F61)+1,0)</f>
        <v>61</v>
      </c>
      <c r="G62" s="11" t="s">
        <v>4129</v>
      </c>
      <c r="H62" t="str">
        <f>IFERROR(VLOOKUP(ROWS($H$2:H62),F62:G1280,2,0),"")</f>
        <v>Asuncion – Silvio Pettirossi ASU</v>
      </c>
    </row>
    <row r="63" spans="1:8" x14ac:dyDescent="0.25">
      <c r="A63">
        <f>IF(ISNUMBER(SEARCH(Request!$I$19,B63)),MAX($A$1:A62)+1,0)</f>
        <v>62</v>
      </c>
      <c r="B63" s="11" t="s">
        <v>4130</v>
      </c>
      <c r="D63" t="str">
        <f>IFERROR(VLOOKUP(ROWS($D$2:D63),A63:B1281,2,0),"")</f>
        <v>Aswan – Daraw ASW</v>
      </c>
      <c r="F63">
        <f>IF(ISNUMBER(SEARCH(Request!$N$19,G63)),MAX(F$1:$F62)+1,0)</f>
        <v>62</v>
      </c>
      <c r="G63" s="11" t="s">
        <v>4130</v>
      </c>
      <c r="H63" t="str">
        <f>IFERROR(VLOOKUP(ROWS($H$2:H63),F63:G1281,2,0),"")</f>
        <v>Aswan – Daraw ASW</v>
      </c>
    </row>
    <row r="64" spans="1:8" x14ac:dyDescent="0.25">
      <c r="A64">
        <f>IF(ISNUMBER(SEARCH(Request!$I$19,B64)),MAX($A$1:A63)+1,0)</f>
        <v>63</v>
      </c>
      <c r="B64" s="11" t="s">
        <v>4132</v>
      </c>
      <c r="D64" t="str">
        <f>IFERROR(VLOOKUP(ROWS($D$2:D64),A64:B1282,2,0),"")</f>
        <v>Athens – Eleftherios Venizelos ATH</v>
      </c>
      <c r="F64">
        <f>IF(ISNUMBER(SEARCH(Request!$N$19,G64)),MAX(F$1:$F63)+1,0)</f>
        <v>63</v>
      </c>
      <c r="G64" s="11" t="s">
        <v>4132</v>
      </c>
      <c r="H64" t="str">
        <f>IFERROR(VLOOKUP(ROWS($H$2:H64),F64:G1282,2,0),"")</f>
        <v>Athens – Eleftherios Venizelos ATH</v>
      </c>
    </row>
    <row r="65" spans="1:8" x14ac:dyDescent="0.25">
      <c r="A65">
        <f>IF(ISNUMBER(SEARCH(Request!$I$19,B65)),MAX($A$1:A64)+1,0)</f>
        <v>64</v>
      </c>
      <c r="B65" s="11" t="s">
        <v>4133</v>
      </c>
      <c r="D65" t="str">
        <f>IFERROR(VLOOKUP(ROWS($D$2:D65),A65:B1283,2,0),"")</f>
        <v>Athens – Hellinikon ATH</v>
      </c>
      <c r="F65">
        <f>IF(ISNUMBER(SEARCH(Request!$N$19,G65)),MAX(F$1:$F64)+1,0)</f>
        <v>64</v>
      </c>
      <c r="G65" s="11" t="s">
        <v>4133</v>
      </c>
      <c r="H65" t="str">
        <f>IFERROR(VLOOKUP(ROWS($H$2:H65),F65:G1283,2,0),"")</f>
        <v>Athens – Hellinikon ATH</v>
      </c>
    </row>
    <row r="66" spans="1:8" x14ac:dyDescent="0.25">
      <c r="A66">
        <f>IF(ISNUMBER(SEARCH(Request!$I$19,B66)),MAX($A$1:A65)+1,0)</f>
        <v>65</v>
      </c>
      <c r="B66" s="11" t="s">
        <v>4131</v>
      </c>
      <c r="D66" t="str">
        <f>IFERROR(VLOOKUP(ROWS($D$2:D66),A66:B1284,2,0),"")</f>
        <v>Athens Ben Epps AHN</v>
      </c>
      <c r="F66">
        <f>IF(ISNUMBER(SEARCH(Request!$N$19,G66)),MAX(F$1:$F65)+1,0)</f>
        <v>65</v>
      </c>
      <c r="G66" s="11" t="s">
        <v>4131</v>
      </c>
      <c r="H66" t="str">
        <f>IFERROR(VLOOKUP(ROWS($H$2:H66),F66:G1284,2,0),"")</f>
        <v>Athens Ben Epps AHN</v>
      </c>
    </row>
    <row r="67" spans="1:8" x14ac:dyDescent="0.25">
      <c r="A67">
        <f>IF(ISNUMBER(SEARCH(Request!$I$19,B67)),MAX($A$1:A66)+1,0)</f>
        <v>66</v>
      </c>
      <c r="B67" s="11" t="s">
        <v>4134</v>
      </c>
      <c r="D67" t="str">
        <f>IFERROR(VLOOKUP(ROWS($D$2:D67),A67:B1285,2,0),"")</f>
        <v>Atlanta – Hartsfield Atlanta ATL</v>
      </c>
      <c r="F67">
        <f>IF(ISNUMBER(SEARCH(Request!$N$19,G67)),MAX(F$1:$F66)+1,0)</f>
        <v>66</v>
      </c>
      <c r="G67" s="11" t="s">
        <v>4134</v>
      </c>
      <c r="H67" t="str">
        <f>IFERROR(VLOOKUP(ROWS($H$2:H67),F67:G1285,2,0),"")</f>
        <v>Atlanta – Hartsfield Atlanta ATL</v>
      </c>
    </row>
    <row r="68" spans="1:8" x14ac:dyDescent="0.25">
      <c r="A68">
        <f>IF(ISNUMBER(SEARCH(Request!$I$19,B68)),MAX($A$1:A67)+1,0)</f>
        <v>67</v>
      </c>
      <c r="B68" s="11" t="s">
        <v>4135</v>
      </c>
      <c r="D68" t="str">
        <f>IFERROR(VLOOKUP(ROWS($D$2:D68),A68:B1286,2,0),"")</f>
        <v>Atlantic City Int´l ACY</v>
      </c>
      <c r="F68">
        <f>IF(ISNUMBER(SEARCH(Request!$N$19,G68)),MAX(F$1:$F67)+1,0)</f>
        <v>67</v>
      </c>
      <c r="G68" s="11" t="s">
        <v>4135</v>
      </c>
      <c r="H68" t="str">
        <f>IFERROR(VLOOKUP(ROWS($H$2:H68),F68:G1286,2,0),"")</f>
        <v>Atlantic City Int´l ACY</v>
      </c>
    </row>
    <row r="69" spans="1:8" x14ac:dyDescent="0.25">
      <c r="A69">
        <f>IF(ISNUMBER(SEARCH(Request!$I$19,B69)),MAX($A$1:A68)+1,0)</f>
        <v>68</v>
      </c>
      <c r="B69" s="11" t="s">
        <v>4136</v>
      </c>
      <c r="D69" t="str">
        <f>IFERROR(VLOOKUP(ROWS($D$2:D69),A69:B1287,2,0),"")</f>
        <v>Auckland AKL</v>
      </c>
      <c r="F69">
        <f>IF(ISNUMBER(SEARCH(Request!$N$19,G69)),MAX(F$1:$F68)+1,0)</f>
        <v>68</v>
      </c>
      <c r="G69" s="11" t="s">
        <v>4136</v>
      </c>
      <c r="H69" t="str">
        <f>IFERROR(VLOOKUP(ROWS($H$2:H69),F69:G1287,2,0),"")</f>
        <v>Auckland AKL</v>
      </c>
    </row>
    <row r="70" spans="1:8" x14ac:dyDescent="0.25">
      <c r="A70">
        <f>IF(ISNUMBER(SEARCH(Request!$I$19,B70)),MAX($A$1:A69)+1,0)</f>
        <v>69</v>
      </c>
      <c r="B70" s="11" t="s">
        <v>4137</v>
      </c>
      <c r="D70" t="str">
        <f>IFERROR(VLOOKUP(ROWS($D$2:D70),A70:B1288,2,0),"")</f>
        <v>Augsburg AGB</v>
      </c>
      <c r="F70">
        <f>IF(ISNUMBER(SEARCH(Request!$N$19,G70)),MAX(F$1:$F69)+1,0)</f>
        <v>69</v>
      </c>
      <c r="G70" s="11" t="s">
        <v>4137</v>
      </c>
      <c r="H70" t="str">
        <f>IFERROR(VLOOKUP(ROWS($H$2:H70),F70:G1288,2,0),"")</f>
        <v>Augsburg AGB</v>
      </c>
    </row>
    <row r="71" spans="1:8" x14ac:dyDescent="0.25">
      <c r="A71">
        <f>IF(ISNUMBER(SEARCH(Request!$I$19,B71)),MAX($A$1:A70)+1,0)</f>
        <v>70</v>
      </c>
      <c r="B71" s="11" t="s">
        <v>4138</v>
      </c>
      <c r="D71" t="str">
        <f>IFERROR(VLOOKUP(ROWS($D$2:D71),A71:B1289,2,0),"")</f>
        <v>Augusta Regional AGS</v>
      </c>
      <c r="F71">
        <f>IF(ISNUMBER(SEARCH(Request!$N$19,G71)),MAX(F$1:$F70)+1,0)</f>
        <v>70</v>
      </c>
      <c r="G71" s="11" t="s">
        <v>4138</v>
      </c>
      <c r="H71" t="str">
        <f>IFERROR(VLOOKUP(ROWS($H$2:H71),F71:G1289,2,0),"")</f>
        <v>Augusta Regional AGS</v>
      </c>
    </row>
    <row r="72" spans="1:8" x14ac:dyDescent="0.25">
      <c r="A72">
        <f>IF(ISNUMBER(SEARCH(Request!$I$19,B72)),MAX($A$1:A71)+1,0)</f>
        <v>71</v>
      </c>
      <c r="B72" s="11" t="s">
        <v>4139</v>
      </c>
      <c r="D72" t="str">
        <f>IFERROR(VLOOKUP(ROWS($D$2:D72),A72:B1290,2,0),"")</f>
        <v>Austin-Bergstrom AUS</v>
      </c>
      <c r="F72">
        <f>IF(ISNUMBER(SEARCH(Request!$N$19,G72)),MAX(F$1:$F71)+1,0)</f>
        <v>71</v>
      </c>
      <c r="G72" s="11" t="s">
        <v>4139</v>
      </c>
      <c r="H72" t="str">
        <f>IFERROR(VLOOKUP(ROWS($H$2:H72),F72:G1290,2,0),"")</f>
        <v>Austin-Bergstrom AUS</v>
      </c>
    </row>
    <row r="73" spans="1:8" x14ac:dyDescent="0.25">
      <c r="A73">
        <f>IF(ISNUMBER(SEARCH(Request!$I$19,B73)),MAX($A$1:A72)+1,0)</f>
        <v>72</v>
      </c>
      <c r="B73" s="11" t="s">
        <v>4140</v>
      </c>
      <c r="D73" t="str">
        <f>IFERROR(VLOOKUP(ROWS($D$2:D73),A73:B1291,2,0),"")</f>
        <v>Avignon/Caumont AVN</v>
      </c>
      <c r="F73">
        <f>IF(ISNUMBER(SEARCH(Request!$N$19,G73)),MAX(F$1:$F72)+1,0)</f>
        <v>72</v>
      </c>
      <c r="G73" s="11" t="s">
        <v>4140</v>
      </c>
      <c r="H73" t="str">
        <f>IFERROR(VLOOKUP(ROWS($H$2:H73),F73:G1291,2,0),"")</f>
        <v>Avignon/Caumont AVN</v>
      </c>
    </row>
    <row r="74" spans="1:8" x14ac:dyDescent="0.25">
      <c r="A74">
        <f>IF(ISNUMBER(SEARCH(Request!$I$19,B74)),MAX($A$1:A73)+1,0)</f>
        <v>73</v>
      </c>
      <c r="B74" s="11" t="s">
        <v>4141</v>
      </c>
      <c r="D74" t="str">
        <f>IFERROR(VLOOKUP(ROWS($D$2:D74),A74:B1292,2,0),"")</f>
        <v>Badajoz-Talavera la Real BJZ</v>
      </c>
      <c r="F74">
        <f>IF(ISNUMBER(SEARCH(Request!$N$19,G74)),MAX(F$1:$F73)+1,0)</f>
        <v>73</v>
      </c>
      <c r="G74" s="11" t="s">
        <v>4141</v>
      </c>
      <c r="H74" t="str">
        <f>IFERROR(VLOOKUP(ROWS($H$2:H74),F74:G1292,2,0),"")</f>
        <v>Badajoz-Talavera la Real BJZ</v>
      </c>
    </row>
    <row r="75" spans="1:8" x14ac:dyDescent="0.25">
      <c r="A75">
        <f>IF(ISNUMBER(SEARCH(Request!$I$19,B75)),MAX($A$1:A74)+1,0)</f>
        <v>74</v>
      </c>
      <c r="B75" s="11" t="s">
        <v>4142</v>
      </c>
      <c r="D75" t="str">
        <f>IFERROR(VLOOKUP(ROWS($D$2:D75),A75:B1293,2,0),"")</f>
        <v>Baden-Airpark GmbH FKB</v>
      </c>
      <c r="F75">
        <f>IF(ISNUMBER(SEARCH(Request!$N$19,G75)),MAX(F$1:$F74)+1,0)</f>
        <v>74</v>
      </c>
      <c r="G75" s="11" t="s">
        <v>4142</v>
      </c>
      <c r="H75" t="str">
        <f>IFERROR(VLOOKUP(ROWS($H$2:H75),F75:G1293,2,0),"")</f>
        <v>Baden-Airpark GmbH FKB</v>
      </c>
    </row>
    <row r="76" spans="1:8" x14ac:dyDescent="0.25">
      <c r="A76">
        <f>IF(ISNUMBER(SEARCH(Request!$I$19,B76)),MAX($A$1:A75)+1,0)</f>
        <v>75</v>
      </c>
      <c r="B76" s="11" t="s">
        <v>4143</v>
      </c>
      <c r="D76" t="str">
        <f>IFERROR(VLOOKUP(ROWS($D$2:D76),A76:B1294,2,0),"")</f>
        <v>Baghdad SDA</v>
      </c>
      <c r="F76">
        <f>IF(ISNUMBER(SEARCH(Request!$N$19,G76)),MAX(F$1:$F75)+1,0)</f>
        <v>75</v>
      </c>
      <c r="G76" s="11" t="s">
        <v>4143</v>
      </c>
      <c r="H76" t="str">
        <f>IFERROR(VLOOKUP(ROWS($H$2:H76),F76:G1294,2,0),"")</f>
        <v>Baghdad SDA</v>
      </c>
    </row>
    <row r="77" spans="1:8" x14ac:dyDescent="0.25">
      <c r="A77">
        <f>IF(ISNUMBER(SEARCH(Request!$I$19,B77)),MAX($A$1:A76)+1,0)</f>
        <v>76</v>
      </c>
      <c r="B77" s="11" t="s">
        <v>4144</v>
      </c>
      <c r="D77" t="str">
        <f>IFERROR(VLOOKUP(ROWS($D$2:D77),A77:B1295,2,0),"")</f>
        <v>Bahrain BAH</v>
      </c>
      <c r="F77">
        <f>IF(ISNUMBER(SEARCH(Request!$N$19,G77)),MAX(F$1:$F76)+1,0)</f>
        <v>76</v>
      </c>
      <c r="G77" s="11" t="s">
        <v>4144</v>
      </c>
      <c r="H77" t="str">
        <f>IFERROR(VLOOKUP(ROWS($H$2:H77),F77:G1295,2,0),"")</f>
        <v>Bahrain BAH</v>
      </c>
    </row>
    <row r="78" spans="1:8" x14ac:dyDescent="0.25">
      <c r="A78">
        <f>IF(ISNUMBER(SEARCH(Request!$I$19,B78)),MAX($A$1:A77)+1,0)</f>
        <v>77</v>
      </c>
      <c r="B78" s="11" t="s">
        <v>4145</v>
      </c>
      <c r="D78" t="str">
        <f>IFERROR(VLOOKUP(ROWS($D$2:D78),A78:B1296,2,0),"")</f>
        <v>Baku – Bina Int´l BAK</v>
      </c>
      <c r="F78">
        <f>IF(ISNUMBER(SEARCH(Request!$N$19,G78)),MAX(F$1:$F77)+1,0)</f>
        <v>77</v>
      </c>
      <c r="G78" s="11" t="s">
        <v>4145</v>
      </c>
      <c r="H78" t="str">
        <f>IFERROR(VLOOKUP(ROWS($H$2:H78),F78:G1296,2,0),"")</f>
        <v>Baku – Bina Int´l BAK</v>
      </c>
    </row>
    <row r="79" spans="1:8" x14ac:dyDescent="0.25">
      <c r="A79">
        <f>IF(ISNUMBER(SEARCH(Request!$I$19,B79)),MAX($A$1:A78)+1,0)</f>
        <v>78</v>
      </c>
      <c r="B79" s="11" t="s">
        <v>4146</v>
      </c>
      <c r="D79" t="str">
        <f>IFERROR(VLOOKUP(ROWS($D$2:D79),A79:B1297,2,0),"")</f>
        <v>Bali-Denpasar-Ngurah Rai DPS</v>
      </c>
      <c r="F79">
        <f>IF(ISNUMBER(SEARCH(Request!$N$19,G79)),MAX(F$1:$F78)+1,0)</f>
        <v>78</v>
      </c>
      <c r="G79" s="11" t="s">
        <v>4146</v>
      </c>
      <c r="H79" t="str">
        <f>IFERROR(VLOOKUP(ROWS($H$2:H79),F79:G1297,2,0),"")</f>
        <v>Bali-Denpasar-Ngurah Rai DPS</v>
      </c>
    </row>
    <row r="80" spans="1:8" x14ac:dyDescent="0.25">
      <c r="A80">
        <f>IF(ISNUMBER(SEARCH(Request!$I$19,B80)),MAX($A$1:A79)+1,0)</f>
        <v>79</v>
      </c>
      <c r="B80" s="11" t="s">
        <v>4147</v>
      </c>
      <c r="D80" t="str">
        <f>IFERROR(VLOOKUP(ROWS($D$2:D80),A80:B1298,2,0),"")</f>
        <v>Balikpapan-Sepinggan BPN</v>
      </c>
      <c r="F80">
        <f>IF(ISNUMBER(SEARCH(Request!$N$19,G80)),MAX(F$1:$F79)+1,0)</f>
        <v>79</v>
      </c>
      <c r="G80" s="11" t="s">
        <v>4147</v>
      </c>
      <c r="H80" t="str">
        <f>IFERROR(VLOOKUP(ROWS($H$2:H80),F80:G1298,2,0),"")</f>
        <v>Balikpapan-Sepinggan BPN</v>
      </c>
    </row>
    <row r="81" spans="1:8" x14ac:dyDescent="0.25">
      <c r="A81">
        <f>IF(ISNUMBER(SEARCH(Request!$I$19,B81)),MAX($A$1:A80)+1,0)</f>
        <v>80</v>
      </c>
      <c r="B81" s="11" t="s">
        <v>4148</v>
      </c>
      <c r="D81" t="str">
        <f>IFERROR(VLOOKUP(ROWS($D$2:D81),A81:B1299,2,0),"")</f>
        <v>Baltimore/Washington Int´l BWI</v>
      </c>
      <c r="F81">
        <f>IF(ISNUMBER(SEARCH(Request!$N$19,G81)),MAX(F$1:$F80)+1,0)</f>
        <v>80</v>
      </c>
      <c r="G81" s="11" t="s">
        <v>4148</v>
      </c>
      <c r="H81" t="str">
        <f>IFERROR(VLOOKUP(ROWS($H$2:H81),F81:G1299,2,0),"")</f>
        <v>Baltimore/Washington Int´l BWI</v>
      </c>
    </row>
    <row r="82" spans="1:8" x14ac:dyDescent="0.25">
      <c r="A82">
        <f>IF(ISNUMBER(SEARCH(Request!$I$19,B82)),MAX($A$1:A81)+1,0)</f>
        <v>81</v>
      </c>
      <c r="B82" s="11" t="s">
        <v>4149</v>
      </c>
      <c r="D82" t="str">
        <f>IFERROR(VLOOKUP(ROWS($D$2:D82),A82:B1300,2,0),"")</f>
        <v>Bamako-Senou Int´l BKO</v>
      </c>
      <c r="F82">
        <f>IF(ISNUMBER(SEARCH(Request!$N$19,G82)),MAX(F$1:$F81)+1,0)</f>
        <v>81</v>
      </c>
      <c r="G82" s="11" t="s">
        <v>4149</v>
      </c>
      <c r="H82" t="str">
        <f>IFERROR(VLOOKUP(ROWS($H$2:H82),F82:G1300,2,0),"")</f>
        <v>Bamako-Senou Int´l BKO</v>
      </c>
    </row>
    <row r="83" spans="1:8" x14ac:dyDescent="0.25">
      <c r="A83">
        <f>IF(ISNUMBER(SEARCH(Request!$I$19,B83)),MAX($A$1:A82)+1,0)</f>
        <v>82</v>
      </c>
      <c r="B83" s="11" t="s">
        <v>4150</v>
      </c>
      <c r="D83" t="str">
        <f>IFERROR(VLOOKUP(ROWS($D$2:D83),A83:B1301,2,0),"")</f>
        <v>Bandaranaike Int´l CMB</v>
      </c>
      <c r="F83">
        <f>IF(ISNUMBER(SEARCH(Request!$N$19,G83)),MAX(F$1:$F82)+1,0)</f>
        <v>82</v>
      </c>
      <c r="G83" s="11" t="s">
        <v>4150</v>
      </c>
      <c r="H83" t="str">
        <f>IFERROR(VLOOKUP(ROWS($H$2:H83),F83:G1301,2,0),"")</f>
        <v>Bandaranaike Int´l CMB</v>
      </c>
    </row>
    <row r="84" spans="1:8" x14ac:dyDescent="0.25">
      <c r="A84">
        <f>IF(ISNUMBER(SEARCH(Request!$I$19,B84)),MAX($A$1:A83)+1,0)</f>
        <v>83</v>
      </c>
      <c r="B84" s="11" t="s">
        <v>4151</v>
      </c>
      <c r="D84" t="str">
        <f>IFERROR(VLOOKUP(ROWS($D$2:D84),A84:B1302,2,0),"")</f>
        <v>Bangalore BLR</v>
      </c>
      <c r="F84">
        <f>IF(ISNUMBER(SEARCH(Request!$N$19,G84)),MAX(F$1:$F83)+1,0)</f>
        <v>83</v>
      </c>
      <c r="G84" s="11" t="s">
        <v>4151</v>
      </c>
      <c r="H84" t="str">
        <f>IFERROR(VLOOKUP(ROWS($H$2:H84),F84:G1302,2,0),"")</f>
        <v>Bangalore BLR</v>
      </c>
    </row>
    <row r="85" spans="1:8" x14ac:dyDescent="0.25">
      <c r="A85">
        <f>IF(ISNUMBER(SEARCH(Request!$I$19,B85)),MAX($A$1:A84)+1,0)</f>
        <v>84</v>
      </c>
      <c r="B85" s="11" t="s">
        <v>4152</v>
      </c>
      <c r="D85" t="str">
        <f>IFERROR(VLOOKUP(ROWS($D$2:D85),A85:B1303,2,0),"")</f>
        <v>Bangkok Int´l BKK</v>
      </c>
      <c r="F85">
        <f>IF(ISNUMBER(SEARCH(Request!$N$19,G85)),MAX(F$1:$F84)+1,0)</f>
        <v>84</v>
      </c>
      <c r="G85" s="11" t="s">
        <v>4152</v>
      </c>
      <c r="H85" t="str">
        <f>IFERROR(VLOOKUP(ROWS($H$2:H85),F85:G1303,2,0),"")</f>
        <v>Bangkok Int´l BKK</v>
      </c>
    </row>
    <row r="86" spans="1:8" x14ac:dyDescent="0.25">
      <c r="A86">
        <f>IF(ISNUMBER(SEARCH(Request!$I$19,B86)),MAX($A$1:A85)+1,0)</f>
        <v>85</v>
      </c>
      <c r="B86" s="11" t="s">
        <v>4153</v>
      </c>
      <c r="D86" t="str">
        <f>IFERROR(VLOOKUP(ROWS($D$2:D86),A86:B1304,2,0),"")</f>
        <v>Bangor BGR</v>
      </c>
      <c r="F86">
        <f>IF(ISNUMBER(SEARCH(Request!$N$19,G86)),MAX(F$1:$F85)+1,0)</f>
        <v>85</v>
      </c>
      <c r="G86" s="11" t="s">
        <v>4153</v>
      </c>
      <c r="H86" t="str">
        <f>IFERROR(VLOOKUP(ROWS($H$2:H86),F86:G1304,2,0),"")</f>
        <v>Bangor BGR</v>
      </c>
    </row>
    <row r="87" spans="1:8" x14ac:dyDescent="0.25">
      <c r="A87">
        <f>IF(ISNUMBER(SEARCH(Request!$I$19,B87)),MAX($A$1:A86)+1,0)</f>
        <v>86</v>
      </c>
      <c r="B87" s="11" t="s">
        <v>4154</v>
      </c>
      <c r="D87" t="str">
        <f>IFERROR(VLOOKUP(ROWS($D$2:D87),A87:B1305,2,0),"")</f>
        <v>Bangui-M´Poko BGF</v>
      </c>
      <c r="F87">
        <f>IF(ISNUMBER(SEARCH(Request!$N$19,G87)),MAX(F$1:$F86)+1,0)</f>
        <v>86</v>
      </c>
      <c r="G87" s="11" t="s">
        <v>4154</v>
      </c>
      <c r="H87" t="str">
        <f>IFERROR(VLOOKUP(ROWS($H$2:H87),F87:G1305,2,0),"")</f>
        <v>Bangui-M´Poko BGF</v>
      </c>
    </row>
    <row r="88" spans="1:8" x14ac:dyDescent="0.25">
      <c r="A88">
        <f>IF(ISNUMBER(SEARCH(Request!$I$19,B88)),MAX($A$1:A87)+1,0)</f>
        <v>87</v>
      </c>
      <c r="B88" s="11" t="s">
        <v>4155</v>
      </c>
      <c r="D88" t="str">
        <f>IFERROR(VLOOKUP(ROWS($D$2:D88),A88:B1306,2,0),"")</f>
        <v>Banjul Int´l BJL</v>
      </c>
      <c r="F88">
        <f>IF(ISNUMBER(SEARCH(Request!$N$19,G88)),MAX(F$1:$F87)+1,0)</f>
        <v>87</v>
      </c>
      <c r="G88" s="11" t="s">
        <v>4155</v>
      </c>
      <c r="H88" t="str">
        <f>IFERROR(VLOOKUP(ROWS($H$2:H88),F88:G1306,2,0),"")</f>
        <v>Banjul Int´l BJL</v>
      </c>
    </row>
    <row r="89" spans="1:8" x14ac:dyDescent="0.25">
      <c r="A89">
        <f>IF(ISNUMBER(SEARCH(Request!$I$19,B89)),MAX($A$1:A88)+1,0)</f>
        <v>88</v>
      </c>
      <c r="B89" s="11" t="s">
        <v>4156</v>
      </c>
      <c r="D89" t="str">
        <f>IFERROR(VLOOKUP(ROWS($D$2:D89),A89:B1307,2,0),"")</f>
        <v>Bankstown BWU</v>
      </c>
      <c r="F89">
        <f>IF(ISNUMBER(SEARCH(Request!$N$19,G89)),MAX(F$1:$F88)+1,0)</f>
        <v>88</v>
      </c>
      <c r="G89" s="11" t="s">
        <v>4156</v>
      </c>
      <c r="H89" t="str">
        <f>IFERROR(VLOOKUP(ROWS($H$2:H89),F89:G1307,2,0),"")</f>
        <v>Bankstown BWU</v>
      </c>
    </row>
    <row r="90" spans="1:8" x14ac:dyDescent="0.25">
      <c r="A90">
        <f>IF(ISNUMBER(SEARCH(Request!$I$19,B90)),MAX($A$1:A89)+1,0)</f>
        <v>89</v>
      </c>
      <c r="B90" s="11" t="s">
        <v>4157</v>
      </c>
      <c r="D90" t="str">
        <f>IFERROR(VLOOKUP(ROWS($D$2:D90),A90:B1308,2,0),"")</f>
        <v>Barcelona BCN</v>
      </c>
      <c r="F90">
        <f>IF(ISNUMBER(SEARCH(Request!$N$19,G90)),MAX(F$1:$F89)+1,0)</f>
        <v>89</v>
      </c>
      <c r="G90" s="11" t="s">
        <v>4157</v>
      </c>
      <c r="H90" t="str">
        <f>IFERROR(VLOOKUP(ROWS($H$2:H90),F90:G1308,2,0),"")</f>
        <v>Barcelona BCN</v>
      </c>
    </row>
    <row r="91" spans="1:8" x14ac:dyDescent="0.25">
      <c r="A91">
        <f>IF(ISNUMBER(SEARCH(Request!$I$19,B91)),MAX($A$1:A90)+1,0)</f>
        <v>90</v>
      </c>
      <c r="B91" s="11" t="s">
        <v>4158</v>
      </c>
      <c r="D91" t="str">
        <f>IFERROR(VLOOKUP(ROWS($D$2:D91),A91:B1309,2,0),"")</f>
        <v>Bari-Palese BRI</v>
      </c>
      <c r="F91">
        <f>IF(ISNUMBER(SEARCH(Request!$N$19,G91)),MAX(F$1:$F90)+1,0)</f>
        <v>90</v>
      </c>
      <c r="G91" s="11" t="s">
        <v>4158</v>
      </c>
      <c r="H91" t="str">
        <f>IFERROR(VLOOKUP(ROWS($H$2:H91),F91:G1309,2,0),"")</f>
        <v>Bari-Palese BRI</v>
      </c>
    </row>
    <row r="92" spans="1:8" x14ac:dyDescent="0.25">
      <c r="A92">
        <f>IF(ISNUMBER(SEARCH(Request!$I$19,B92)),MAX($A$1:A91)+1,0)</f>
        <v>91</v>
      </c>
      <c r="B92" s="11" t="s">
        <v>4159</v>
      </c>
      <c r="D92" t="str">
        <f>IFERROR(VLOOKUP(ROWS($D$2:D92),A92:B1310,2,0),"")</f>
        <v>Barnaul BAX</v>
      </c>
      <c r="F92">
        <f>IF(ISNUMBER(SEARCH(Request!$N$19,G92)),MAX(F$1:$F91)+1,0)</f>
        <v>91</v>
      </c>
      <c r="G92" s="11" t="s">
        <v>4159</v>
      </c>
      <c r="H92" t="str">
        <f>IFERROR(VLOOKUP(ROWS($H$2:H92),F92:G1310,2,0),"")</f>
        <v>Barnaul BAX</v>
      </c>
    </row>
    <row r="93" spans="1:8" x14ac:dyDescent="0.25">
      <c r="A93">
        <f>IF(ISNUMBER(SEARCH(Request!$I$19,B93)),MAX($A$1:A92)+1,0)</f>
        <v>92</v>
      </c>
      <c r="B93" s="11" t="s">
        <v>4160</v>
      </c>
      <c r="D93" t="str">
        <f>IFERROR(VLOOKUP(ROWS($D$2:D93),A93:B1311,2,0),"")</f>
        <v>Barra BRR</v>
      </c>
      <c r="F93">
        <f>IF(ISNUMBER(SEARCH(Request!$N$19,G93)),MAX(F$1:$F92)+1,0)</f>
        <v>92</v>
      </c>
      <c r="G93" s="11" t="s">
        <v>4160</v>
      </c>
      <c r="H93" t="str">
        <f>IFERROR(VLOOKUP(ROWS($H$2:H93),F93:G1311,2,0),"")</f>
        <v>Barra BRR</v>
      </c>
    </row>
    <row r="94" spans="1:8" x14ac:dyDescent="0.25">
      <c r="A94">
        <f>IF(ISNUMBER(SEARCH(Request!$I$19,B94)),MAX($A$1:A93)+1,0)</f>
        <v>93</v>
      </c>
      <c r="B94" s="11" t="s">
        <v>4161</v>
      </c>
      <c r="D94" t="str">
        <f>IFERROR(VLOOKUP(ROWS($D$2:D94),A94:B1312,2,0),"")</f>
        <v>Barranquilla-Aeropuerto Int´l Ernesto Cortissoz BAQ</v>
      </c>
      <c r="F94">
        <f>IF(ISNUMBER(SEARCH(Request!$N$19,G94)),MAX(F$1:$F93)+1,0)</f>
        <v>93</v>
      </c>
      <c r="G94" s="11" t="s">
        <v>4161</v>
      </c>
      <c r="H94" t="str">
        <f>IFERROR(VLOOKUP(ROWS($H$2:H94),F94:G1312,2,0),"")</f>
        <v>Barranquilla-Aeropuerto Int´l Ernesto Cortissoz BAQ</v>
      </c>
    </row>
    <row r="95" spans="1:8" x14ac:dyDescent="0.25">
      <c r="A95">
        <f>IF(ISNUMBER(SEARCH(Request!$I$19,B95)),MAX($A$1:A94)+1,0)</f>
        <v>94</v>
      </c>
      <c r="B95" s="11" t="s">
        <v>4163</v>
      </c>
      <c r="D95" t="str">
        <f>IFERROR(VLOOKUP(ROWS($D$2:D95),A95:B1313,2,0),"")</f>
        <v>Basel/Mulhouse BSL</v>
      </c>
      <c r="F95">
        <f>IF(ISNUMBER(SEARCH(Request!$N$19,G95)),MAX(F$1:$F94)+1,0)</f>
        <v>94</v>
      </c>
      <c r="G95" s="11" t="s">
        <v>4163</v>
      </c>
      <c r="H95" t="str">
        <f>IFERROR(VLOOKUP(ROWS($H$2:H95),F95:G1313,2,0),"")</f>
        <v>Basel/Mulhouse BSL</v>
      </c>
    </row>
    <row r="96" spans="1:8" x14ac:dyDescent="0.25">
      <c r="A96">
        <f>IF(ISNUMBER(SEARCH(Request!$I$19,B96)),MAX($A$1:A95)+1,0)</f>
        <v>95</v>
      </c>
      <c r="B96" s="11" t="s">
        <v>4162</v>
      </c>
      <c r="D96" t="str">
        <f>IFERROR(VLOOKUP(ROWS($D$2:D96),A96:B1314,2,0),"")</f>
        <v>Basel/Mulhouse MLH</v>
      </c>
      <c r="F96">
        <f>IF(ISNUMBER(SEARCH(Request!$N$19,G96)),MAX(F$1:$F95)+1,0)</f>
        <v>95</v>
      </c>
      <c r="G96" s="11" t="s">
        <v>4162</v>
      </c>
      <c r="H96" t="str">
        <f>IFERROR(VLOOKUP(ROWS($H$2:H96),F96:G1314,2,0),"")</f>
        <v>Basel/Mulhouse MLH</v>
      </c>
    </row>
    <row r="97" spans="1:8" x14ac:dyDescent="0.25">
      <c r="A97">
        <f>IF(ISNUMBER(SEARCH(Request!$I$19,B97)),MAX($A$1:A96)+1,0)</f>
        <v>96</v>
      </c>
      <c r="B97" s="11" t="s">
        <v>4164</v>
      </c>
      <c r="D97" t="str">
        <f>IFERROR(VLOOKUP(ROWS($D$2:D97),A97:B1315,2,0),"")</f>
        <v>Baton Rouge Metroplitan BTR</v>
      </c>
      <c r="F97">
        <f>IF(ISNUMBER(SEARCH(Request!$N$19,G97)),MAX(F$1:$F96)+1,0)</f>
        <v>96</v>
      </c>
      <c r="G97" s="11" t="s">
        <v>4164</v>
      </c>
      <c r="H97" t="str">
        <f>IFERROR(VLOOKUP(ROWS($H$2:H97),F97:G1315,2,0),"")</f>
        <v>Baton Rouge Metroplitan BTR</v>
      </c>
    </row>
    <row r="98" spans="1:8" x14ac:dyDescent="0.25">
      <c r="A98">
        <f>IF(ISNUMBER(SEARCH(Request!$I$19,B98)),MAX($A$1:A97)+1,0)</f>
        <v>97</v>
      </c>
      <c r="B98" s="11" t="s">
        <v>4165</v>
      </c>
      <c r="D98" t="str">
        <f>IFERROR(VLOOKUP(ROWS($D$2:D98),A98:B1316,2,0),"")</f>
        <v>Beauvais/Tille BVA</v>
      </c>
      <c r="F98">
        <f>IF(ISNUMBER(SEARCH(Request!$N$19,G98)),MAX(F$1:$F97)+1,0)</f>
        <v>97</v>
      </c>
      <c r="G98" s="11" t="s">
        <v>4165</v>
      </c>
      <c r="H98" t="str">
        <f>IFERROR(VLOOKUP(ROWS($H$2:H98),F98:G1316,2,0),"")</f>
        <v>Beauvais/Tille BVA</v>
      </c>
    </row>
    <row r="99" spans="1:8" x14ac:dyDescent="0.25">
      <c r="A99">
        <f>IF(ISNUMBER(SEARCH(Request!$I$19,B99)),MAX($A$1:A98)+1,0)</f>
        <v>98</v>
      </c>
      <c r="B99" s="11" t="s">
        <v>4166</v>
      </c>
      <c r="D99" t="str">
        <f>IFERROR(VLOOKUP(ROWS($D$2:D99),A99:B1317,2,0),"")</f>
        <v>Beijing – Capital PEK</v>
      </c>
      <c r="F99">
        <f>IF(ISNUMBER(SEARCH(Request!$N$19,G99)),MAX(F$1:$F98)+1,0)</f>
        <v>98</v>
      </c>
      <c r="G99" s="11" t="s">
        <v>4166</v>
      </c>
      <c r="H99" t="str">
        <f>IFERROR(VLOOKUP(ROWS($H$2:H99),F99:G1317,2,0),"")</f>
        <v>Beijing – Capital PEK</v>
      </c>
    </row>
    <row r="100" spans="1:8" x14ac:dyDescent="0.25">
      <c r="A100">
        <f>IF(ISNUMBER(SEARCH(Request!$I$19,B100)),MAX($A$1:A99)+1,0)</f>
        <v>99</v>
      </c>
      <c r="B100" s="11" t="s">
        <v>4167</v>
      </c>
      <c r="D100" t="str">
        <f>IFERROR(VLOOKUP(ROWS($D$2:D100),A100:B1318,2,0),"")</f>
        <v>Beira BEW</v>
      </c>
      <c r="F100">
        <f>IF(ISNUMBER(SEARCH(Request!$N$19,G100)),MAX(F$1:$F99)+1,0)</f>
        <v>99</v>
      </c>
      <c r="G100" s="11" t="s">
        <v>4167</v>
      </c>
      <c r="H100" t="str">
        <f>IFERROR(VLOOKUP(ROWS($H$2:H100),F100:G1318,2,0),"")</f>
        <v>Beira BEW</v>
      </c>
    </row>
    <row r="101" spans="1:8" x14ac:dyDescent="0.25">
      <c r="A101">
        <f>IF(ISNUMBER(SEARCH(Request!$I$19,B101)),MAX($A$1:A100)+1,0)</f>
        <v>100</v>
      </c>
      <c r="B101" s="11" t="s">
        <v>4168</v>
      </c>
      <c r="D101" t="str">
        <f>IFERROR(VLOOKUP(ROWS($D$2:D101),A101:B1319,2,0),"")</f>
        <v>Beirut BEY</v>
      </c>
      <c r="F101">
        <f>IF(ISNUMBER(SEARCH(Request!$N$19,G101)),MAX(F$1:$F100)+1,0)</f>
        <v>100</v>
      </c>
      <c r="G101" s="11" t="s">
        <v>4168</v>
      </c>
      <c r="H101" t="str">
        <f>IFERROR(VLOOKUP(ROWS($H$2:H101),F101:G1319,2,0),"")</f>
        <v>Beirut BEY</v>
      </c>
    </row>
    <row r="102" spans="1:8" x14ac:dyDescent="0.25">
      <c r="A102">
        <f>IF(ISNUMBER(SEARCH(Request!$I$19,B102)),MAX($A$1:A101)+1,0)</f>
        <v>101</v>
      </c>
      <c r="B102" s="11" t="s">
        <v>4169</v>
      </c>
      <c r="D102" t="str">
        <f>IFERROR(VLOOKUP(ROWS($D$2:D102),A102:B1320,2,0),"")</f>
        <v>Belfast BFS</v>
      </c>
      <c r="F102">
        <f>IF(ISNUMBER(SEARCH(Request!$N$19,G102)),MAX(F$1:$F101)+1,0)</f>
        <v>101</v>
      </c>
      <c r="G102" s="11" t="s">
        <v>4169</v>
      </c>
      <c r="H102" t="str">
        <f>IFERROR(VLOOKUP(ROWS($H$2:H102),F102:G1320,2,0),"")</f>
        <v>Belfast BFS</v>
      </c>
    </row>
    <row r="103" spans="1:8" x14ac:dyDescent="0.25">
      <c r="A103">
        <f>IF(ISNUMBER(SEARCH(Request!$I$19,B103)),MAX($A$1:A102)+1,0)</f>
        <v>102</v>
      </c>
      <c r="B103" s="11" t="s">
        <v>4169</v>
      </c>
      <c r="D103" t="str">
        <f>IFERROR(VLOOKUP(ROWS($D$2:D103),A103:B1321,2,0),"")</f>
        <v>Belfast BFS</v>
      </c>
      <c r="F103">
        <f>IF(ISNUMBER(SEARCH(Request!$N$19,G103)),MAX(F$1:$F102)+1,0)</f>
        <v>102</v>
      </c>
      <c r="G103" s="11" t="s">
        <v>4169</v>
      </c>
      <c r="H103" t="str">
        <f>IFERROR(VLOOKUP(ROWS($H$2:H103),F103:G1321,2,0),"")</f>
        <v>Belfast BFS</v>
      </c>
    </row>
    <row r="104" spans="1:8" x14ac:dyDescent="0.25">
      <c r="A104">
        <f>IF(ISNUMBER(SEARCH(Request!$I$19,B104)),MAX($A$1:A103)+1,0)</f>
        <v>103</v>
      </c>
      <c r="B104" s="11" t="s">
        <v>4170</v>
      </c>
      <c r="D104" t="str">
        <f>IFERROR(VLOOKUP(ROWS($D$2:D104),A104:B1322,2,0),"")</f>
        <v>Belfast City BHD</v>
      </c>
      <c r="F104">
        <f>IF(ISNUMBER(SEARCH(Request!$N$19,G104)),MAX(F$1:$F103)+1,0)</f>
        <v>103</v>
      </c>
      <c r="G104" s="11" t="s">
        <v>4170</v>
      </c>
      <c r="H104" t="str">
        <f>IFERROR(VLOOKUP(ROWS($H$2:H104),F104:G1322,2,0),"")</f>
        <v>Belfast City BHD</v>
      </c>
    </row>
    <row r="105" spans="1:8" x14ac:dyDescent="0.25">
      <c r="A105">
        <f>IF(ISNUMBER(SEARCH(Request!$I$19,B105)),MAX($A$1:A104)+1,0)</f>
        <v>104</v>
      </c>
      <c r="B105" s="11" t="s">
        <v>4171</v>
      </c>
      <c r="D105" t="str">
        <f>IFERROR(VLOOKUP(ROWS($D$2:D105),A105:B1323,2,0),"")</f>
        <v>Belgrade BEG</v>
      </c>
      <c r="F105">
        <f>IF(ISNUMBER(SEARCH(Request!$N$19,G105)),MAX(F$1:$F104)+1,0)</f>
        <v>104</v>
      </c>
      <c r="G105" s="11" t="s">
        <v>4171</v>
      </c>
      <c r="H105" t="str">
        <f>IFERROR(VLOOKUP(ROWS($H$2:H105),F105:G1323,2,0),"")</f>
        <v>Belgrade BEG</v>
      </c>
    </row>
    <row r="106" spans="1:8" x14ac:dyDescent="0.25">
      <c r="A106">
        <f>IF(ISNUMBER(SEARCH(Request!$I$19,B106)),MAX($A$1:A105)+1,0)</f>
        <v>105</v>
      </c>
      <c r="B106" s="11" t="s">
        <v>4172</v>
      </c>
      <c r="D106" t="str">
        <f>IFERROR(VLOOKUP(ROWS($D$2:D106),A106:B1324,2,0),"")</f>
        <v>Belize-Phillip SW Goldson BZE</v>
      </c>
      <c r="F106">
        <f>IF(ISNUMBER(SEARCH(Request!$N$19,G106)),MAX(F$1:$F105)+1,0)</f>
        <v>105</v>
      </c>
      <c r="G106" s="11" t="s">
        <v>4172</v>
      </c>
      <c r="H106" t="str">
        <f>IFERROR(VLOOKUP(ROWS($H$2:H106),F106:G1324,2,0),"")</f>
        <v>Belize-Phillip SW Goldson BZE</v>
      </c>
    </row>
    <row r="107" spans="1:8" x14ac:dyDescent="0.25">
      <c r="A107">
        <f>IF(ISNUMBER(SEARCH(Request!$I$19,B107)),MAX($A$1:A106)+1,0)</f>
        <v>106</v>
      </c>
      <c r="B107" s="11" t="s">
        <v>4173</v>
      </c>
      <c r="D107" t="str">
        <f>IFERROR(VLOOKUP(ROWS($D$2:D107),A107:B1325,2,0),"")</f>
        <v>Bellingham BLI</v>
      </c>
      <c r="F107">
        <f>IF(ISNUMBER(SEARCH(Request!$N$19,G107)),MAX(F$1:$F106)+1,0)</f>
        <v>106</v>
      </c>
      <c r="G107" s="11" t="s">
        <v>4173</v>
      </c>
      <c r="H107" t="str">
        <f>IFERROR(VLOOKUP(ROWS($H$2:H107),F107:G1325,2,0),"")</f>
        <v>Bellingham BLI</v>
      </c>
    </row>
    <row r="108" spans="1:8" x14ac:dyDescent="0.25">
      <c r="A108">
        <f>IF(ISNUMBER(SEARCH(Request!$I$19,B108)),MAX($A$1:A107)+1,0)</f>
        <v>107</v>
      </c>
      <c r="B108" s="11" t="s">
        <v>4174</v>
      </c>
      <c r="D108" t="str">
        <f>IFERROR(VLOOKUP(ROWS($D$2:D108),A108:B1326,2,0),"")</f>
        <v>Belo Horizonte – Pampulha PLU</v>
      </c>
      <c r="F108">
        <f>IF(ISNUMBER(SEARCH(Request!$N$19,G108)),MAX(F$1:$F107)+1,0)</f>
        <v>107</v>
      </c>
      <c r="G108" s="11" t="s">
        <v>4174</v>
      </c>
      <c r="H108" t="str">
        <f>IFERROR(VLOOKUP(ROWS($H$2:H108),F108:G1326,2,0),"")</f>
        <v>Belo Horizonte – Pampulha PLU</v>
      </c>
    </row>
    <row r="109" spans="1:8" x14ac:dyDescent="0.25">
      <c r="A109">
        <f>IF(ISNUMBER(SEARCH(Request!$I$19,B109)),MAX($A$1:A108)+1,0)</f>
        <v>108</v>
      </c>
      <c r="B109" s="11" t="s">
        <v>4175</v>
      </c>
      <c r="D109" t="str">
        <f>IFERROR(VLOOKUP(ROWS($D$2:D109),A109:B1327,2,0),"")</f>
        <v>Belo Horizonte – Tancredo Neves Int´l CNF</v>
      </c>
      <c r="F109">
        <f>IF(ISNUMBER(SEARCH(Request!$N$19,G109)),MAX(F$1:$F108)+1,0)</f>
        <v>108</v>
      </c>
      <c r="G109" s="11" t="s">
        <v>4175</v>
      </c>
      <c r="H109" t="str">
        <f>IFERROR(VLOOKUP(ROWS($H$2:H109),F109:G1327,2,0),"")</f>
        <v>Belo Horizonte – Tancredo Neves Int´l CNF</v>
      </c>
    </row>
    <row r="110" spans="1:8" x14ac:dyDescent="0.25">
      <c r="A110">
        <f>IF(ISNUMBER(SEARCH(Request!$I$19,B110)),MAX($A$1:A109)+1,0)</f>
        <v>109</v>
      </c>
      <c r="B110" s="11" t="s">
        <v>4176</v>
      </c>
      <c r="D110" t="str">
        <f>IFERROR(VLOOKUP(ROWS($D$2:D110),A110:B1328,2,0),"")</f>
        <v>Benbecula BEB</v>
      </c>
      <c r="F110">
        <f>IF(ISNUMBER(SEARCH(Request!$N$19,G110)),MAX(F$1:$F109)+1,0)</f>
        <v>109</v>
      </c>
      <c r="G110" s="11" t="s">
        <v>4176</v>
      </c>
      <c r="H110" t="str">
        <f>IFERROR(VLOOKUP(ROWS($H$2:H110),F110:G1328,2,0),"")</f>
        <v>Benbecula BEB</v>
      </c>
    </row>
    <row r="111" spans="1:8" x14ac:dyDescent="0.25">
      <c r="A111">
        <f>IF(ISNUMBER(SEARCH(Request!$I$19,B111)),MAX($A$1:A110)+1,0)</f>
        <v>110</v>
      </c>
      <c r="B111" s="11" t="s">
        <v>4177</v>
      </c>
      <c r="D111" t="str">
        <f>IFERROR(VLOOKUP(ROWS($D$2:D111),A111:B1329,2,0),"")</f>
        <v>Benghazi – Benina BEN</v>
      </c>
      <c r="F111">
        <f>IF(ISNUMBER(SEARCH(Request!$N$19,G111)),MAX(F$1:$F110)+1,0)</f>
        <v>110</v>
      </c>
      <c r="G111" s="11" t="s">
        <v>4177</v>
      </c>
      <c r="H111" t="str">
        <f>IFERROR(VLOOKUP(ROWS($H$2:H111),F111:G1329,2,0),"")</f>
        <v>Benghazi – Benina BEN</v>
      </c>
    </row>
    <row r="112" spans="1:8" x14ac:dyDescent="0.25">
      <c r="A112">
        <f>IF(ISNUMBER(SEARCH(Request!$I$19,B112)),MAX($A$1:A111)+1,0)</f>
        <v>111</v>
      </c>
      <c r="B112" s="11" t="s">
        <v>4178</v>
      </c>
      <c r="D112" t="str">
        <f>IFERROR(VLOOKUP(ROWS($D$2:D112),A112:B1330,2,0),"")</f>
        <v>Bergen, Flesland BGO</v>
      </c>
      <c r="F112">
        <f>IF(ISNUMBER(SEARCH(Request!$N$19,G112)),MAX(F$1:$F111)+1,0)</f>
        <v>111</v>
      </c>
      <c r="G112" s="11" t="s">
        <v>4178</v>
      </c>
      <c r="H112" t="str">
        <f>IFERROR(VLOOKUP(ROWS($H$2:H112),F112:G1330,2,0),"")</f>
        <v>Bergen, Flesland BGO</v>
      </c>
    </row>
    <row r="113" spans="1:8" x14ac:dyDescent="0.25">
      <c r="A113">
        <f>IF(ISNUMBER(SEARCH(Request!$I$19,B113)),MAX($A$1:A112)+1,0)</f>
        <v>112</v>
      </c>
      <c r="B113" s="11" t="s">
        <v>4179</v>
      </c>
      <c r="D113" t="str">
        <f>IFERROR(VLOOKUP(ROWS($D$2:D113),A113:B1331,2,0),"")</f>
        <v>Bergerac-Roumaniere EGC</v>
      </c>
      <c r="F113">
        <f>IF(ISNUMBER(SEARCH(Request!$N$19,G113)),MAX(F$1:$F112)+1,0)</f>
        <v>112</v>
      </c>
      <c r="G113" s="11" t="s">
        <v>4179</v>
      </c>
      <c r="H113" t="str">
        <f>IFERROR(VLOOKUP(ROWS($H$2:H113),F113:G1331,2,0),"")</f>
        <v>Bergerac-Roumaniere EGC</v>
      </c>
    </row>
    <row r="114" spans="1:8" x14ac:dyDescent="0.25">
      <c r="A114">
        <f>IF(ISNUMBER(SEARCH(Request!$I$19,B114)),MAX($A$1:A113)+1,0)</f>
        <v>113</v>
      </c>
      <c r="B114" s="11" t="s">
        <v>4180</v>
      </c>
      <c r="D114" t="str">
        <f>IFERROR(VLOOKUP(ROWS($D$2:D114),A114:B1332,2,0),"")</f>
        <v>Berlin – Schönefeld SXF</v>
      </c>
      <c r="F114">
        <f>IF(ISNUMBER(SEARCH(Request!$N$19,G114)),MAX(F$1:$F113)+1,0)</f>
        <v>113</v>
      </c>
      <c r="G114" s="11" t="s">
        <v>4180</v>
      </c>
      <c r="H114" t="str">
        <f>IFERROR(VLOOKUP(ROWS($H$2:H114),F114:G1332,2,0),"")</f>
        <v>Berlin – Schönefeld SXF</v>
      </c>
    </row>
    <row r="115" spans="1:8" x14ac:dyDescent="0.25">
      <c r="A115">
        <f>IF(ISNUMBER(SEARCH(Request!$I$19,B115)),MAX($A$1:A114)+1,0)</f>
        <v>114</v>
      </c>
      <c r="B115" s="11" t="s">
        <v>4181</v>
      </c>
      <c r="D115" t="str">
        <f>IFERROR(VLOOKUP(ROWS($D$2:D115),A115:B1333,2,0),"")</f>
        <v>Berlin – Tegel TXL</v>
      </c>
      <c r="F115">
        <f>IF(ISNUMBER(SEARCH(Request!$N$19,G115)),MAX(F$1:$F114)+1,0)</f>
        <v>114</v>
      </c>
      <c r="G115" s="11" t="s">
        <v>4181</v>
      </c>
      <c r="H115" t="str">
        <f>IFERROR(VLOOKUP(ROWS($H$2:H115),F115:G1333,2,0),"")</f>
        <v>Berlin – Tegel TXL</v>
      </c>
    </row>
    <row r="116" spans="1:8" x14ac:dyDescent="0.25">
      <c r="A116">
        <f>IF(ISNUMBER(SEARCH(Request!$I$19,B116)),MAX($A$1:A115)+1,0)</f>
        <v>115</v>
      </c>
      <c r="B116" s="11" t="s">
        <v>4182</v>
      </c>
      <c r="D116" t="str">
        <f>IFERROR(VLOOKUP(ROWS($D$2:D116),A116:B1334,2,0),"")</f>
        <v>Berlin – Tempelhof THF</v>
      </c>
      <c r="F116">
        <f>IF(ISNUMBER(SEARCH(Request!$N$19,G116)),MAX(F$1:$F115)+1,0)</f>
        <v>115</v>
      </c>
      <c r="G116" s="11" t="s">
        <v>4182</v>
      </c>
      <c r="H116" t="str">
        <f>IFERROR(VLOOKUP(ROWS($H$2:H116),F116:G1334,2,0),"")</f>
        <v>Berlin – Tempelhof THF</v>
      </c>
    </row>
    <row r="117" spans="1:8" x14ac:dyDescent="0.25">
      <c r="A117">
        <f>IF(ISNUMBER(SEARCH(Request!$I$19,B117)),MAX($A$1:A116)+1,0)</f>
        <v>116</v>
      </c>
      <c r="B117" s="11" t="s">
        <v>4183</v>
      </c>
      <c r="D117" t="str">
        <f>IFERROR(VLOOKUP(ROWS($D$2:D117),A117:B1335,2,0),"")</f>
        <v>Bermuda BDA</v>
      </c>
      <c r="F117">
        <f>IF(ISNUMBER(SEARCH(Request!$N$19,G117)),MAX(F$1:$F116)+1,0)</f>
        <v>116</v>
      </c>
      <c r="G117" s="11" t="s">
        <v>4183</v>
      </c>
      <c r="H117" t="str">
        <f>IFERROR(VLOOKUP(ROWS($H$2:H117),F117:G1335,2,0),"")</f>
        <v>Bermuda BDA</v>
      </c>
    </row>
    <row r="118" spans="1:8" x14ac:dyDescent="0.25">
      <c r="A118">
        <f>IF(ISNUMBER(SEARCH(Request!$I$19,B118)),MAX($A$1:A117)+1,0)</f>
        <v>117</v>
      </c>
      <c r="B118" s="11" t="s">
        <v>4184</v>
      </c>
      <c r="D118" t="str">
        <f>IFERROR(VLOOKUP(ROWS($D$2:D118),A118:B1336,2,0),"")</f>
        <v>Bern BRN</v>
      </c>
      <c r="F118">
        <f>IF(ISNUMBER(SEARCH(Request!$N$19,G118)),MAX(F$1:$F117)+1,0)</f>
        <v>117</v>
      </c>
      <c r="G118" s="11" t="s">
        <v>4184</v>
      </c>
      <c r="H118" t="str">
        <f>IFERROR(VLOOKUP(ROWS($H$2:H118),F118:G1336,2,0),"")</f>
        <v>Bern BRN</v>
      </c>
    </row>
    <row r="119" spans="1:8" x14ac:dyDescent="0.25">
      <c r="A119">
        <f>IF(ISNUMBER(SEARCH(Request!$I$19,B119)),MAX($A$1:A118)+1,0)</f>
        <v>118</v>
      </c>
      <c r="B119" s="11" t="s">
        <v>4185</v>
      </c>
      <c r="D119" t="str">
        <f>IFERROR(VLOOKUP(ROWS($D$2:D119),A119:B1337,2,0),"")</f>
        <v>Beziers/Vias BZR</v>
      </c>
      <c r="F119">
        <f>IF(ISNUMBER(SEARCH(Request!$N$19,G119)),MAX(F$1:$F118)+1,0)</f>
        <v>118</v>
      </c>
      <c r="G119" s="11" t="s">
        <v>4185</v>
      </c>
      <c r="H119" t="str">
        <f>IFERROR(VLOOKUP(ROWS($H$2:H119),F119:G1337,2,0),"")</f>
        <v>Beziers/Vias BZR</v>
      </c>
    </row>
    <row r="120" spans="1:8" x14ac:dyDescent="0.25">
      <c r="A120">
        <f>IF(ISNUMBER(SEARCH(Request!$I$19,B120)),MAX($A$1:A119)+1,0)</f>
        <v>119</v>
      </c>
      <c r="B120" s="11" t="s">
        <v>4186</v>
      </c>
      <c r="D120" t="str">
        <f>IFERROR(VLOOKUP(ROWS($D$2:D120),A120:B1338,2,0),"")</f>
        <v>Biak-Frans Kaisiepo BIK</v>
      </c>
      <c r="F120">
        <f>IF(ISNUMBER(SEARCH(Request!$N$19,G120)),MAX(F$1:$F119)+1,0)</f>
        <v>119</v>
      </c>
      <c r="G120" s="11" t="s">
        <v>4186</v>
      </c>
      <c r="H120" t="str">
        <f>IFERROR(VLOOKUP(ROWS($H$2:H120),F120:G1338,2,0),"")</f>
        <v>Biak-Frans Kaisiepo BIK</v>
      </c>
    </row>
    <row r="121" spans="1:8" x14ac:dyDescent="0.25">
      <c r="A121">
        <f>IF(ISNUMBER(SEARCH(Request!$I$19,B121)),MAX($A$1:A120)+1,0)</f>
        <v>120</v>
      </c>
      <c r="B121" s="11" t="s">
        <v>4187</v>
      </c>
      <c r="D121" t="str">
        <f>IFERROR(VLOOKUP(ROWS($D$2:D121),A121:B1339,2,0),"")</f>
        <v>Biarritz/Bayone/Anglet BIQ</v>
      </c>
      <c r="F121">
        <f>IF(ISNUMBER(SEARCH(Request!$N$19,G121)),MAX(F$1:$F120)+1,0)</f>
        <v>120</v>
      </c>
      <c r="G121" s="11" t="s">
        <v>4187</v>
      </c>
      <c r="H121" t="str">
        <f>IFERROR(VLOOKUP(ROWS($H$2:H121),F121:G1339,2,0),"")</f>
        <v>Biarritz/Bayone/Anglet BIQ</v>
      </c>
    </row>
    <row r="122" spans="1:8" x14ac:dyDescent="0.25">
      <c r="A122">
        <f>IF(ISNUMBER(SEARCH(Request!$I$19,B122)),MAX($A$1:A121)+1,0)</f>
        <v>121</v>
      </c>
      <c r="B122" s="11" t="s">
        <v>4188</v>
      </c>
      <c r="D122" t="str">
        <f>IFERROR(VLOOKUP(ROWS($D$2:D122),A122:B1340,2,0),"")</f>
        <v>Bilbao BIO</v>
      </c>
      <c r="F122">
        <f>IF(ISNUMBER(SEARCH(Request!$N$19,G122)),MAX(F$1:$F121)+1,0)</f>
        <v>121</v>
      </c>
      <c r="G122" s="11" t="s">
        <v>4188</v>
      </c>
      <c r="H122" t="str">
        <f>IFERROR(VLOOKUP(ROWS($H$2:H122),F122:G1340,2,0),"")</f>
        <v>Bilbao BIO</v>
      </c>
    </row>
    <row r="123" spans="1:8" x14ac:dyDescent="0.25">
      <c r="A123">
        <f>IF(ISNUMBER(SEARCH(Request!$I$19,B123)),MAX($A$1:A122)+1,0)</f>
        <v>122</v>
      </c>
      <c r="B123" s="11" t="s">
        <v>4189</v>
      </c>
      <c r="D123" t="str">
        <f>IFERROR(VLOOKUP(ROWS($D$2:D123),A123:B1341,2,0),"")</f>
        <v>Billings Logan BIL</v>
      </c>
      <c r="F123">
        <f>IF(ISNUMBER(SEARCH(Request!$N$19,G123)),MAX(F$1:$F122)+1,0)</f>
        <v>122</v>
      </c>
      <c r="G123" s="11" t="s">
        <v>4189</v>
      </c>
      <c r="H123" t="str">
        <f>IFERROR(VLOOKUP(ROWS($H$2:H123),F123:G1341,2,0),"")</f>
        <v>Billings Logan BIL</v>
      </c>
    </row>
    <row r="124" spans="1:8" x14ac:dyDescent="0.25">
      <c r="A124">
        <f>IF(ISNUMBER(SEARCH(Request!$I$19,B124)),MAX($A$1:A123)+1,0)</f>
        <v>123</v>
      </c>
      <c r="B124" s="11" t="s">
        <v>4190</v>
      </c>
      <c r="D124" t="str">
        <f>IFERROR(VLOOKUP(ROWS($D$2:D124),A124:B1342,2,0),"")</f>
        <v>Billund BLL</v>
      </c>
      <c r="F124">
        <f>IF(ISNUMBER(SEARCH(Request!$N$19,G124)),MAX(F$1:$F123)+1,0)</f>
        <v>123</v>
      </c>
      <c r="G124" s="11" t="s">
        <v>4190</v>
      </c>
      <c r="H124" t="str">
        <f>IFERROR(VLOOKUP(ROWS($H$2:H124),F124:G1342,2,0),"")</f>
        <v>Billund BLL</v>
      </c>
    </row>
    <row r="125" spans="1:8" x14ac:dyDescent="0.25">
      <c r="A125">
        <f>IF(ISNUMBER(SEARCH(Request!$I$19,B125)),MAX($A$1:A124)+1,0)</f>
        <v>124</v>
      </c>
      <c r="B125" s="11" t="s">
        <v>4191</v>
      </c>
      <c r="D125" t="str">
        <f>IFERROR(VLOOKUP(ROWS($D$2:D125),A125:B1343,2,0),"")</f>
        <v>Binghamton BGM</v>
      </c>
      <c r="F125">
        <f>IF(ISNUMBER(SEARCH(Request!$N$19,G125)),MAX(F$1:$F124)+1,0)</f>
        <v>124</v>
      </c>
      <c r="G125" s="11" t="s">
        <v>4191</v>
      </c>
      <c r="H125" t="str">
        <f>IFERROR(VLOOKUP(ROWS($H$2:H125),F125:G1343,2,0),"")</f>
        <v>Binghamton BGM</v>
      </c>
    </row>
    <row r="126" spans="1:8" x14ac:dyDescent="0.25">
      <c r="A126">
        <f>IF(ISNUMBER(SEARCH(Request!$I$19,B126)),MAX($A$1:A125)+1,0)</f>
        <v>125</v>
      </c>
      <c r="B126" s="11" t="s">
        <v>4192</v>
      </c>
      <c r="D126" t="str">
        <f>IFERROR(VLOOKUP(ROWS($D$2:D126),A126:B1344,2,0),"")</f>
        <v>Bintulu BTU</v>
      </c>
      <c r="F126">
        <f>IF(ISNUMBER(SEARCH(Request!$N$19,G126)),MAX(F$1:$F125)+1,0)</f>
        <v>125</v>
      </c>
      <c r="G126" s="11" t="s">
        <v>4192</v>
      </c>
      <c r="H126" t="str">
        <f>IFERROR(VLOOKUP(ROWS($H$2:H126),F126:G1344,2,0),"")</f>
        <v>Bintulu BTU</v>
      </c>
    </row>
    <row r="127" spans="1:8" x14ac:dyDescent="0.25">
      <c r="A127">
        <f>IF(ISNUMBER(SEARCH(Request!$I$19,B127)),MAX($A$1:A126)+1,0)</f>
        <v>126</v>
      </c>
      <c r="B127" s="11" t="s">
        <v>4194</v>
      </c>
      <c r="D127" t="str">
        <f>IFERROR(VLOOKUP(ROWS($D$2:D127),A127:B1345,2,0),"")</f>
        <v>Birmingham BHM</v>
      </c>
      <c r="F127">
        <f>IF(ISNUMBER(SEARCH(Request!$N$19,G127)),MAX(F$1:$F126)+1,0)</f>
        <v>126</v>
      </c>
      <c r="G127" s="11" t="s">
        <v>4194</v>
      </c>
      <c r="H127" t="str">
        <f>IFERROR(VLOOKUP(ROWS($H$2:H127),F127:G1345,2,0),"")</f>
        <v>Birmingham BHM</v>
      </c>
    </row>
    <row r="128" spans="1:8" x14ac:dyDescent="0.25">
      <c r="A128">
        <f>IF(ISNUMBER(SEARCH(Request!$I$19,B128)),MAX($A$1:A127)+1,0)</f>
        <v>127</v>
      </c>
      <c r="B128" s="11" t="s">
        <v>4193</v>
      </c>
      <c r="D128" t="str">
        <f>IFERROR(VLOOKUP(ROWS($D$2:D128),A128:B1346,2,0),"")</f>
        <v>Birmingham BHX</v>
      </c>
      <c r="F128">
        <f>IF(ISNUMBER(SEARCH(Request!$N$19,G128)),MAX(F$1:$F127)+1,0)</f>
        <v>127</v>
      </c>
      <c r="G128" s="11" t="s">
        <v>4193</v>
      </c>
      <c r="H128" t="str">
        <f>IFERROR(VLOOKUP(ROWS($H$2:H128),F128:G1346,2,0),"")</f>
        <v>Birmingham BHX</v>
      </c>
    </row>
    <row r="129" spans="1:8" x14ac:dyDescent="0.25">
      <c r="A129">
        <f>IF(ISNUMBER(SEARCH(Request!$I$19,B129)),MAX($A$1:A128)+1,0)</f>
        <v>128</v>
      </c>
      <c r="B129" s="11" t="s">
        <v>4195</v>
      </c>
      <c r="D129" t="str">
        <f>IFERROR(VLOOKUP(ROWS($D$2:D129),A129:B1347,2,0),"")</f>
        <v>Bishkek-Manas KGA</v>
      </c>
      <c r="F129">
        <f>IF(ISNUMBER(SEARCH(Request!$N$19,G129)),MAX(F$1:$F128)+1,0)</f>
        <v>128</v>
      </c>
      <c r="G129" s="11" t="s">
        <v>4195</v>
      </c>
      <c r="H129" t="str">
        <f>IFERROR(VLOOKUP(ROWS($H$2:H129),F129:G1347,2,0),"")</f>
        <v>Bishkek-Manas KGA</v>
      </c>
    </row>
    <row r="130" spans="1:8" x14ac:dyDescent="0.25">
      <c r="A130">
        <f>IF(ISNUMBER(SEARCH(Request!$I$19,B130)),MAX($A$1:A129)+1,0)</f>
        <v>129</v>
      </c>
      <c r="B130" s="11" t="s">
        <v>4196</v>
      </c>
      <c r="D130" t="str">
        <f>IFERROR(VLOOKUP(ROWS($D$2:D130),A130:B1348,2,0),"")</f>
        <v>Bismark Municipal BIS</v>
      </c>
      <c r="F130">
        <f>IF(ISNUMBER(SEARCH(Request!$N$19,G130)),MAX(F$1:$F129)+1,0)</f>
        <v>129</v>
      </c>
      <c r="G130" s="11" t="s">
        <v>4196</v>
      </c>
      <c r="H130" t="str">
        <f>IFERROR(VLOOKUP(ROWS($H$2:H130),F130:G1348,2,0),"")</f>
        <v>Bismark Municipal BIS</v>
      </c>
    </row>
    <row r="131" spans="1:8" x14ac:dyDescent="0.25">
      <c r="A131">
        <f>IF(ISNUMBER(SEARCH(Request!$I$19,B131)),MAX($A$1:A130)+1,0)</f>
        <v>130</v>
      </c>
      <c r="B131" s="11" t="s">
        <v>4197</v>
      </c>
      <c r="D131" t="str">
        <f>IFERROR(VLOOKUP(ROWS($D$2:D131),A131:B1349,2,0),"")</f>
        <v>Bissau-Osvaldo Vieira BXO</v>
      </c>
      <c r="F131">
        <f>IF(ISNUMBER(SEARCH(Request!$N$19,G131)),MAX(F$1:$F130)+1,0)</f>
        <v>130</v>
      </c>
      <c r="G131" s="11" t="s">
        <v>4197</v>
      </c>
      <c r="H131" t="str">
        <f>IFERROR(VLOOKUP(ROWS($H$2:H131),F131:G1349,2,0),"")</f>
        <v>Bissau-Osvaldo Vieira BXO</v>
      </c>
    </row>
    <row r="132" spans="1:8" x14ac:dyDescent="0.25">
      <c r="A132">
        <f>IF(ISNUMBER(SEARCH(Request!$I$19,B132)),MAX($A$1:A131)+1,0)</f>
        <v>131</v>
      </c>
      <c r="B132" s="11" t="s">
        <v>4198</v>
      </c>
      <c r="D132" t="str">
        <f>IFERROR(VLOOKUP(ROWS($D$2:D132),A132:B1350,2,0),"")</f>
        <v>Blackbushe BBS</v>
      </c>
      <c r="F132">
        <f>IF(ISNUMBER(SEARCH(Request!$N$19,G132)),MAX(F$1:$F131)+1,0)</f>
        <v>131</v>
      </c>
      <c r="G132" s="11" t="s">
        <v>4198</v>
      </c>
      <c r="H132" t="str">
        <f>IFERROR(VLOOKUP(ROWS($H$2:H132),F132:G1350,2,0),"")</f>
        <v>Blackbushe BBS</v>
      </c>
    </row>
    <row r="133" spans="1:8" x14ac:dyDescent="0.25">
      <c r="A133">
        <f>IF(ISNUMBER(SEARCH(Request!$I$19,B133)),MAX($A$1:A132)+1,0)</f>
        <v>132</v>
      </c>
      <c r="B133" s="11" t="s">
        <v>4199</v>
      </c>
      <c r="D133" t="str">
        <f>IFERROR(VLOOKUP(ROWS($D$2:D133),A133:B1351,2,0),"")</f>
        <v>Blackpool BLK</v>
      </c>
      <c r="F133">
        <f>IF(ISNUMBER(SEARCH(Request!$N$19,G133)),MAX(F$1:$F132)+1,0)</f>
        <v>132</v>
      </c>
      <c r="G133" s="11" t="s">
        <v>4199</v>
      </c>
      <c r="H133" t="str">
        <f>IFERROR(VLOOKUP(ROWS($H$2:H133),F133:G1351,2,0),"")</f>
        <v>Blackpool BLK</v>
      </c>
    </row>
    <row r="134" spans="1:8" x14ac:dyDescent="0.25">
      <c r="A134">
        <f>IF(ISNUMBER(SEARCH(Request!$I$19,B134)),MAX($A$1:A133)+1,0)</f>
        <v>133</v>
      </c>
      <c r="B134" s="11" t="s">
        <v>4200</v>
      </c>
      <c r="D134" t="str">
        <f>IFERROR(VLOOKUP(ROWS($D$2:D134),A134:B1352,2,0),"")</f>
        <v>Blantyre-Chileka BLZ</v>
      </c>
      <c r="F134">
        <f>IF(ISNUMBER(SEARCH(Request!$N$19,G134)),MAX(F$1:$F133)+1,0)</f>
        <v>133</v>
      </c>
      <c r="G134" s="11" t="s">
        <v>4200</v>
      </c>
      <c r="H134" t="str">
        <f>IFERROR(VLOOKUP(ROWS($H$2:H134),F134:G1352,2,0),"")</f>
        <v>Blantyre-Chileka BLZ</v>
      </c>
    </row>
    <row r="135" spans="1:8" x14ac:dyDescent="0.25">
      <c r="A135">
        <f>IF(ISNUMBER(SEARCH(Request!$I$19,B135)),MAX($A$1:A134)+1,0)</f>
        <v>134</v>
      </c>
      <c r="B135" s="11" t="s">
        <v>4201</v>
      </c>
      <c r="D135" t="str">
        <f>IFERROR(VLOOKUP(ROWS($D$2:D135),A135:B1353,2,0),"")</f>
        <v>Bloemfontein BFN</v>
      </c>
      <c r="F135">
        <f>IF(ISNUMBER(SEARCH(Request!$N$19,G135)),MAX(F$1:$F134)+1,0)</f>
        <v>134</v>
      </c>
      <c r="G135" s="11" t="s">
        <v>4201</v>
      </c>
      <c r="H135" t="str">
        <f>IFERROR(VLOOKUP(ROWS($H$2:H135),F135:G1353,2,0),"")</f>
        <v>Bloemfontein BFN</v>
      </c>
    </row>
    <row r="136" spans="1:8" x14ac:dyDescent="0.25">
      <c r="A136">
        <f>IF(ISNUMBER(SEARCH(Request!$I$19,B136)),MAX($A$1:A135)+1,0)</f>
        <v>135</v>
      </c>
      <c r="B136" s="11" t="s">
        <v>4202</v>
      </c>
      <c r="D136" t="str">
        <f>IFERROR(VLOOKUP(ROWS($D$2:D136),A136:B1354,2,0),"")</f>
        <v>Bluefield – Mercer County BLF</v>
      </c>
      <c r="F136">
        <f>IF(ISNUMBER(SEARCH(Request!$N$19,G136)),MAX(F$1:$F135)+1,0)</f>
        <v>135</v>
      </c>
      <c r="G136" s="11" t="s">
        <v>4202</v>
      </c>
      <c r="H136" t="str">
        <f>IFERROR(VLOOKUP(ROWS($H$2:H136),F136:G1354,2,0),"")</f>
        <v>Bluefield – Mercer County BLF</v>
      </c>
    </row>
    <row r="137" spans="1:8" x14ac:dyDescent="0.25">
      <c r="A137">
        <f>IF(ISNUMBER(SEARCH(Request!$I$19,B137)),MAX($A$1:A136)+1,0)</f>
        <v>136</v>
      </c>
      <c r="B137" s="11" t="s">
        <v>4203</v>
      </c>
      <c r="D137" t="str">
        <f>IFERROR(VLOOKUP(ROWS($D$2:D137),A137:B1355,2,0),"")</f>
        <v>Boa Vista Int´l BVB</v>
      </c>
      <c r="F137">
        <f>IF(ISNUMBER(SEARCH(Request!$N$19,G137)),MAX(F$1:$F136)+1,0)</f>
        <v>136</v>
      </c>
      <c r="G137" s="11" t="s">
        <v>4203</v>
      </c>
      <c r="H137" t="str">
        <f>IFERROR(VLOOKUP(ROWS($H$2:H137),F137:G1355,2,0),"")</f>
        <v>Boa Vista Int´l BVB</v>
      </c>
    </row>
    <row r="138" spans="1:8" x14ac:dyDescent="0.25">
      <c r="A138">
        <f>IF(ISNUMBER(SEARCH(Request!$I$19,B138)),MAX($A$1:A137)+1,0)</f>
        <v>137</v>
      </c>
      <c r="B138" s="11" t="s">
        <v>4204</v>
      </c>
      <c r="D138" t="str">
        <f>IFERROR(VLOOKUP(ROWS($D$2:D138),A138:B1356,2,0),"")</f>
        <v>Bodø BOO</v>
      </c>
      <c r="F138">
        <f>IF(ISNUMBER(SEARCH(Request!$N$19,G138)),MAX(F$1:$F137)+1,0)</f>
        <v>137</v>
      </c>
      <c r="G138" s="11" t="s">
        <v>4204</v>
      </c>
      <c r="H138" t="str">
        <f>IFERROR(VLOOKUP(ROWS($H$2:H138),F138:G1356,2,0),"")</f>
        <v>Bodø BOO</v>
      </c>
    </row>
    <row r="139" spans="1:8" x14ac:dyDescent="0.25">
      <c r="A139">
        <f>IF(ISNUMBER(SEARCH(Request!$I$19,B139)),MAX($A$1:A138)+1,0)</f>
        <v>138</v>
      </c>
      <c r="B139" s="11" t="s">
        <v>4205</v>
      </c>
      <c r="D139" t="str">
        <f>IFERROR(VLOOKUP(ROWS($D$2:D139),A139:B1357,2,0),"")</f>
        <v>Boeing Field/King County Int´l BFI</v>
      </c>
      <c r="F139">
        <f>IF(ISNUMBER(SEARCH(Request!$N$19,G139)),MAX(F$1:$F138)+1,0)</f>
        <v>138</v>
      </c>
      <c r="G139" s="11" t="s">
        <v>4205</v>
      </c>
      <c r="H139" t="str">
        <f>IFERROR(VLOOKUP(ROWS($H$2:H139),F139:G1357,2,0),"")</f>
        <v>Boeing Field/King County Int´l BFI</v>
      </c>
    </row>
    <row r="140" spans="1:8" x14ac:dyDescent="0.25">
      <c r="A140">
        <f>IF(ISNUMBER(SEARCH(Request!$I$19,B140)),MAX($A$1:A139)+1,0)</f>
        <v>139</v>
      </c>
      <c r="B140" s="11" t="s">
        <v>4206</v>
      </c>
      <c r="D140" t="str">
        <f>IFERROR(VLOOKUP(ROWS($D$2:D140),A140:B1358,2,0),"")</f>
        <v>Bogotá-El Dorado BOG</v>
      </c>
      <c r="F140">
        <f>IF(ISNUMBER(SEARCH(Request!$N$19,G140)),MAX(F$1:$F139)+1,0)</f>
        <v>139</v>
      </c>
      <c r="G140" s="11" t="s">
        <v>4206</v>
      </c>
      <c r="H140" t="str">
        <f>IFERROR(VLOOKUP(ROWS($H$2:H140),F140:G1358,2,0),"")</f>
        <v>Bogotá-El Dorado BOG</v>
      </c>
    </row>
    <row r="141" spans="1:8" x14ac:dyDescent="0.25">
      <c r="A141">
        <f>IF(ISNUMBER(SEARCH(Request!$I$19,B141)),MAX($A$1:A140)+1,0)</f>
        <v>140</v>
      </c>
      <c r="B141" s="11" t="s">
        <v>4207</v>
      </c>
      <c r="D141" t="str">
        <f>IFERROR(VLOOKUP(ROWS($D$2:D141),A141:B1359,2,0),"")</f>
        <v>Boise BOI</v>
      </c>
      <c r="F141">
        <f>IF(ISNUMBER(SEARCH(Request!$N$19,G141)),MAX(F$1:$F140)+1,0)</f>
        <v>140</v>
      </c>
      <c r="G141" s="11" t="s">
        <v>4207</v>
      </c>
      <c r="H141" t="str">
        <f>IFERROR(VLOOKUP(ROWS($H$2:H141),F141:G1359,2,0),"")</f>
        <v>Boise BOI</v>
      </c>
    </row>
    <row r="142" spans="1:8" x14ac:dyDescent="0.25">
      <c r="A142">
        <f>IF(ISNUMBER(SEARCH(Request!$I$19,B142)),MAX($A$1:A141)+1,0)</f>
        <v>141</v>
      </c>
      <c r="B142" s="11" t="s">
        <v>4208</v>
      </c>
      <c r="D142" t="str">
        <f>IFERROR(VLOOKUP(ROWS($D$2:D142),A142:B1360,2,0),"")</f>
        <v>Bologna-G Marconi BLQ</v>
      </c>
      <c r="F142">
        <f>IF(ISNUMBER(SEARCH(Request!$N$19,G142)),MAX(F$1:$F141)+1,0)</f>
        <v>141</v>
      </c>
      <c r="G142" s="11" t="s">
        <v>4208</v>
      </c>
      <c r="H142" t="str">
        <f>IFERROR(VLOOKUP(ROWS($H$2:H142),F142:G1360,2,0),"")</f>
        <v>Bologna-G Marconi BLQ</v>
      </c>
    </row>
    <row r="143" spans="1:8" x14ac:dyDescent="0.25">
      <c r="A143">
        <f>IF(ISNUMBER(SEARCH(Request!$I$19,B143)),MAX($A$1:A142)+1,0)</f>
        <v>142</v>
      </c>
      <c r="B143" s="11" t="s">
        <v>4209</v>
      </c>
      <c r="D143" t="str">
        <f>IFERROR(VLOOKUP(ROWS($D$2:D143),A143:B1361,2,0),"")</f>
        <v>Bonriki Int´l TRW</v>
      </c>
      <c r="F143">
        <f>IF(ISNUMBER(SEARCH(Request!$N$19,G143)),MAX(F$1:$F142)+1,0)</f>
        <v>142</v>
      </c>
      <c r="G143" s="11" t="s">
        <v>4209</v>
      </c>
      <c r="H143" t="str">
        <f>IFERROR(VLOOKUP(ROWS($H$2:H143),F143:G1361,2,0),"")</f>
        <v>Bonriki Int´l TRW</v>
      </c>
    </row>
    <row r="144" spans="1:8" x14ac:dyDescent="0.25">
      <c r="A144">
        <f>IF(ISNUMBER(SEARCH(Request!$I$19,B144)),MAX($A$1:A143)+1,0)</f>
        <v>143</v>
      </c>
      <c r="B144" s="11" t="s">
        <v>4210</v>
      </c>
      <c r="D144" t="str">
        <f>IFERROR(VLOOKUP(ROWS($D$2:D144),A144:B1362,2,0),"")</f>
        <v>Bordeaux/Merignac BOD</v>
      </c>
      <c r="F144">
        <f>IF(ISNUMBER(SEARCH(Request!$N$19,G144)),MAX(F$1:$F143)+1,0)</f>
        <v>143</v>
      </c>
      <c r="G144" s="11" t="s">
        <v>4210</v>
      </c>
      <c r="H144" t="str">
        <f>IFERROR(VLOOKUP(ROWS($H$2:H144),F144:G1362,2,0),"")</f>
        <v>Bordeaux/Merignac BOD</v>
      </c>
    </row>
    <row r="145" spans="1:8" x14ac:dyDescent="0.25">
      <c r="A145">
        <f>IF(ISNUMBER(SEARCH(Request!$I$19,B145)),MAX($A$1:A144)+1,0)</f>
        <v>144</v>
      </c>
      <c r="B145" s="11" t="s">
        <v>4211</v>
      </c>
      <c r="D145" t="str">
        <f>IFERROR(VLOOKUP(ROWS($D$2:D145),A145:B1363,2,0),"")</f>
        <v>Borlänge BLE</v>
      </c>
      <c r="F145">
        <f>IF(ISNUMBER(SEARCH(Request!$N$19,G145)),MAX(F$1:$F144)+1,0)</f>
        <v>144</v>
      </c>
      <c r="G145" s="11" t="s">
        <v>4211</v>
      </c>
      <c r="H145" t="str">
        <f>IFERROR(VLOOKUP(ROWS($H$2:H145),F145:G1363,2,0),"")</f>
        <v>Borlänge BLE</v>
      </c>
    </row>
    <row r="146" spans="1:8" x14ac:dyDescent="0.25">
      <c r="A146">
        <f>IF(ISNUMBER(SEARCH(Request!$I$19,B146)),MAX($A$1:A145)+1,0)</f>
        <v>145</v>
      </c>
      <c r="B146" s="11" t="s">
        <v>4212</v>
      </c>
      <c r="D146" t="str">
        <f>IFERROR(VLOOKUP(ROWS($D$2:D146),A146:B1364,2,0),"")</f>
        <v>Bornholm-Roenne RNN</v>
      </c>
      <c r="F146">
        <f>IF(ISNUMBER(SEARCH(Request!$N$19,G146)),MAX(F$1:$F145)+1,0)</f>
        <v>145</v>
      </c>
      <c r="G146" s="11" t="s">
        <v>4212</v>
      </c>
      <c r="H146" t="str">
        <f>IFERROR(VLOOKUP(ROWS($H$2:H146),F146:G1364,2,0),"")</f>
        <v>Bornholm-Roenne RNN</v>
      </c>
    </row>
    <row r="147" spans="1:8" x14ac:dyDescent="0.25">
      <c r="A147">
        <f>IF(ISNUMBER(SEARCH(Request!$I$19,B147)),MAX($A$1:A146)+1,0)</f>
        <v>146</v>
      </c>
      <c r="B147" s="11" t="s">
        <v>4213</v>
      </c>
      <c r="D147" t="str">
        <f>IFERROR(VLOOKUP(ROWS($D$2:D147),A147:B1365,2,0),"")</f>
        <v>Boston-Logan BOS</v>
      </c>
      <c r="F147">
        <f>IF(ISNUMBER(SEARCH(Request!$N$19,G147)),MAX(F$1:$F146)+1,0)</f>
        <v>146</v>
      </c>
      <c r="G147" s="11" t="s">
        <v>4213</v>
      </c>
      <c r="H147" t="str">
        <f>IFERROR(VLOOKUP(ROWS($H$2:H147),F147:G1365,2,0),"")</f>
        <v>Boston-Logan BOS</v>
      </c>
    </row>
    <row r="148" spans="1:8" x14ac:dyDescent="0.25">
      <c r="A148">
        <f>IF(ISNUMBER(SEARCH(Request!$I$19,B148)),MAX($A$1:A147)+1,0)</f>
        <v>147</v>
      </c>
      <c r="B148" s="11" t="s">
        <v>4214</v>
      </c>
      <c r="D148" t="str">
        <f>IFERROR(VLOOKUP(ROWS($D$2:D148),A148:B1366,2,0),"")</f>
        <v>Bourgas BOJ</v>
      </c>
      <c r="F148">
        <f>IF(ISNUMBER(SEARCH(Request!$N$19,G148)),MAX(F$1:$F147)+1,0)</f>
        <v>147</v>
      </c>
      <c r="G148" s="11" t="s">
        <v>4214</v>
      </c>
      <c r="H148" t="str">
        <f>IFERROR(VLOOKUP(ROWS($H$2:H148),F148:G1366,2,0),"")</f>
        <v>Bourgas BOJ</v>
      </c>
    </row>
    <row r="149" spans="1:8" x14ac:dyDescent="0.25">
      <c r="A149">
        <f>IF(ISNUMBER(SEARCH(Request!$I$19,B149)),MAX($A$1:A148)+1,0)</f>
        <v>148</v>
      </c>
      <c r="B149" s="11" t="s">
        <v>4215</v>
      </c>
      <c r="D149" t="str">
        <f>IFERROR(VLOOKUP(ROWS($D$2:D149),A149:B1367,2,0),"")</f>
        <v>Bourges BOU</v>
      </c>
      <c r="F149">
        <f>IF(ISNUMBER(SEARCH(Request!$N$19,G149)),MAX(F$1:$F148)+1,0)</f>
        <v>148</v>
      </c>
      <c r="G149" s="11" t="s">
        <v>4215</v>
      </c>
      <c r="H149" t="str">
        <f>IFERROR(VLOOKUP(ROWS($H$2:H149),F149:G1367,2,0),"")</f>
        <v>Bourges BOU</v>
      </c>
    </row>
    <row r="150" spans="1:8" x14ac:dyDescent="0.25">
      <c r="A150">
        <f>IF(ISNUMBER(SEARCH(Request!$I$19,B150)),MAX($A$1:A149)+1,0)</f>
        <v>149</v>
      </c>
      <c r="B150" s="11" t="s">
        <v>4216</v>
      </c>
      <c r="D150" t="str">
        <f>IFERROR(VLOOKUP(ROWS($D$2:D150),A150:B1368,2,0),"")</f>
        <v>Bournemouth BOH</v>
      </c>
      <c r="F150">
        <f>IF(ISNUMBER(SEARCH(Request!$N$19,G150)),MAX(F$1:$F149)+1,0)</f>
        <v>149</v>
      </c>
      <c r="G150" s="11" t="s">
        <v>4216</v>
      </c>
      <c r="H150" t="str">
        <f>IFERROR(VLOOKUP(ROWS($H$2:H150),F150:G1368,2,0),"")</f>
        <v>Bournemouth BOH</v>
      </c>
    </row>
    <row r="151" spans="1:8" x14ac:dyDescent="0.25">
      <c r="A151">
        <f>IF(ISNUMBER(SEARCH(Request!$I$19,B151)),MAX($A$1:A150)+1,0)</f>
        <v>150</v>
      </c>
      <c r="B151" s="11" t="s">
        <v>4217</v>
      </c>
      <c r="D151" t="str">
        <f>IFERROR(VLOOKUP(ROWS($D$2:D151),A151:B1369,2,0),"")</f>
        <v>Bozeman BZN</v>
      </c>
      <c r="F151">
        <f>IF(ISNUMBER(SEARCH(Request!$N$19,G151)),MAX(F$1:$F150)+1,0)</f>
        <v>150</v>
      </c>
      <c r="G151" s="11" t="s">
        <v>4217</v>
      </c>
      <c r="H151" t="str">
        <f>IFERROR(VLOOKUP(ROWS($H$2:H151),F151:G1369,2,0),"")</f>
        <v>Bozeman BZN</v>
      </c>
    </row>
    <row r="152" spans="1:8" x14ac:dyDescent="0.25">
      <c r="A152">
        <f>IF(ISNUMBER(SEARCH(Request!$I$19,B152)),MAX($A$1:A151)+1,0)</f>
        <v>151</v>
      </c>
      <c r="B152" s="11" t="s">
        <v>4218</v>
      </c>
      <c r="D152" t="str">
        <f>IFERROR(VLOOKUP(ROWS($D$2:D152),A152:B1370,2,0),"")</f>
        <v>Bradford Regional BFD</v>
      </c>
      <c r="F152">
        <f>IF(ISNUMBER(SEARCH(Request!$N$19,G152)),MAX(F$1:$F151)+1,0)</f>
        <v>151</v>
      </c>
      <c r="G152" s="11" t="s">
        <v>4218</v>
      </c>
      <c r="H152" t="str">
        <f>IFERROR(VLOOKUP(ROWS($H$2:H152),F152:G1370,2,0),"")</f>
        <v>Bradford Regional BFD</v>
      </c>
    </row>
    <row r="153" spans="1:8" x14ac:dyDescent="0.25">
      <c r="A153">
        <f>IF(ISNUMBER(SEARCH(Request!$I$19,B153)),MAX($A$1:A152)+1,0)</f>
        <v>152</v>
      </c>
      <c r="B153" s="11" t="s">
        <v>4219</v>
      </c>
      <c r="D153" t="str">
        <f>IFERROR(VLOOKUP(ROWS($D$2:D153),A153:B1371,2,0),"")</f>
        <v>Brasilia Int´l – Presidente Juscelino Kubitschek BSB</v>
      </c>
      <c r="F153">
        <f>IF(ISNUMBER(SEARCH(Request!$N$19,G153)),MAX(F$1:$F152)+1,0)</f>
        <v>152</v>
      </c>
      <c r="G153" s="11" t="s">
        <v>4219</v>
      </c>
      <c r="H153" t="str">
        <f>IFERROR(VLOOKUP(ROWS($H$2:H153),F153:G1371,2,0),"")</f>
        <v>Brasilia Int´l – Presidente Juscelino Kubitschek BSB</v>
      </c>
    </row>
    <row r="154" spans="1:8" x14ac:dyDescent="0.25">
      <c r="A154">
        <f>IF(ISNUMBER(SEARCH(Request!$I$19,B154)),MAX($A$1:A153)+1,0)</f>
        <v>153</v>
      </c>
      <c r="B154" s="11" t="s">
        <v>4220</v>
      </c>
      <c r="D154" t="str">
        <f>IFERROR(VLOOKUP(ROWS($D$2:D154),A154:B1372,2,0),"")</f>
        <v>Bratislava – M R Stefanik BTS</v>
      </c>
      <c r="F154">
        <f>IF(ISNUMBER(SEARCH(Request!$N$19,G154)),MAX(F$1:$F153)+1,0)</f>
        <v>153</v>
      </c>
      <c r="G154" s="11" t="s">
        <v>4220</v>
      </c>
      <c r="H154" t="str">
        <f>IFERROR(VLOOKUP(ROWS($H$2:H154),F154:G1372,2,0),"")</f>
        <v>Bratislava – M R Stefanik BTS</v>
      </c>
    </row>
    <row r="155" spans="1:8" x14ac:dyDescent="0.25">
      <c r="A155">
        <f>IF(ISNUMBER(SEARCH(Request!$I$19,B155)),MAX($A$1:A154)+1,0)</f>
        <v>154</v>
      </c>
      <c r="B155" s="11" t="s">
        <v>4221</v>
      </c>
      <c r="D155" t="str">
        <f>IFERROR(VLOOKUP(ROWS($D$2:D155),A155:B1373,2,0),"")</f>
        <v>Brazzaville – Maya Maya BVZ</v>
      </c>
      <c r="F155">
        <f>IF(ISNUMBER(SEARCH(Request!$N$19,G155)),MAX(F$1:$F154)+1,0)</f>
        <v>154</v>
      </c>
      <c r="G155" s="11" t="s">
        <v>4221</v>
      </c>
      <c r="H155" t="str">
        <f>IFERROR(VLOOKUP(ROWS($H$2:H155),F155:G1373,2,0),"")</f>
        <v>Brazzaville – Maya Maya BVZ</v>
      </c>
    </row>
    <row r="156" spans="1:8" x14ac:dyDescent="0.25">
      <c r="A156">
        <f>IF(ISNUMBER(SEARCH(Request!$I$19,B156)),MAX($A$1:A155)+1,0)</f>
        <v>155</v>
      </c>
      <c r="B156" s="11" t="s">
        <v>4222</v>
      </c>
      <c r="D156" t="str">
        <f>IFERROR(VLOOKUP(ROWS($D$2:D156),A156:B1374,2,0),"")</f>
        <v>Bremen – Flughafen Bremen BRE</v>
      </c>
      <c r="F156">
        <f>IF(ISNUMBER(SEARCH(Request!$N$19,G156)),MAX(F$1:$F155)+1,0)</f>
        <v>155</v>
      </c>
      <c r="G156" s="11" t="s">
        <v>4222</v>
      </c>
      <c r="H156" t="str">
        <f>IFERROR(VLOOKUP(ROWS($H$2:H156),F156:G1374,2,0),"")</f>
        <v>Bremen – Flughafen Bremen BRE</v>
      </c>
    </row>
    <row r="157" spans="1:8" x14ac:dyDescent="0.25">
      <c r="A157">
        <f>IF(ISNUMBER(SEARCH(Request!$I$19,B157)),MAX($A$1:A156)+1,0)</f>
        <v>156</v>
      </c>
      <c r="B157" s="11" t="s">
        <v>4223</v>
      </c>
      <c r="D157" t="str">
        <f>IFERROR(VLOOKUP(ROWS($D$2:D157),A157:B1375,2,0),"")</f>
        <v>Brest/Guipavas BES</v>
      </c>
      <c r="F157">
        <f>IF(ISNUMBER(SEARCH(Request!$N$19,G157)),MAX(F$1:$F156)+1,0)</f>
        <v>156</v>
      </c>
      <c r="G157" s="11" t="s">
        <v>4223</v>
      </c>
      <c r="H157" t="str">
        <f>IFERROR(VLOOKUP(ROWS($H$2:H157),F157:G1375,2,0),"")</f>
        <v>Brest/Guipavas BES</v>
      </c>
    </row>
    <row r="158" spans="1:8" x14ac:dyDescent="0.25">
      <c r="A158">
        <f>IF(ISNUMBER(SEARCH(Request!$I$19,B158)),MAX($A$1:A157)+1,0)</f>
        <v>157</v>
      </c>
      <c r="B158" s="11" t="s">
        <v>4224</v>
      </c>
      <c r="D158" t="str">
        <f>IFERROR(VLOOKUP(ROWS($D$2:D158),A158:B1376,2,0),"")</f>
        <v>Brindisi BDS</v>
      </c>
      <c r="F158">
        <f>IF(ISNUMBER(SEARCH(Request!$N$19,G158)),MAX(F$1:$F157)+1,0)</f>
        <v>157</v>
      </c>
      <c r="G158" s="11" t="s">
        <v>4224</v>
      </c>
      <c r="H158" t="str">
        <f>IFERROR(VLOOKUP(ROWS($H$2:H158),F158:G1376,2,0),"")</f>
        <v>Brindisi BDS</v>
      </c>
    </row>
    <row r="159" spans="1:8" x14ac:dyDescent="0.25">
      <c r="A159">
        <f>IF(ISNUMBER(SEARCH(Request!$I$19,B159)),MAX($A$1:A158)+1,0)</f>
        <v>158</v>
      </c>
      <c r="B159" s="11" t="s">
        <v>4226</v>
      </c>
      <c r="D159" t="str">
        <f>IFERROR(VLOOKUP(ROWS($D$2:D159),A159:B1377,2,0),"")</f>
        <v>Brisbane – Archerfield BNE</v>
      </c>
      <c r="F159">
        <f>IF(ISNUMBER(SEARCH(Request!$N$19,G159)),MAX(F$1:$F158)+1,0)</f>
        <v>158</v>
      </c>
      <c r="G159" s="11" t="s">
        <v>4226</v>
      </c>
      <c r="H159" t="str">
        <f>IFERROR(VLOOKUP(ROWS($H$2:H159),F159:G1377,2,0),"")</f>
        <v>Brisbane – Archerfield BNE</v>
      </c>
    </row>
    <row r="160" spans="1:8" x14ac:dyDescent="0.25">
      <c r="A160">
        <f>IF(ISNUMBER(SEARCH(Request!$I$19,B160)),MAX($A$1:A159)+1,0)</f>
        <v>159</v>
      </c>
      <c r="B160" s="11" t="s">
        <v>4225</v>
      </c>
      <c r="D160" t="str">
        <f>IFERROR(VLOOKUP(ROWS($D$2:D160),A160:B1378,2,0),"")</f>
        <v>Brisbane BNE</v>
      </c>
      <c r="F160">
        <f>IF(ISNUMBER(SEARCH(Request!$N$19,G160)),MAX(F$1:$F159)+1,0)</f>
        <v>159</v>
      </c>
      <c r="G160" s="11" t="s">
        <v>4225</v>
      </c>
      <c r="H160" t="str">
        <f>IFERROR(VLOOKUP(ROWS($H$2:H160),F160:G1378,2,0),"")</f>
        <v>Brisbane BNE</v>
      </c>
    </row>
    <row r="161" spans="1:8" x14ac:dyDescent="0.25">
      <c r="A161">
        <f>IF(ISNUMBER(SEARCH(Request!$I$19,B161)),MAX($A$1:A160)+1,0)</f>
        <v>160</v>
      </c>
      <c r="B161" s="11" t="s">
        <v>4228</v>
      </c>
      <c r="D161" t="str">
        <f>IFERROR(VLOOKUP(ROWS($D$2:D161),A161:B1379,2,0),"")</f>
        <v>Bristol – Filton BRS</v>
      </c>
      <c r="F161">
        <f>IF(ISNUMBER(SEARCH(Request!$N$19,G161)),MAX(F$1:$F160)+1,0)</f>
        <v>160</v>
      </c>
      <c r="G161" s="11" t="s">
        <v>4228</v>
      </c>
      <c r="H161" t="str">
        <f>IFERROR(VLOOKUP(ROWS($H$2:H161),F161:G1379,2,0),"")</f>
        <v>Bristol – Filton BRS</v>
      </c>
    </row>
    <row r="162" spans="1:8" x14ac:dyDescent="0.25">
      <c r="A162">
        <f>IF(ISNUMBER(SEARCH(Request!$I$19,B162)),MAX($A$1:A161)+1,0)</f>
        <v>161</v>
      </c>
      <c r="B162" s="11" t="s">
        <v>4227</v>
      </c>
      <c r="D162" t="str">
        <f>IFERROR(VLOOKUP(ROWS($D$2:D162),A162:B1380,2,0),"")</f>
        <v>Bristol BRS</v>
      </c>
      <c r="F162">
        <f>IF(ISNUMBER(SEARCH(Request!$N$19,G162)),MAX(F$1:$F161)+1,0)</f>
        <v>161</v>
      </c>
      <c r="G162" s="11" t="s">
        <v>4227</v>
      </c>
      <c r="H162" t="str">
        <f>IFERROR(VLOOKUP(ROWS($H$2:H162),F162:G1380,2,0),"")</f>
        <v>Bristol BRS</v>
      </c>
    </row>
    <row r="163" spans="1:8" x14ac:dyDescent="0.25">
      <c r="A163">
        <f>IF(ISNUMBER(SEARCH(Request!$I$19,B163)),MAX($A$1:A162)+1,0)</f>
        <v>162</v>
      </c>
      <c r="B163" s="11" t="s">
        <v>4229</v>
      </c>
      <c r="D163" t="str">
        <f>IFERROR(VLOOKUP(ROWS($D$2:D163),A163:B1381,2,0),"")</f>
        <v>Brive – La Roche BVE</v>
      </c>
      <c r="F163">
        <f>IF(ISNUMBER(SEARCH(Request!$N$19,G163)),MAX(F$1:$F162)+1,0)</f>
        <v>162</v>
      </c>
      <c r="G163" s="11" t="s">
        <v>4229</v>
      </c>
      <c r="H163" t="str">
        <f>IFERROR(VLOOKUP(ROWS($H$2:H163),F163:G1381,2,0),"")</f>
        <v>Brive – La Roche BVE</v>
      </c>
    </row>
    <row r="164" spans="1:8" x14ac:dyDescent="0.25">
      <c r="A164">
        <f>IF(ISNUMBER(SEARCH(Request!$I$19,B164)),MAX($A$1:A163)+1,0)</f>
        <v>163</v>
      </c>
      <c r="B164" s="11" t="s">
        <v>4230</v>
      </c>
      <c r="D164" t="str">
        <f>IFERROR(VLOOKUP(ROWS($D$2:D164),A164:B1382,2,0),"")</f>
        <v>Brno-Turany BRQ</v>
      </c>
      <c r="F164">
        <f>IF(ISNUMBER(SEARCH(Request!$N$19,G164)),MAX(F$1:$F163)+1,0)</f>
        <v>163</v>
      </c>
      <c r="G164" s="11" t="s">
        <v>4230</v>
      </c>
      <c r="H164" t="str">
        <f>IFERROR(VLOOKUP(ROWS($H$2:H164),F164:G1382,2,0),"")</f>
        <v>Brno-Turany BRQ</v>
      </c>
    </row>
    <row r="165" spans="1:8" x14ac:dyDescent="0.25">
      <c r="A165">
        <f>IF(ISNUMBER(SEARCH(Request!$I$19,B165)),MAX($A$1:A164)+1,0)</f>
        <v>164</v>
      </c>
      <c r="B165" s="11" t="s">
        <v>4231</v>
      </c>
      <c r="D165" t="str">
        <f>IFERROR(VLOOKUP(ROWS($D$2:D165),A165:B1383,2,0),"")</f>
        <v>Brownsville/South Padre Island Int´l BRO</v>
      </c>
      <c r="F165">
        <f>IF(ISNUMBER(SEARCH(Request!$N$19,G165)),MAX(F$1:$F164)+1,0)</f>
        <v>164</v>
      </c>
      <c r="G165" s="11" t="s">
        <v>4231</v>
      </c>
      <c r="H165" t="str">
        <f>IFERROR(VLOOKUP(ROWS($H$2:H165),F165:G1383,2,0),"")</f>
        <v>Brownsville/South Padre Island Int´l BRO</v>
      </c>
    </row>
    <row r="166" spans="1:8" x14ac:dyDescent="0.25">
      <c r="A166">
        <f>IF(ISNUMBER(SEARCH(Request!$I$19,B166)),MAX($A$1:A165)+1,0)</f>
        <v>165</v>
      </c>
      <c r="B166" s="11" t="s">
        <v>4232</v>
      </c>
      <c r="D166" t="str">
        <f>IFERROR(VLOOKUP(ROWS($D$2:D166),A166:B1384,2,0),"")</f>
        <v>Brunei-Bandar Seri Begawan BWN</v>
      </c>
      <c r="F166">
        <f>IF(ISNUMBER(SEARCH(Request!$N$19,G166)),MAX(F$1:$F165)+1,0)</f>
        <v>165</v>
      </c>
      <c r="G166" s="11" t="s">
        <v>4232</v>
      </c>
      <c r="H166" t="str">
        <f>IFERROR(VLOOKUP(ROWS($H$2:H166),F166:G1384,2,0),"")</f>
        <v>Brunei-Bandar Seri Begawan BWN</v>
      </c>
    </row>
    <row r="167" spans="1:8" x14ac:dyDescent="0.25">
      <c r="A167">
        <f>IF(ISNUMBER(SEARCH(Request!$I$19,B167)),MAX($A$1:A166)+1,0)</f>
        <v>166</v>
      </c>
      <c r="B167" s="11" t="s">
        <v>4233</v>
      </c>
      <c r="D167" t="str">
        <f>IFERROR(VLOOKUP(ROWS($D$2:D167),A167:B1385,2,0),"")</f>
        <v>Brussels BRU</v>
      </c>
      <c r="F167">
        <f>IF(ISNUMBER(SEARCH(Request!$N$19,G167)),MAX(F$1:$F166)+1,0)</f>
        <v>166</v>
      </c>
      <c r="G167" s="11" t="s">
        <v>4233</v>
      </c>
      <c r="H167" t="str">
        <f>IFERROR(VLOOKUP(ROWS($H$2:H167),F167:G1385,2,0),"")</f>
        <v>Brussels BRU</v>
      </c>
    </row>
    <row r="168" spans="1:8" x14ac:dyDescent="0.25">
      <c r="A168">
        <f>IF(ISNUMBER(SEARCH(Request!$I$19,B168)),MAX($A$1:A167)+1,0)</f>
        <v>167</v>
      </c>
      <c r="B168" s="11" t="s">
        <v>4234</v>
      </c>
      <c r="D168" t="str">
        <f>IFERROR(VLOOKUP(ROWS($D$2:D168),A168:B1386,2,0),"")</f>
        <v>Brussels-South Charleroi CRL</v>
      </c>
      <c r="F168">
        <f>IF(ISNUMBER(SEARCH(Request!$N$19,G168)),MAX(F$1:$F167)+1,0)</f>
        <v>167</v>
      </c>
      <c r="G168" s="11" t="s">
        <v>4234</v>
      </c>
      <c r="H168" t="str">
        <f>IFERROR(VLOOKUP(ROWS($H$2:H168),F168:G1386,2,0),"")</f>
        <v>Brussels-South Charleroi CRL</v>
      </c>
    </row>
    <row r="169" spans="1:8" x14ac:dyDescent="0.25">
      <c r="A169">
        <f>IF(ISNUMBER(SEARCH(Request!$I$19,B169)),MAX($A$1:A168)+1,0)</f>
        <v>168</v>
      </c>
      <c r="B169" s="11" t="s">
        <v>4235</v>
      </c>
      <c r="D169" t="str">
        <f>IFERROR(VLOOKUP(ROWS($D$2:D169),A169:B1387,2,0),"")</f>
        <v>Bucaramanga – Palo Negro BGA</v>
      </c>
      <c r="F169">
        <f>IF(ISNUMBER(SEARCH(Request!$N$19,G169)),MAX(F$1:$F168)+1,0)</f>
        <v>168</v>
      </c>
      <c r="G169" s="11" t="s">
        <v>4235</v>
      </c>
      <c r="H169" t="str">
        <f>IFERROR(VLOOKUP(ROWS($H$2:H169),F169:G1387,2,0),"")</f>
        <v>Bucaramanga – Palo Negro BGA</v>
      </c>
    </row>
    <row r="170" spans="1:8" x14ac:dyDescent="0.25">
      <c r="A170">
        <f>IF(ISNUMBER(SEARCH(Request!$I$19,B170)),MAX($A$1:A169)+1,0)</f>
        <v>169</v>
      </c>
      <c r="B170" s="11" t="s">
        <v>4236</v>
      </c>
      <c r="D170" t="str">
        <f>IFERROR(VLOOKUP(ROWS($D$2:D170),A170:B1388,2,0),"")</f>
        <v>Bucharest – Baneasa BBU</v>
      </c>
      <c r="F170">
        <f>IF(ISNUMBER(SEARCH(Request!$N$19,G170)),MAX(F$1:$F169)+1,0)</f>
        <v>169</v>
      </c>
      <c r="G170" s="11" t="s">
        <v>4236</v>
      </c>
      <c r="H170" t="str">
        <f>IFERROR(VLOOKUP(ROWS($H$2:H170),F170:G1388,2,0),"")</f>
        <v>Bucharest – Baneasa BBU</v>
      </c>
    </row>
    <row r="171" spans="1:8" x14ac:dyDescent="0.25">
      <c r="A171">
        <f>IF(ISNUMBER(SEARCH(Request!$I$19,B171)),MAX($A$1:A170)+1,0)</f>
        <v>170</v>
      </c>
      <c r="B171" s="11" t="s">
        <v>4237</v>
      </c>
      <c r="D171" t="str">
        <f>IFERROR(VLOOKUP(ROWS($D$2:D171),A171:B1389,2,0),"")</f>
        <v>Bucharest – Otopeni OTP</v>
      </c>
      <c r="F171">
        <f>IF(ISNUMBER(SEARCH(Request!$N$19,G171)),MAX(F$1:$F170)+1,0)</f>
        <v>170</v>
      </c>
      <c r="G171" s="11" t="s">
        <v>4237</v>
      </c>
      <c r="H171" t="str">
        <f>IFERROR(VLOOKUP(ROWS($H$2:H171),F171:G1389,2,0),"")</f>
        <v>Bucharest – Otopeni OTP</v>
      </c>
    </row>
    <row r="172" spans="1:8" x14ac:dyDescent="0.25">
      <c r="A172">
        <f>IF(ISNUMBER(SEARCH(Request!$I$19,B172)),MAX($A$1:A171)+1,0)</f>
        <v>171</v>
      </c>
      <c r="B172" s="11" t="s">
        <v>4238</v>
      </c>
      <c r="D172" t="str">
        <f>IFERROR(VLOOKUP(ROWS($D$2:D172),A172:B1390,2,0),"")</f>
        <v>Budapest – Ferihegy BUD</v>
      </c>
      <c r="F172">
        <f>IF(ISNUMBER(SEARCH(Request!$N$19,G172)),MAX(F$1:$F171)+1,0)</f>
        <v>171</v>
      </c>
      <c r="G172" s="11" t="s">
        <v>4238</v>
      </c>
      <c r="H172" t="str">
        <f>IFERROR(VLOOKUP(ROWS($H$2:H172),F172:G1390,2,0),"")</f>
        <v>Budapest – Ferihegy BUD</v>
      </c>
    </row>
    <row r="173" spans="1:8" x14ac:dyDescent="0.25">
      <c r="A173">
        <f>IF(ISNUMBER(SEARCH(Request!$I$19,B173)),MAX($A$1:A172)+1,0)</f>
        <v>172</v>
      </c>
      <c r="B173" s="11" t="s">
        <v>4239</v>
      </c>
      <c r="D173" t="str">
        <f>IFERROR(VLOOKUP(ROWS($D$2:D173),A173:B1391,2,0),"")</f>
        <v>Buenos Aires – Aeropuerto Ministro Pistarini Int´l Ezeiza EZE</v>
      </c>
      <c r="F173">
        <f>IF(ISNUMBER(SEARCH(Request!$N$19,G173)),MAX(F$1:$F172)+1,0)</f>
        <v>172</v>
      </c>
      <c r="G173" s="11" t="s">
        <v>4239</v>
      </c>
      <c r="H173" t="str">
        <f>IFERROR(VLOOKUP(ROWS($H$2:H173),F173:G1391,2,0),"")</f>
        <v>Buenos Aires – Aeropuerto Ministro Pistarini Int´l Ezeiza EZE</v>
      </c>
    </row>
    <row r="174" spans="1:8" x14ac:dyDescent="0.25">
      <c r="A174">
        <f>IF(ISNUMBER(SEARCH(Request!$I$19,B174)),MAX($A$1:A173)+1,0)</f>
        <v>173</v>
      </c>
      <c r="B174" s="11" t="s">
        <v>4240</v>
      </c>
      <c r="D174" t="str">
        <f>IFERROR(VLOOKUP(ROWS($D$2:D174),A174:B1392,2,0),"")</f>
        <v>Buenos Aires – Don Torcuato DOT</v>
      </c>
      <c r="F174">
        <f>IF(ISNUMBER(SEARCH(Request!$N$19,G174)),MAX(F$1:$F173)+1,0)</f>
        <v>173</v>
      </c>
      <c r="G174" s="11" t="s">
        <v>4240</v>
      </c>
      <c r="H174" t="str">
        <f>IFERROR(VLOOKUP(ROWS($H$2:H174),F174:G1392,2,0),"")</f>
        <v>Buenos Aires – Don Torcuato DOT</v>
      </c>
    </row>
    <row r="175" spans="1:8" x14ac:dyDescent="0.25">
      <c r="A175">
        <f>IF(ISNUMBER(SEARCH(Request!$I$19,B175)),MAX($A$1:A174)+1,0)</f>
        <v>174</v>
      </c>
      <c r="B175" s="11" t="s">
        <v>4241</v>
      </c>
      <c r="D175" t="str">
        <f>IFERROR(VLOOKUP(ROWS($D$2:D175),A175:B1393,2,0),"")</f>
        <v>Buffalo Niagara Int´l BUF</v>
      </c>
      <c r="F175">
        <f>IF(ISNUMBER(SEARCH(Request!$N$19,G175)),MAX(F$1:$F174)+1,0)</f>
        <v>174</v>
      </c>
      <c r="G175" s="11" t="s">
        <v>4241</v>
      </c>
      <c r="H175" t="str">
        <f>IFERROR(VLOOKUP(ROWS($H$2:H175),F175:G1393,2,0),"")</f>
        <v>Buffalo Niagara Int´l BUF</v>
      </c>
    </row>
    <row r="176" spans="1:8" x14ac:dyDescent="0.25">
      <c r="A176">
        <f>IF(ISNUMBER(SEARCH(Request!$I$19,B176)),MAX($A$1:A175)+1,0)</f>
        <v>175</v>
      </c>
      <c r="B176" s="11" t="s">
        <v>4242</v>
      </c>
      <c r="D176" t="str">
        <f>IFERROR(VLOOKUP(ROWS($D$2:D176),A176:B1394,2,0),"")</f>
        <v>Bujumbura BJM</v>
      </c>
      <c r="F176">
        <f>IF(ISNUMBER(SEARCH(Request!$N$19,G176)),MAX(F$1:$F175)+1,0)</f>
        <v>175</v>
      </c>
      <c r="G176" s="11" t="s">
        <v>4242</v>
      </c>
      <c r="H176" t="str">
        <f>IFERROR(VLOOKUP(ROWS($H$2:H176),F176:G1394,2,0),"")</f>
        <v>Bujumbura BJM</v>
      </c>
    </row>
    <row r="177" spans="1:8" x14ac:dyDescent="0.25">
      <c r="A177">
        <f>IF(ISNUMBER(SEARCH(Request!$I$19,B177)),MAX($A$1:A176)+1,0)</f>
        <v>176</v>
      </c>
      <c r="B177" s="11" t="s">
        <v>4243</v>
      </c>
      <c r="D177" t="str">
        <f>IFERROR(VLOOKUP(ROWS($D$2:D177),A177:B1395,2,0),"")</f>
        <v>Bulawayo BUQ</v>
      </c>
      <c r="F177">
        <f>IF(ISNUMBER(SEARCH(Request!$N$19,G177)),MAX(F$1:$F176)+1,0)</f>
        <v>176</v>
      </c>
      <c r="G177" s="11" t="s">
        <v>4243</v>
      </c>
      <c r="H177" t="str">
        <f>IFERROR(VLOOKUP(ROWS($H$2:H177),F177:G1395,2,0),"")</f>
        <v>Bulawayo BUQ</v>
      </c>
    </row>
    <row r="178" spans="1:8" x14ac:dyDescent="0.25">
      <c r="A178">
        <f>IF(ISNUMBER(SEARCH(Request!$I$19,B178)),MAX($A$1:A177)+1,0)</f>
        <v>177</v>
      </c>
      <c r="B178" s="11" t="s">
        <v>4244</v>
      </c>
      <c r="D178" t="str">
        <f>IFERROR(VLOOKUP(ROWS($D$2:D178),A178:B1396,2,0),"")</f>
        <v>Burbank-Glendale-Pasedena BUR</v>
      </c>
      <c r="F178">
        <f>IF(ISNUMBER(SEARCH(Request!$N$19,G178)),MAX(F$1:$F177)+1,0)</f>
        <v>177</v>
      </c>
      <c r="G178" s="11" t="s">
        <v>4244</v>
      </c>
      <c r="H178" t="str">
        <f>IFERROR(VLOOKUP(ROWS($H$2:H178),F178:G1396,2,0),"")</f>
        <v>Burbank-Glendale-Pasedena BUR</v>
      </c>
    </row>
    <row r="179" spans="1:8" x14ac:dyDescent="0.25">
      <c r="A179">
        <f>IF(ISNUMBER(SEARCH(Request!$I$19,B179)),MAX($A$1:A178)+1,0)</f>
        <v>178</v>
      </c>
      <c r="B179" s="11" t="s">
        <v>4245</v>
      </c>
      <c r="D179" t="str">
        <f>IFERROR(VLOOKUP(ROWS($D$2:D179),A179:B1397,2,0),"")</f>
        <v>Burlington BTV</v>
      </c>
      <c r="F179">
        <f>IF(ISNUMBER(SEARCH(Request!$N$19,G179)),MAX(F$1:$F178)+1,0)</f>
        <v>178</v>
      </c>
      <c r="G179" s="11" t="s">
        <v>4245</v>
      </c>
      <c r="H179" t="str">
        <f>IFERROR(VLOOKUP(ROWS($H$2:H179),F179:G1397,2,0),"")</f>
        <v>Burlington BTV</v>
      </c>
    </row>
    <row r="180" spans="1:8" x14ac:dyDescent="0.25">
      <c r="A180">
        <f>IF(ISNUMBER(SEARCH(Request!$I$19,B180)),MAX($A$1:A179)+1,0)</f>
        <v>179</v>
      </c>
      <c r="B180" s="11" t="s">
        <v>4246</v>
      </c>
      <c r="D180" t="str">
        <f>IFERROR(VLOOKUP(ROWS($D$2:D180),A180:B1398,2,0),"")</f>
        <v>Cairns CNS</v>
      </c>
      <c r="F180">
        <f>IF(ISNUMBER(SEARCH(Request!$N$19,G180)),MAX(F$1:$F179)+1,0)</f>
        <v>179</v>
      </c>
      <c r="G180" s="11" t="s">
        <v>4246</v>
      </c>
      <c r="H180" t="str">
        <f>IFERROR(VLOOKUP(ROWS($H$2:H180),F180:G1398,2,0),"")</f>
        <v>Cairns CNS</v>
      </c>
    </row>
    <row r="181" spans="1:8" x14ac:dyDescent="0.25">
      <c r="A181">
        <f>IF(ISNUMBER(SEARCH(Request!$I$19,B181)),MAX($A$1:A180)+1,0)</f>
        <v>180</v>
      </c>
      <c r="B181" s="11" t="s">
        <v>4247</v>
      </c>
      <c r="D181" t="str">
        <f>IFERROR(VLOOKUP(ROWS($D$2:D181),A181:B1399,2,0),"")</f>
        <v>Cairo CAI</v>
      </c>
      <c r="F181">
        <f>IF(ISNUMBER(SEARCH(Request!$N$19,G181)),MAX(F$1:$F180)+1,0)</f>
        <v>180</v>
      </c>
      <c r="G181" s="11" t="s">
        <v>4247</v>
      </c>
      <c r="H181" t="str">
        <f>IFERROR(VLOOKUP(ROWS($H$2:H181),F181:G1399,2,0),"")</f>
        <v>Cairo CAI</v>
      </c>
    </row>
    <row r="182" spans="1:8" x14ac:dyDescent="0.25">
      <c r="A182">
        <f>IF(ISNUMBER(SEARCH(Request!$I$19,B182)),MAX($A$1:A181)+1,0)</f>
        <v>181</v>
      </c>
      <c r="B182" s="11" t="s">
        <v>4248</v>
      </c>
      <c r="D182" t="str">
        <f>IFERROR(VLOOKUP(ROWS($D$2:D182),A182:B1400,2,0),"")</f>
        <v>Calgary YYC</v>
      </c>
      <c r="F182">
        <f>IF(ISNUMBER(SEARCH(Request!$N$19,G182)),MAX(F$1:$F181)+1,0)</f>
        <v>181</v>
      </c>
      <c r="G182" s="11" t="s">
        <v>4248</v>
      </c>
      <c r="H182" t="str">
        <f>IFERROR(VLOOKUP(ROWS($H$2:H182),F182:G1400,2,0),"")</f>
        <v>Calgary YYC</v>
      </c>
    </row>
    <row r="183" spans="1:8" x14ac:dyDescent="0.25">
      <c r="A183">
        <f>IF(ISNUMBER(SEARCH(Request!$I$19,B183)),MAX($A$1:A182)+1,0)</f>
        <v>182</v>
      </c>
      <c r="B183" s="11" t="s">
        <v>4249</v>
      </c>
      <c r="D183" t="str">
        <f>IFERROR(VLOOKUP(ROWS($D$2:D183),A183:B1401,2,0),"")</f>
        <v>Cali-Alfonso Bonilla Aragón CLO</v>
      </c>
      <c r="F183">
        <f>IF(ISNUMBER(SEARCH(Request!$N$19,G183)),MAX(F$1:$F182)+1,0)</f>
        <v>182</v>
      </c>
      <c r="G183" s="11" t="s">
        <v>4249</v>
      </c>
      <c r="H183" t="str">
        <f>IFERROR(VLOOKUP(ROWS($H$2:H183),F183:G1401,2,0),"")</f>
        <v>Cali-Alfonso Bonilla Aragón CLO</v>
      </c>
    </row>
    <row r="184" spans="1:8" x14ac:dyDescent="0.25">
      <c r="A184">
        <f>IF(ISNUMBER(SEARCH(Request!$I$19,B184)),MAX($A$1:A183)+1,0)</f>
        <v>183</v>
      </c>
      <c r="B184" s="11" t="s">
        <v>4250</v>
      </c>
      <c r="D184" t="str">
        <f>IFERROR(VLOOKUP(ROWS($D$2:D184),A184:B1402,2,0),"")</f>
        <v>Calicut CCI</v>
      </c>
      <c r="F184">
        <f>IF(ISNUMBER(SEARCH(Request!$N$19,G184)),MAX(F$1:$F183)+1,0)</f>
        <v>183</v>
      </c>
      <c r="G184" s="11" t="s">
        <v>4250</v>
      </c>
      <c r="H184" t="str">
        <f>IFERROR(VLOOKUP(ROWS($H$2:H184),F184:G1402,2,0),"")</f>
        <v>Calicut CCI</v>
      </c>
    </row>
    <row r="185" spans="1:8" x14ac:dyDescent="0.25">
      <c r="A185">
        <f>IF(ISNUMBER(SEARCH(Request!$I$19,B185)),MAX($A$1:A184)+1,0)</f>
        <v>184</v>
      </c>
      <c r="B185" s="11" t="s">
        <v>4251</v>
      </c>
      <c r="D185" t="str">
        <f>IFERROR(VLOOKUP(ROWS($D$2:D185),A185:B1403,2,0),"")</f>
        <v>Calvi – Sainte Catherine CLY</v>
      </c>
      <c r="F185">
        <f>IF(ISNUMBER(SEARCH(Request!$N$19,G185)),MAX(F$1:$F184)+1,0)</f>
        <v>184</v>
      </c>
      <c r="G185" s="11" t="s">
        <v>4251</v>
      </c>
      <c r="H185" t="str">
        <f>IFERROR(VLOOKUP(ROWS($H$2:H185),F185:G1403,2,0),"")</f>
        <v>Calvi – Sainte Catherine CLY</v>
      </c>
    </row>
    <row r="186" spans="1:8" x14ac:dyDescent="0.25">
      <c r="A186">
        <f>IF(ISNUMBER(SEARCH(Request!$I$19,B186)),MAX($A$1:A185)+1,0)</f>
        <v>185</v>
      </c>
      <c r="B186" s="11" t="s">
        <v>4252</v>
      </c>
      <c r="D186" t="str">
        <f>IFERROR(VLOOKUP(ROWS($D$2:D186),A186:B1404,2,0),"")</f>
        <v>Camagüey-Ignacio Agramonte CMW</v>
      </c>
      <c r="F186">
        <f>IF(ISNUMBER(SEARCH(Request!$N$19,G186)),MAX(F$1:$F185)+1,0)</f>
        <v>185</v>
      </c>
      <c r="G186" s="11" t="s">
        <v>4252</v>
      </c>
      <c r="H186" t="str">
        <f>IFERROR(VLOOKUP(ROWS($H$2:H186),F186:G1404,2,0),"")</f>
        <v>Camagüey-Ignacio Agramonte CMW</v>
      </c>
    </row>
    <row r="187" spans="1:8" x14ac:dyDescent="0.25">
      <c r="A187">
        <f>IF(ISNUMBER(SEARCH(Request!$I$19,B187)),MAX($A$1:A186)+1,0)</f>
        <v>186</v>
      </c>
      <c r="B187" s="11" t="s">
        <v>4253</v>
      </c>
      <c r="D187" t="str">
        <f>IFERROR(VLOOKUP(ROWS($D$2:D187),A187:B1405,2,0),"")</f>
        <v>Cambridge CBG</v>
      </c>
      <c r="F187">
        <f>IF(ISNUMBER(SEARCH(Request!$N$19,G187)),MAX(F$1:$F186)+1,0)</f>
        <v>186</v>
      </c>
      <c r="G187" s="11" t="s">
        <v>4253</v>
      </c>
      <c r="H187" t="str">
        <f>IFERROR(VLOOKUP(ROWS($H$2:H187),F187:G1405,2,0),"")</f>
        <v>Cambridge CBG</v>
      </c>
    </row>
    <row r="188" spans="1:8" x14ac:dyDescent="0.25">
      <c r="A188">
        <f>IF(ISNUMBER(SEARCH(Request!$I$19,B188)),MAX($A$1:A187)+1,0)</f>
        <v>187</v>
      </c>
      <c r="B188" s="11" t="s">
        <v>4254</v>
      </c>
      <c r="D188" t="str">
        <f>IFERROR(VLOOKUP(ROWS($D$2:D188),A188:B1406,2,0),"")</f>
        <v>Camden CDU</v>
      </c>
      <c r="F188">
        <f>IF(ISNUMBER(SEARCH(Request!$N$19,G188)),MAX(F$1:$F187)+1,0)</f>
        <v>187</v>
      </c>
      <c r="G188" s="11" t="s">
        <v>4254</v>
      </c>
      <c r="H188" t="str">
        <f>IFERROR(VLOOKUP(ROWS($H$2:H188),F188:G1406,2,0),"")</f>
        <v>Camden CDU</v>
      </c>
    </row>
    <row r="189" spans="1:8" x14ac:dyDescent="0.25">
      <c r="A189">
        <f>IF(ISNUMBER(SEARCH(Request!$I$19,B189)),MAX($A$1:A188)+1,0)</f>
        <v>188</v>
      </c>
      <c r="B189" s="11" t="s">
        <v>4255</v>
      </c>
      <c r="D189" t="str">
        <f>IFERROR(VLOOKUP(ROWS($D$2:D189),A189:B1407,2,0),"")</f>
        <v>Campbeltown CAL</v>
      </c>
      <c r="F189">
        <f>IF(ISNUMBER(SEARCH(Request!$N$19,G189)),MAX(F$1:$F188)+1,0)</f>
        <v>188</v>
      </c>
      <c r="G189" s="11" t="s">
        <v>4255</v>
      </c>
      <c r="H189" t="str">
        <f>IFERROR(VLOOKUP(ROWS($H$2:H189),F189:G1407,2,0),"")</f>
        <v>Campbeltown CAL</v>
      </c>
    </row>
    <row r="190" spans="1:8" x14ac:dyDescent="0.25">
      <c r="A190">
        <f>IF(ISNUMBER(SEARCH(Request!$I$19,B190)),MAX($A$1:A189)+1,0)</f>
        <v>189</v>
      </c>
      <c r="B190" s="11" t="s">
        <v>4256</v>
      </c>
      <c r="D190" t="str">
        <f>IFERROR(VLOOKUP(ROWS($D$2:D190),A190:B1408,2,0),"")</f>
        <v>Campeche – Ingeniero Alberto Acuna Ongay Int´l CPE</v>
      </c>
      <c r="F190">
        <f>IF(ISNUMBER(SEARCH(Request!$N$19,G190)),MAX(F$1:$F189)+1,0)</f>
        <v>189</v>
      </c>
      <c r="G190" s="11" t="s">
        <v>4256</v>
      </c>
      <c r="H190" t="str">
        <f>IFERROR(VLOOKUP(ROWS($H$2:H190),F190:G1408,2,0),"")</f>
        <v>Campeche – Ingeniero Alberto Acuna Ongay Int´l CPE</v>
      </c>
    </row>
    <row r="191" spans="1:8" x14ac:dyDescent="0.25">
      <c r="A191">
        <f>IF(ISNUMBER(SEARCH(Request!$I$19,B191)),MAX($A$1:A190)+1,0)</f>
        <v>190</v>
      </c>
      <c r="B191" s="11" t="s">
        <v>4257</v>
      </c>
      <c r="D191" t="str">
        <f>IFERROR(VLOOKUP(ROWS($D$2:D191),A191:B1409,2,0),"")</f>
        <v>Campo Grande CGR</v>
      </c>
      <c r="F191">
        <f>IF(ISNUMBER(SEARCH(Request!$N$19,G191)),MAX(F$1:$F190)+1,0)</f>
        <v>190</v>
      </c>
      <c r="G191" s="11" t="s">
        <v>4257</v>
      </c>
      <c r="H191" t="str">
        <f>IFERROR(VLOOKUP(ROWS($H$2:H191),F191:G1409,2,0),"")</f>
        <v>Campo Grande CGR</v>
      </c>
    </row>
    <row r="192" spans="1:8" x14ac:dyDescent="0.25">
      <c r="A192">
        <f>IF(ISNUMBER(SEARCH(Request!$I$19,B192)),MAX($A$1:A191)+1,0)</f>
        <v>191</v>
      </c>
      <c r="B192" s="11" t="s">
        <v>4258</v>
      </c>
      <c r="D192" t="str">
        <f>IFERROR(VLOOKUP(ROWS($D$2:D192),A192:B1410,2,0),"")</f>
        <v>Canberra CBN</v>
      </c>
      <c r="F192">
        <f>IF(ISNUMBER(SEARCH(Request!$N$19,G192)),MAX(F$1:$F191)+1,0)</f>
        <v>191</v>
      </c>
      <c r="G192" s="11" t="s">
        <v>4258</v>
      </c>
      <c r="H192" t="str">
        <f>IFERROR(VLOOKUP(ROWS($H$2:H192),F192:G1410,2,0),"")</f>
        <v>Canberra CBN</v>
      </c>
    </row>
    <row r="193" spans="1:8" x14ac:dyDescent="0.25">
      <c r="A193">
        <f>IF(ISNUMBER(SEARCH(Request!$I$19,B193)),MAX($A$1:A192)+1,0)</f>
        <v>192</v>
      </c>
      <c r="B193" s="11" t="s">
        <v>4259</v>
      </c>
      <c r="D193" t="str">
        <f>IFERROR(VLOOKUP(ROWS($D$2:D193),A193:B1411,2,0),"")</f>
        <v>Cancun Int´l CUN</v>
      </c>
      <c r="F193">
        <f>IF(ISNUMBER(SEARCH(Request!$N$19,G193)),MAX(F$1:$F192)+1,0)</f>
        <v>192</v>
      </c>
      <c r="G193" s="11" t="s">
        <v>4259</v>
      </c>
      <c r="H193" t="str">
        <f>IFERROR(VLOOKUP(ROWS($H$2:H193),F193:G1411,2,0),"")</f>
        <v>Cancun Int´l CUN</v>
      </c>
    </row>
    <row r="194" spans="1:8" x14ac:dyDescent="0.25">
      <c r="A194">
        <f>IF(ISNUMBER(SEARCH(Request!$I$19,B194)),MAX($A$1:A193)+1,0)</f>
        <v>193</v>
      </c>
      <c r="B194" s="11" t="s">
        <v>4260</v>
      </c>
      <c r="D194" t="str">
        <f>IFERROR(VLOOKUP(ROWS($D$2:D194),A194:B1412,2,0),"")</f>
        <v>Canefield DCF</v>
      </c>
      <c r="F194">
        <f>IF(ISNUMBER(SEARCH(Request!$N$19,G194)),MAX(F$1:$F193)+1,0)</f>
        <v>193</v>
      </c>
      <c r="G194" s="11" t="s">
        <v>4260</v>
      </c>
      <c r="H194" t="str">
        <f>IFERROR(VLOOKUP(ROWS($H$2:H194),F194:G1412,2,0),"")</f>
        <v>Canefield DCF</v>
      </c>
    </row>
    <row r="195" spans="1:8" x14ac:dyDescent="0.25">
      <c r="A195">
        <f>IF(ISNUMBER(SEARCH(Request!$I$19,B195)),MAX($A$1:A194)+1,0)</f>
        <v>194</v>
      </c>
      <c r="B195" s="11" t="s">
        <v>4261</v>
      </c>
      <c r="D195" t="str">
        <f>IFERROR(VLOOKUP(ROWS($D$2:D195),A195:B1413,2,0),"")</f>
        <v>Cannes CEQ</v>
      </c>
      <c r="F195">
        <f>IF(ISNUMBER(SEARCH(Request!$N$19,G195)),MAX(F$1:$F194)+1,0)</f>
        <v>194</v>
      </c>
      <c r="G195" s="11" t="s">
        <v>4261</v>
      </c>
      <c r="H195" t="str">
        <f>IFERROR(VLOOKUP(ROWS($H$2:H195),F195:G1413,2,0),"")</f>
        <v>Cannes CEQ</v>
      </c>
    </row>
    <row r="196" spans="1:8" x14ac:dyDescent="0.25">
      <c r="A196">
        <f>IF(ISNUMBER(SEARCH(Request!$I$19,B196)),MAX($A$1:A195)+1,0)</f>
        <v>195</v>
      </c>
      <c r="B196" s="11" t="s">
        <v>4262</v>
      </c>
      <c r="D196" t="str">
        <f>IFERROR(VLOOKUP(ROWS($D$2:D196),A196:B1414,2,0),"")</f>
        <v>Cape Town CPT</v>
      </c>
      <c r="F196">
        <f>IF(ISNUMBER(SEARCH(Request!$N$19,G196)),MAX(F$1:$F195)+1,0)</f>
        <v>195</v>
      </c>
      <c r="G196" s="11" t="s">
        <v>4262</v>
      </c>
      <c r="H196" t="str">
        <f>IFERROR(VLOOKUP(ROWS($H$2:H196),F196:G1414,2,0),"")</f>
        <v>Cape Town CPT</v>
      </c>
    </row>
    <row r="197" spans="1:8" x14ac:dyDescent="0.25">
      <c r="A197">
        <f>IF(ISNUMBER(SEARCH(Request!$I$19,B197)),MAX($A$1:A196)+1,0)</f>
        <v>196</v>
      </c>
      <c r="B197" s="11" t="s">
        <v>4263</v>
      </c>
      <c r="D197" t="str">
        <f>IFERROR(VLOOKUP(ROWS($D$2:D197),A197:B1415,2,0),"")</f>
        <v>Caracas-Maiquetia Simon Bolivar CCS</v>
      </c>
      <c r="F197">
        <f>IF(ISNUMBER(SEARCH(Request!$N$19,G197)),MAX(F$1:$F196)+1,0)</f>
        <v>196</v>
      </c>
      <c r="G197" s="11" t="s">
        <v>4263</v>
      </c>
      <c r="H197" t="str">
        <f>IFERROR(VLOOKUP(ROWS($H$2:H197),F197:G1415,2,0),"")</f>
        <v>Caracas-Maiquetia Simon Bolivar CCS</v>
      </c>
    </row>
    <row r="198" spans="1:8" x14ac:dyDescent="0.25">
      <c r="A198">
        <f>IF(ISNUMBER(SEARCH(Request!$I$19,B198)),MAX($A$1:A197)+1,0)</f>
        <v>197</v>
      </c>
      <c r="B198" s="11" t="s">
        <v>4264</v>
      </c>
      <c r="D198" t="str">
        <f>IFERROR(VLOOKUP(ROWS($D$2:D198),A198:B1416,2,0),"")</f>
        <v>Carcassonne CCF</v>
      </c>
      <c r="F198">
        <f>IF(ISNUMBER(SEARCH(Request!$N$19,G198)),MAX(F$1:$F197)+1,0)</f>
        <v>197</v>
      </c>
      <c r="G198" s="11" t="s">
        <v>4264</v>
      </c>
      <c r="H198" t="str">
        <f>IFERROR(VLOOKUP(ROWS($H$2:H198),F198:G1416,2,0),"")</f>
        <v>Carcassonne CCF</v>
      </c>
    </row>
    <row r="199" spans="1:8" x14ac:dyDescent="0.25">
      <c r="A199">
        <f>IF(ISNUMBER(SEARCH(Request!$I$19,B199)),MAX($A$1:A198)+1,0)</f>
        <v>198</v>
      </c>
      <c r="B199" s="11" t="s">
        <v>4265</v>
      </c>
      <c r="D199" t="str">
        <f>IFERROR(VLOOKUP(ROWS($D$2:D199),A199:B1417,2,0),"")</f>
        <v>Cardiff CWL</v>
      </c>
      <c r="F199">
        <f>IF(ISNUMBER(SEARCH(Request!$N$19,G199)),MAX(F$1:$F198)+1,0)</f>
        <v>198</v>
      </c>
      <c r="G199" s="11" t="s">
        <v>4265</v>
      </c>
      <c r="H199" t="str">
        <f>IFERROR(VLOOKUP(ROWS($H$2:H199),F199:G1417,2,0),"")</f>
        <v>Cardiff CWL</v>
      </c>
    </row>
    <row r="200" spans="1:8" x14ac:dyDescent="0.25">
      <c r="A200">
        <f>IF(ISNUMBER(SEARCH(Request!$I$19,B200)),MAX($A$1:A199)+1,0)</f>
        <v>199</v>
      </c>
      <c r="B200" s="11" t="s">
        <v>4266</v>
      </c>
      <c r="D200" t="str">
        <f>IFERROR(VLOOKUP(ROWS($D$2:D200),A200:B1418,2,0),"")</f>
        <v>Carlisle CAX</v>
      </c>
      <c r="F200">
        <f>IF(ISNUMBER(SEARCH(Request!$N$19,G200)),MAX(F$1:$F199)+1,0)</f>
        <v>199</v>
      </c>
      <c r="G200" s="11" t="s">
        <v>4266</v>
      </c>
      <c r="H200" t="str">
        <f>IFERROR(VLOOKUP(ROWS($H$2:H200),F200:G1418,2,0),"")</f>
        <v>Carlisle CAX</v>
      </c>
    </row>
    <row r="201" spans="1:8" x14ac:dyDescent="0.25">
      <c r="A201">
        <f>IF(ISNUMBER(SEARCH(Request!$I$19,B201)),MAX($A$1:A200)+1,0)</f>
        <v>200</v>
      </c>
      <c r="B201" s="11" t="s">
        <v>4267</v>
      </c>
      <c r="D201" t="str">
        <f>IFERROR(VLOOKUP(ROWS($D$2:D201),A201:B1419,2,0),"")</f>
        <v>Cartagena-Rafael Nunez CTG</v>
      </c>
      <c r="F201">
        <f>IF(ISNUMBER(SEARCH(Request!$N$19,G201)),MAX(F$1:$F200)+1,0)</f>
        <v>200</v>
      </c>
      <c r="G201" s="11" t="s">
        <v>4267</v>
      </c>
      <c r="H201" t="str">
        <f>IFERROR(VLOOKUP(ROWS($H$2:H201),F201:G1419,2,0),"")</f>
        <v>Cartagena-Rafael Nunez CTG</v>
      </c>
    </row>
    <row r="202" spans="1:8" x14ac:dyDescent="0.25">
      <c r="A202">
        <f>IF(ISNUMBER(SEARCH(Request!$I$19,B202)),MAX($A$1:A201)+1,0)</f>
        <v>201</v>
      </c>
      <c r="B202" s="11" t="s">
        <v>4268</v>
      </c>
      <c r="D202" t="str">
        <f>IFERROR(VLOOKUP(ROWS($D$2:D202),A202:B1420,2,0),"")</f>
        <v>Casablanca – Mohammed V CMN</v>
      </c>
      <c r="F202">
        <f>IF(ISNUMBER(SEARCH(Request!$N$19,G202)),MAX(F$1:$F201)+1,0)</f>
        <v>201</v>
      </c>
      <c r="G202" s="11" t="s">
        <v>4268</v>
      </c>
      <c r="H202" t="str">
        <f>IFERROR(VLOOKUP(ROWS($H$2:H202),F202:G1420,2,0),"")</f>
        <v>Casablanca – Mohammed V CMN</v>
      </c>
    </row>
    <row r="203" spans="1:8" x14ac:dyDescent="0.25">
      <c r="A203">
        <f>IF(ISNUMBER(SEARCH(Request!$I$19,B203)),MAX($A$1:A202)+1,0)</f>
        <v>202</v>
      </c>
      <c r="B203" s="11" t="s">
        <v>4269</v>
      </c>
      <c r="D203" t="str">
        <f>IFERROR(VLOOKUP(ROWS($D$2:D203),A203:B1421,2,0),"")</f>
        <v>Casper/Natrona County Int´l CPR</v>
      </c>
      <c r="F203">
        <f>IF(ISNUMBER(SEARCH(Request!$N$19,G203)),MAX(F$1:$F202)+1,0)</f>
        <v>202</v>
      </c>
      <c r="G203" s="11" t="s">
        <v>4269</v>
      </c>
      <c r="H203" t="str">
        <f>IFERROR(VLOOKUP(ROWS($H$2:H203),F203:G1421,2,0),"")</f>
        <v>Casper/Natrona County Int´l CPR</v>
      </c>
    </row>
    <row r="204" spans="1:8" x14ac:dyDescent="0.25">
      <c r="A204">
        <f>IF(ISNUMBER(SEARCH(Request!$I$19,B204)),MAX($A$1:A203)+1,0)</f>
        <v>203</v>
      </c>
      <c r="B204" s="11" t="s">
        <v>4270</v>
      </c>
      <c r="D204" t="str">
        <f>IFERROR(VLOOKUP(ROWS($D$2:D204),A204:B1422,2,0),"")</f>
        <v>Castres – Mazamet DCM</v>
      </c>
      <c r="F204">
        <f>IF(ISNUMBER(SEARCH(Request!$N$19,G204)),MAX(F$1:$F203)+1,0)</f>
        <v>203</v>
      </c>
      <c r="G204" s="11" t="s">
        <v>4270</v>
      </c>
      <c r="H204" t="str">
        <f>IFERROR(VLOOKUP(ROWS($H$2:H204),F204:G1422,2,0),"")</f>
        <v>Castres – Mazamet DCM</v>
      </c>
    </row>
    <row r="205" spans="1:8" x14ac:dyDescent="0.25">
      <c r="A205">
        <f>IF(ISNUMBER(SEARCH(Request!$I$19,B205)),MAX($A$1:A204)+1,0)</f>
        <v>204</v>
      </c>
      <c r="B205" s="11" t="s">
        <v>4271</v>
      </c>
      <c r="D205" t="str">
        <f>IFERROR(VLOOKUP(ROWS($D$2:D205),A205:B1423,2,0),"")</f>
        <v>Catania-Fontanarossa CTA</v>
      </c>
      <c r="F205">
        <f>IF(ISNUMBER(SEARCH(Request!$N$19,G205)),MAX(F$1:$F204)+1,0)</f>
        <v>204</v>
      </c>
      <c r="G205" s="11" t="s">
        <v>4271</v>
      </c>
      <c r="H205" t="str">
        <f>IFERROR(VLOOKUP(ROWS($H$2:H205),F205:G1423,2,0),"")</f>
        <v>Catania-Fontanarossa CTA</v>
      </c>
    </row>
    <row r="206" spans="1:8" x14ac:dyDescent="0.25">
      <c r="A206">
        <f>IF(ISNUMBER(SEARCH(Request!$I$19,B206)),MAX($A$1:A205)+1,0)</f>
        <v>205</v>
      </c>
      <c r="B206" s="11" t="s">
        <v>4272</v>
      </c>
      <c r="D206" t="str">
        <f>IFERROR(VLOOKUP(ROWS($D$2:D206),A206:B1424,2,0),"")</f>
        <v>Cayenne – Rochambeau CAY</v>
      </c>
      <c r="F206">
        <f>IF(ISNUMBER(SEARCH(Request!$N$19,G206)),MAX(F$1:$F205)+1,0)</f>
        <v>205</v>
      </c>
      <c r="G206" s="11" t="s">
        <v>4272</v>
      </c>
      <c r="H206" t="str">
        <f>IFERROR(VLOOKUP(ROWS($H$2:H206),F206:G1424,2,0),"")</f>
        <v>Cayenne – Rochambeau CAY</v>
      </c>
    </row>
    <row r="207" spans="1:8" x14ac:dyDescent="0.25">
      <c r="A207">
        <f>IF(ISNUMBER(SEARCH(Request!$I$19,B207)),MAX($A$1:A206)+1,0)</f>
        <v>206</v>
      </c>
      <c r="B207" s="11" t="s">
        <v>4273</v>
      </c>
      <c r="D207" t="str">
        <f>IFERROR(VLOOKUP(ROWS($D$2:D207),A207:B1425,2,0),"")</f>
        <v>Cayo Largo-Vilo Acuña Int´l CYO</v>
      </c>
      <c r="F207">
        <f>IF(ISNUMBER(SEARCH(Request!$N$19,G207)),MAX(F$1:$F206)+1,0)</f>
        <v>206</v>
      </c>
      <c r="G207" s="11" t="s">
        <v>4273</v>
      </c>
      <c r="H207" t="str">
        <f>IFERROR(VLOOKUP(ROWS($H$2:H207),F207:G1425,2,0),"")</f>
        <v>Cayo Largo-Vilo Acuña Int´l CYO</v>
      </c>
    </row>
    <row r="208" spans="1:8" x14ac:dyDescent="0.25">
      <c r="A208">
        <f>IF(ISNUMBER(SEARCH(Request!$I$19,B208)),MAX($A$1:A207)+1,0)</f>
        <v>207</v>
      </c>
      <c r="B208" s="11" t="s">
        <v>4274</v>
      </c>
      <c r="D208" t="str">
        <f>IFERROR(VLOOKUP(ROWS($D$2:D208),A208:B1426,2,0),"")</f>
        <v>Chambery/Aix les Bains CMF</v>
      </c>
      <c r="F208">
        <f>IF(ISNUMBER(SEARCH(Request!$N$19,G208)),MAX(F$1:$F207)+1,0)</f>
        <v>207</v>
      </c>
      <c r="G208" s="11" t="s">
        <v>4274</v>
      </c>
      <c r="H208" t="str">
        <f>IFERROR(VLOOKUP(ROWS($H$2:H208),F208:G1426,2,0),"")</f>
        <v>Chambery/Aix les Bains CMF</v>
      </c>
    </row>
    <row r="209" spans="1:8" x14ac:dyDescent="0.25">
      <c r="A209">
        <f>IF(ISNUMBER(SEARCH(Request!$I$19,B209)),MAX($A$1:A208)+1,0)</f>
        <v>208</v>
      </c>
      <c r="B209" s="11" t="s">
        <v>4275</v>
      </c>
      <c r="D209" t="str">
        <f>IFERROR(VLOOKUP(ROWS($D$2:D209),A209:B1427,2,0),"")</f>
        <v>Champaign – Willard CMI</v>
      </c>
      <c r="F209">
        <f>IF(ISNUMBER(SEARCH(Request!$N$19,G209)),MAX(F$1:$F208)+1,0)</f>
        <v>208</v>
      </c>
      <c r="G209" s="11" t="s">
        <v>4275</v>
      </c>
      <c r="H209" t="str">
        <f>IFERROR(VLOOKUP(ROWS($H$2:H209),F209:G1427,2,0),"")</f>
        <v>Champaign – Willard CMI</v>
      </c>
    </row>
    <row r="210" spans="1:8" x14ac:dyDescent="0.25">
      <c r="A210">
        <f>IF(ISNUMBER(SEARCH(Request!$I$19,B210)),MAX($A$1:A209)+1,0)</f>
        <v>209</v>
      </c>
      <c r="B210" s="11" t="s">
        <v>4276</v>
      </c>
      <c r="D210" t="str">
        <f>IFERROR(VLOOKUP(ROWS($D$2:D210),A210:B1428,2,0),"")</f>
        <v>Chania K Daskalogiannis CHQ</v>
      </c>
      <c r="F210">
        <f>IF(ISNUMBER(SEARCH(Request!$N$19,G210)),MAX(F$1:$F209)+1,0)</f>
        <v>209</v>
      </c>
      <c r="G210" s="11" t="s">
        <v>4276</v>
      </c>
      <c r="H210" t="str">
        <f>IFERROR(VLOOKUP(ROWS($H$2:H210),F210:G1428,2,0),"")</f>
        <v>Chania K Daskalogiannis CHQ</v>
      </c>
    </row>
    <row r="211" spans="1:8" x14ac:dyDescent="0.25">
      <c r="A211">
        <f>IF(ISNUMBER(SEARCH(Request!$I$19,B211)),MAX($A$1:A210)+1,0)</f>
        <v>210</v>
      </c>
      <c r="B211" s="11" t="s">
        <v>4277</v>
      </c>
      <c r="D211" t="str">
        <f>IFERROR(VLOOKUP(ROWS($D$2:D211),A211:B1429,2,0),"")</f>
        <v>Channel Islands – Alderney ACI</v>
      </c>
      <c r="F211">
        <f>IF(ISNUMBER(SEARCH(Request!$N$19,G211)),MAX(F$1:$F210)+1,0)</f>
        <v>210</v>
      </c>
      <c r="G211" s="11" t="s">
        <v>4277</v>
      </c>
      <c r="H211" t="str">
        <f>IFERROR(VLOOKUP(ROWS($H$2:H211),F211:G1429,2,0),"")</f>
        <v>Channel Islands – Alderney ACI</v>
      </c>
    </row>
    <row r="212" spans="1:8" x14ac:dyDescent="0.25">
      <c r="A212">
        <f>IF(ISNUMBER(SEARCH(Request!$I$19,B212)),MAX($A$1:A211)+1,0)</f>
        <v>211</v>
      </c>
      <c r="B212" s="11" t="s">
        <v>4278</v>
      </c>
      <c r="D212" t="str">
        <f>IFERROR(VLOOKUP(ROWS($D$2:D212),A212:B1430,2,0),"")</f>
        <v>Channel Islands – Guernsey GCI</v>
      </c>
      <c r="F212">
        <f>IF(ISNUMBER(SEARCH(Request!$N$19,G212)),MAX(F$1:$F211)+1,0)</f>
        <v>211</v>
      </c>
      <c r="G212" s="11" t="s">
        <v>4278</v>
      </c>
      <c r="H212" t="str">
        <f>IFERROR(VLOOKUP(ROWS($H$2:H212),F212:G1430,2,0),"")</f>
        <v>Channel Islands – Guernsey GCI</v>
      </c>
    </row>
    <row r="213" spans="1:8" x14ac:dyDescent="0.25">
      <c r="A213">
        <f>IF(ISNUMBER(SEARCH(Request!$I$19,B213)),MAX($A$1:A212)+1,0)</f>
        <v>212</v>
      </c>
      <c r="B213" s="11" t="s">
        <v>4279</v>
      </c>
      <c r="D213" t="str">
        <f>IFERROR(VLOOKUP(ROWS($D$2:D213),A213:B1431,2,0),"")</f>
        <v>Channel Islands – Jersey JER</v>
      </c>
      <c r="F213">
        <f>IF(ISNUMBER(SEARCH(Request!$N$19,G213)),MAX(F$1:$F212)+1,0)</f>
        <v>212</v>
      </c>
      <c r="G213" s="11" t="s">
        <v>4279</v>
      </c>
      <c r="H213" t="str">
        <f>IFERROR(VLOOKUP(ROWS($H$2:H213),F213:G1431,2,0),"")</f>
        <v>Channel Islands – Jersey JER</v>
      </c>
    </row>
    <row r="214" spans="1:8" x14ac:dyDescent="0.25">
      <c r="A214">
        <f>IF(ISNUMBER(SEARCH(Request!$I$19,B214)),MAX($A$1:A213)+1,0)</f>
        <v>213</v>
      </c>
      <c r="B214" s="11" t="s">
        <v>4280</v>
      </c>
      <c r="D214" t="str">
        <f>IFERROR(VLOOKUP(ROWS($D$2:D214),A214:B1432,2,0),"")</f>
        <v>Charleston-Yeager CRW</v>
      </c>
      <c r="F214">
        <f>IF(ISNUMBER(SEARCH(Request!$N$19,G214)),MAX(F$1:$F213)+1,0)</f>
        <v>213</v>
      </c>
      <c r="G214" s="11" t="s">
        <v>4280</v>
      </c>
      <c r="H214" t="str">
        <f>IFERROR(VLOOKUP(ROWS($H$2:H214),F214:G1432,2,0),"")</f>
        <v>Charleston-Yeager CRW</v>
      </c>
    </row>
    <row r="215" spans="1:8" x14ac:dyDescent="0.25">
      <c r="A215">
        <f>IF(ISNUMBER(SEARCH(Request!$I$19,B215)),MAX($A$1:A214)+1,0)</f>
        <v>214</v>
      </c>
      <c r="B215" s="11" t="s">
        <v>4281</v>
      </c>
      <c r="D215" t="str">
        <f>IFERROR(VLOOKUP(ROWS($D$2:D215),A215:B1433,2,0),"")</f>
        <v>Charlotte/Douglas Int´l CLT</v>
      </c>
      <c r="F215">
        <f>IF(ISNUMBER(SEARCH(Request!$N$19,G215)),MAX(F$1:$F214)+1,0)</f>
        <v>214</v>
      </c>
      <c r="G215" s="11" t="s">
        <v>4281</v>
      </c>
      <c r="H215" t="str">
        <f>IFERROR(VLOOKUP(ROWS($H$2:H215),F215:G1433,2,0),"")</f>
        <v>Charlotte/Douglas Int´l CLT</v>
      </c>
    </row>
    <row r="216" spans="1:8" x14ac:dyDescent="0.25">
      <c r="A216">
        <f>IF(ISNUMBER(SEARCH(Request!$I$19,B216)),MAX($A$1:A215)+1,0)</f>
        <v>215</v>
      </c>
      <c r="B216" s="11" t="s">
        <v>4299</v>
      </c>
      <c r="D216" t="str">
        <f>IFERROR(VLOOKUP(ROWS($D$2:D216),A216:B1434,2,0),"")</f>
        <v>Châteauroux/Déols-Marcel Dassault CHR</v>
      </c>
      <c r="F216">
        <f>IF(ISNUMBER(SEARCH(Request!$N$19,G216)),MAX(F$1:$F215)+1,0)</f>
        <v>215</v>
      </c>
      <c r="G216" s="11" t="s">
        <v>4299</v>
      </c>
      <c r="H216" t="str">
        <f>IFERROR(VLOOKUP(ROWS($H$2:H216),F216:G1434,2,0),"")</f>
        <v>Châteauroux/Déols-Marcel Dassault CHR</v>
      </c>
    </row>
    <row r="217" spans="1:8" x14ac:dyDescent="0.25">
      <c r="A217">
        <f>IF(ISNUMBER(SEARCH(Request!$I$19,B217)),MAX($A$1:A216)+1,0)</f>
        <v>216</v>
      </c>
      <c r="B217" s="11" t="s">
        <v>4282</v>
      </c>
      <c r="D217" t="str">
        <f>IFERROR(VLOOKUP(ROWS($D$2:D217),A217:B1435,2,0),"")</f>
        <v>Chattanooga Metropolitan CHA</v>
      </c>
      <c r="F217">
        <f>IF(ISNUMBER(SEARCH(Request!$N$19,G217)),MAX(F$1:$F216)+1,0)</f>
        <v>216</v>
      </c>
      <c r="G217" s="11" t="s">
        <v>4282</v>
      </c>
      <c r="H217" t="str">
        <f>IFERROR(VLOOKUP(ROWS($H$2:H217),F217:G1435,2,0),"")</f>
        <v>Chattanooga Metropolitan CHA</v>
      </c>
    </row>
    <row r="218" spans="1:8" x14ac:dyDescent="0.25">
      <c r="A218">
        <f>IF(ISNUMBER(SEARCH(Request!$I$19,B218)),MAX($A$1:A217)+1,0)</f>
        <v>217</v>
      </c>
      <c r="B218" s="11" t="s">
        <v>4283</v>
      </c>
      <c r="D218" t="str">
        <f>IFERROR(VLOOKUP(ROWS($D$2:D218),A218:B1436,2,0),"")</f>
        <v>Chavenay PAR</v>
      </c>
      <c r="F218">
        <f>IF(ISNUMBER(SEARCH(Request!$N$19,G218)),MAX(F$1:$F217)+1,0)</f>
        <v>217</v>
      </c>
      <c r="G218" s="11" t="s">
        <v>4283</v>
      </c>
      <c r="H218" t="str">
        <f>IFERROR(VLOOKUP(ROWS($H$2:H218),F218:G1436,2,0),"")</f>
        <v>Chavenay PAR</v>
      </c>
    </row>
    <row r="219" spans="1:8" x14ac:dyDescent="0.25">
      <c r="A219">
        <f>IF(ISNUMBER(SEARCH(Request!$I$19,B219)),MAX($A$1:A218)+1,0)</f>
        <v>218</v>
      </c>
      <c r="B219" s="11" t="s">
        <v>4284</v>
      </c>
      <c r="D219" t="str">
        <f>IFERROR(VLOOKUP(ROWS($D$2:D219),A219:B1437,2,0),"")</f>
        <v>Cheju – Jeju CJU</v>
      </c>
      <c r="F219">
        <f>IF(ISNUMBER(SEARCH(Request!$N$19,G219)),MAX(F$1:$F218)+1,0)</f>
        <v>218</v>
      </c>
      <c r="G219" s="11" t="s">
        <v>4284</v>
      </c>
      <c r="H219" t="str">
        <f>IFERROR(VLOOKUP(ROWS($H$2:H219),F219:G1437,2,0),"")</f>
        <v>Cheju – Jeju CJU</v>
      </c>
    </row>
    <row r="220" spans="1:8" x14ac:dyDescent="0.25">
      <c r="A220">
        <f>IF(ISNUMBER(SEARCH(Request!$I$19,B220)),MAX($A$1:A219)+1,0)</f>
        <v>219</v>
      </c>
      <c r="B220" s="11" t="s">
        <v>4285</v>
      </c>
      <c r="D220" t="str">
        <f>IFERROR(VLOOKUP(ROWS($D$2:D220),A220:B1438,2,0),"")</f>
        <v>Chelyabinsk – Balandino CEK</v>
      </c>
      <c r="F220">
        <f>IF(ISNUMBER(SEARCH(Request!$N$19,G220)),MAX(F$1:$F219)+1,0)</f>
        <v>219</v>
      </c>
      <c r="G220" s="11" t="s">
        <v>4285</v>
      </c>
      <c r="H220" t="str">
        <f>IFERROR(VLOOKUP(ROWS($H$2:H220),F220:G1438,2,0),"")</f>
        <v>Chelyabinsk – Balandino CEK</v>
      </c>
    </row>
    <row r="221" spans="1:8" x14ac:dyDescent="0.25">
      <c r="A221">
        <f>IF(ISNUMBER(SEARCH(Request!$I$19,B221)),MAX($A$1:A220)+1,0)</f>
        <v>220</v>
      </c>
      <c r="B221" s="11" t="s">
        <v>4286</v>
      </c>
      <c r="D221" t="str">
        <f>IFERROR(VLOOKUP(ROWS($D$2:D221),A221:B1439,2,0),"")</f>
        <v>Chengdu/Shuangliu CTU</v>
      </c>
      <c r="F221">
        <f>IF(ISNUMBER(SEARCH(Request!$N$19,G221)),MAX(F$1:$F220)+1,0)</f>
        <v>220</v>
      </c>
      <c r="G221" s="11" t="s">
        <v>4286</v>
      </c>
      <c r="H221" t="str">
        <f>IFERROR(VLOOKUP(ROWS($H$2:H221),F221:G1439,2,0),"")</f>
        <v>Chengdu/Shuangliu CTU</v>
      </c>
    </row>
    <row r="222" spans="1:8" x14ac:dyDescent="0.25">
      <c r="A222">
        <f>IF(ISNUMBER(SEARCH(Request!$I$19,B222)),MAX($A$1:A221)+1,0)</f>
        <v>221</v>
      </c>
      <c r="B222" s="11" t="s">
        <v>4287</v>
      </c>
      <c r="D222" t="str">
        <f>IFERROR(VLOOKUP(ROWS($D$2:D222),A222:B1440,2,0),"")</f>
        <v>Chennai/Madras – Meenambakam MAA</v>
      </c>
      <c r="F222">
        <f>IF(ISNUMBER(SEARCH(Request!$N$19,G222)),MAX(F$1:$F221)+1,0)</f>
        <v>221</v>
      </c>
      <c r="G222" s="11" t="s">
        <v>4287</v>
      </c>
      <c r="H222" t="str">
        <f>IFERROR(VLOOKUP(ROWS($H$2:H222),F222:G1440,2,0),"")</f>
        <v>Chennai/Madras – Meenambakam MAA</v>
      </c>
    </row>
    <row r="223" spans="1:8" x14ac:dyDescent="0.25">
      <c r="A223">
        <f>IF(ISNUMBER(SEARCH(Request!$I$19,B223)),MAX($A$1:A222)+1,0)</f>
        <v>222</v>
      </c>
      <c r="B223" s="11" t="s">
        <v>4288</v>
      </c>
      <c r="D223" t="str">
        <f>IFERROR(VLOOKUP(ROWS($D$2:D223),A223:B1441,2,0),"")</f>
        <v>Cherbourg-Maupertus CER</v>
      </c>
      <c r="F223">
        <f>IF(ISNUMBER(SEARCH(Request!$N$19,G223)),MAX(F$1:$F222)+1,0)</f>
        <v>222</v>
      </c>
      <c r="G223" s="11" t="s">
        <v>4288</v>
      </c>
      <c r="H223" t="str">
        <f>IFERROR(VLOOKUP(ROWS($H$2:H223),F223:G1441,2,0),"")</f>
        <v>Cherbourg-Maupertus CER</v>
      </c>
    </row>
    <row r="224" spans="1:8" x14ac:dyDescent="0.25">
      <c r="A224">
        <f>IF(ISNUMBER(SEARCH(Request!$I$19,B224)),MAX($A$1:A223)+1,0)</f>
        <v>223</v>
      </c>
      <c r="B224" s="11" t="s">
        <v>4289</v>
      </c>
      <c r="D224" t="str">
        <f>IFERROR(VLOOKUP(ROWS($D$2:D224),A224:B1442,2,0),"")</f>
        <v>Chester CEG</v>
      </c>
      <c r="F224">
        <f>IF(ISNUMBER(SEARCH(Request!$N$19,G224)),MAX(F$1:$F223)+1,0)</f>
        <v>223</v>
      </c>
      <c r="G224" s="11" t="s">
        <v>4289</v>
      </c>
      <c r="H224" t="str">
        <f>IFERROR(VLOOKUP(ROWS($H$2:H224),F224:G1442,2,0),"")</f>
        <v>Chester CEG</v>
      </c>
    </row>
    <row r="225" spans="1:8" x14ac:dyDescent="0.25">
      <c r="A225">
        <f>IF(ISNUMBER(SEARCH(Request!$I$19,B225)),MAX($A$1:A224)+1,0)</f>
        <v>224</v>
      </c>
      <c r="B225" s="11" t="s">
        <v>4290</v>
      </c>
      <c r="D225" t="str">
        <f>IFERROR(VLOOKUP(ROWS($D$2:D225),A225:B1443,2,0),"")</f>
        <v>Chetumal CTM</v>
      </c>
      <c r="F225">
        <f>IF(ISNUMBER(SEARCH(Request!$N$19,G225)),MAX(F$1:$F224)+1,0)</f>
        <v>224</v>
      </c>
      <c r="G225" s="11" t="s">
        <v>4290</v>
      </c>
      <c r="H225" t="str">
        <f>IFERROR(VLOOKUP(ROWS($H$2:H225),F225:G1443,2,0),"")</f>
        <v>Chetumal CTM</v>
      </c>
    </row>
    <row r="226" spans="1:8" x14ac:dyDescent="0.25">
      <c r="A226">
        <f>IF(ISNUMBER(SEARCH(Request!$I$19,B226)),MAX($A$1:A225)+1,0)</f>
        <v>225</v>
      </c>
      <c r="B226" s="11" t="s">
        <v>4291</v>
      </c>
      <c r="D226" t="str">
        <f>IFERROR(VLOOKUP(ROWS($D$2:D226),A226:B1444,2,0),"")</f>
        <v>Cheyenne CYS</v>
      </c>
      <c r="F226">
        <f>IF(ISNUMBER(SEARCH(Request!$N$19,G226)),MAX(F$1:$F225)+1,0)</f>
        <v>225</v>
      </c>
      <c r="G226" s="11" t="s">
        <v>4291</v>
      </c>
      <c r="H226" t="str">
        <f>IFERROR(VLOOKUP(ROWS($H$2:H226),F226:G1444,2,0),"")</f>
        <v>Cheyenne CYS</v>
      </c>
    </row>
    <row r="227" spans="1:8" x14ac:dyDescent="0.25">
      <c r="A227">
        <f>IF(ISNUMBER(SEARCH(Request!$I$19,B227)),MAX($A$1:A226)+1,0)</f>
        <v>226</v>
      </c>
      <c r="B227" s="11" t="s">
        <v>4292</v>
      </c>
      <c r="D227" t="str">
        <f>IFERROR(VLOOKUP(ROWS($D$2:D227),A227:B1445,2,0),"")</f>
        <v>Chiang Mai Int´l CNX</v>
      </c>
      <c r="F227">
        <f>IF(ISNUMBER(SEARCH(Request!$N$19,G227)),MAX(F$1:$F226)+1,0)</f>
        <v>226</v>
      </c>
      <c r="G227" s="11" t="s">
        <v>4292</v>
      </c>
      <c r="H227" t="str">
        <f>IFERROR(VLOOKUP(ROWS($H$2:H227),F227:G1445,2,0),"")</f>
        <v>Chiang Mai Int´l CNX</v>
      </c>
    </row>
    <row r="228" spans="1:8" x14ac:dyDescent="0.25">
      <c r="A228">
        <f>IF(ISNUMBER(SEARCH(Request!$I$19,B228)),MAX($A$1:A227)+1,0)</f>
        <v>227</v>
      </c>
      <c r="B228" s="11" t="s">
        <v>4293</v>
      </c>
      <c r="D228" t="str">
        <f>IFERROR(VLOOKUP(ROWS($D$2:D228),A228:B1446,2,0),"")</f>
        <v>Chiang Rai CEI</v>
      </c>
      <c r="F228">
        <f>IF(ISNUMBER(SEARCH(Request!$N$19,G228)),MAX(F$1:$F227)+1,0)</f>
        <v>227</v>
      </c>
      <c r="G228" s="11" t="s">
        <v>4293</v>
      </c>
      <c r="H228" t="str">
        <f>IFERROR(VLOOKUP(ROWS($H$2:H228),F228:G1446,2,0),"")</f>
        <v>Chiang Rai CEI</v>
      </c>
    </row>
    <row r="229" spans="1:8" x14ac:dyDescent="0.25">
      <c r="A229">
        <f>IF(ISNUMBER(SEARCH(Request!$I$19,B229)),MAX($A$1:A228)+1,0)</f>
        <v>228</v>
      </c>
      <c r="B229" s="11" t="s">
        <v>4294</v>
      </c>
      <c r="D229" t="str">
        <f>IFERROR(VLOOKUP(ROWS($D$2:D229),A229:B1447,2,0),"")</f>
        <v>Chicago Midway MDW</v>
      </c>
      <c r="F229">
        <f>IF(ISNUMBER(SEARCH(Request!$N$19,G229)),MAX(F$1:$F228)+1,0)</f>
        <v>228</v>
      </c>
      <c r="G229" s="11" t="s">
        <v>4294</v>
      </c>
      <c r="H229" t="str">
        <f>IFERROR(VLOOKUP(ROWS($H$2:H229),F229:G1447,2,0),"")</f>
        <v>Chicago Midway MDW</v>
      </c>
    </row>
    <row r="230" spans="1:8" x14ac:dyDescent="0.25">
      <c r="A230">
        <f>IF(ISNUMBER(SEARCH(Request!$I$19,B230)),MAX($A$1:A229)+1,0)</f>
        <v>229</v>
      </c>
      <c r="B230" s="11" t="s">
        <v>4295</v>
      </c>
      <c r="D230" t="str">
        <f>IFERROR(VLOOKUP(ROWS($D$2:D230),A230:B1448,2,0),"")</f>
        <v>Chicago-O´Hare ORD</v>
      </c>
      <c r="F230">
        <f>IF(ISNUMBER(SEARCH(Request!$N$19,G230)),MAX(F$1:$F229)+1,0)</f>
        <v>229</v>
      </c>
      <c r="G230" s="11" t="s">
        <v>4295</v>
      </c>
      <c r="H230" t="str">
        <f>IFERROR(VLOOKUP(ROWS($H$2:H230),F230:G1448,2,0),"")</f>
        <v>Chicago-O´Hare ORD</v>
      </c>
    </row>
    <row r="231" spans="1:8" x14ac:dyDescent="0.25">
      <c r="A231">
        <f>IF(ISNUMBER(SEARCH(Request!$I$19,B231)),MAX($A$1:A230)+1,0)</f>
        <v>230</v>
      </c>
      <c r="B231" s="11" t="s">
        <v>4296</v>
      </c>
      <c r="D231" t="str">
        <f>IFERROR(VLOOKUP(ROWS($D$2:D231),A231:B1449,2,0),"")</f>
        <v>Chisinau KIV</v>
      </c>
      <c r="F231">
        <f>IF(ISNUMBER(SEARCH(Request!$N$19,G231)),MAX(F$1:$F230)+1,0)</f>
        <v>230</v>
      </c>
      <c r="G231" s="11" t="s">
        <v>4296</v>
      </c>
      <c r="H231" t="str">
        <f>IFERROR(VLOOKUP(ROWS($H$2:H231),F231:G1449,2,0),"")</f>
        <v>Chisinau KIV</v>
      </c>
    </row>
    <row r="232" spans="1:8" x14ac:dyDescent="0.25">
      <c r="A232">
        <f>IF(ISNUMBER(SEARCH(Request!$I$19,B232)),MAX($A$1:A231)+1,0)</f>
        <v>231</v>
      </c>
      <c r="B232" s="11" t="s">
        <v>4297</v>
      </c>
      <c r="D232" t="str">
        <f>IFERROR(VLOOKUP(ROWS($D$2:D232),A232:B1450,2,0),"")</f>
        <v>Chittagong – Shah Amanat Int´l CGP</v>
      </c>
      <c r="F232">
        <f>IF(ISNUMBER(SEARCH(Request!$N$19,G232)),MAX(F$1:$F231)+1,0)</f>
        <v>231</v>
      </c>
      <c r="G232" s="11" t="s">
        <v>4297</v>
      </c>
      <c r="H232" t="str">
        <f>IFERROR(VLOOKUP(ROWS($H$2:H232),F232:G1450,2,0),"")</f>
        <v>Chittagong – Shah Amanat Int´l CGP</v>
      </c>
    </row>
    <row r="233" spans="1:8" x14ac:dyDescent="0.25">
      <c r="A233">
        <f>IF(ISNUMBER(SEARCH(Request!$I$19,B233)),MAX($A$1:A232)+1,0)</f>
        <v>232</v>
      </c>
      <c r="B233" s="11" t="s">
        <v>4298</v>
      </c>
      <c r="D233" t="str">
        <f>IFERROR(VLOOKUP(ROWS($D$2:D233),A233:B1451,2,0),"")</f>
        <v>Christchurch Ltd CHC</v>
      </c>
      <c r="F233">
        <f>IF(ISNUMBER(SEARCH(Request!$N$19,G233)),MAX(F$1:$F232)+1,0)</f>
        <v>232</v>
      </c>
      <c r="G233" s="11" t="s">
        <v>4298</v>
      </c>
      <c r="H233" t="str">
        <f>IFERROR(VLOOKUP(ROWS($H$2:H233),F233:G1451,2,0),"")</f>
        <v>Christchurch Ltd CHC</v>
      </c>
    </row>
    <row r="234" spans="1:8" x14ac:dyDescent="0.25">
      <c r="A234">
        <f>IF(ISNUMBER(SEARCH(Request!$I$19,B234)),MAX($A$1:A233)+1,0)</f>
        <v>233</v>
      </c>
      <c r="B234" s="11" t="s">
        <v>4300</v>
      </c>
      <c r="D234" t="str">
        <f>IFERROR(VLOOKUP(ROWS($D$2:D234),A234:B1452,2,0),"")</f>
        <v>Ciego de Avila-Maximo Gomez Int´l AVI</v>
      </c>
      <c r="F234">
        <f>IF(ISNUMBER(SEARCH(Request!$N$19,G234)),MAX(F$1:$F233)+1,0)</f>
        <v>233</v>
      </c>
      <c r="G234" s="11" t="s">
        <v>4300</v>
      </c>
      <c r="H234" t="str">
        <f>IFERROR(VLOOKUP(ROWS($H$2:H234),F234:G1452,2,0),"")</f>
        <v>Ciego de Avila-Maximo Gomez Int´l AVI</v>
      </c>
    </row>
    <row r="235" spans="1:8" x14ac:dyDescent="0.25">
      <c r="A235">
        <f>IF(ISNUMBER(SEARCH(Request!$I$19,B235)),MAX($A$1:A234)+1,0)</f>
        <v>234</v>
      </c>
      <c r="B235" s="11" t="s">
        <v>4301</v>
      </c>
      <c r="D235" t="str">
        <f>IFERROR(VLOOKUP(ROWS($D$2:D235),A235:B1453,2,0),"")</f>
        <v>Cienfuegos – Jamie González Int´l CFG</v>
      </c>
      <c r="F235">
        <f>IF(ISNUMBER(SEARCH(Request!$N$19,G235)),MAX(F$1:$F234)+1,0)</f>
        <v>234</v>
      </c>
      <c r="G235" s="11" t="s">
        <v>4301</v>
      </c>
      <c r="H235" t="str">
        <f>IFERROR(VLOOKUP(ROWS($H$2:H235),F235:G1453,2,0),"")</f>
        <v>Cienfuegos – Jamie González Int´l CFG</v>
      </c>
    </row>
    <row r="236" spans="1:8" x14ac:dyDescent="0.25">
      <c r="A236">
        <f>IF(ISNUMBER(SEARCH(Request!$I$19,B236)),MAX($A$1:A235)+1,0)</f>
        <v>235</v>
      </c>
      <c r="B236" s="11" t="s">
        <v>4302</v>
      </c>
      <c r="D236" t="str">
        <f>IFERROR(VLOOKUP(ROWS($D$2:D236),A236:B1454,2,0),"")</f>
        <v>Cincinnati/N Kentucky Int´l CVG</v>
      </c>
      <c r="F236">
        <f>IF(ISNUMBER(SEARCH(Request!$N$19,G236)),MAX(F$1:$F235)+1,0)</f>
        <v>235</v>
      </c>
      <c r="G236" s="11" t="s">
        <v>4302</v>
      </c>
      <c r="H236" t="str">
        <f>IFERROR(VLOOKUP(ROWS($H$2:H236),F236:G1454,2,0),"")</f>
        <v>Cincinnati/N Kentucky Int´l CVG</v>
      </c>
    </row>
    <row r="237" spans="1:8" x14ac:dyDescent="0.25">
      <c r="A237">
        <f>IF(ISNUMBER(SEARCH(Request!$I$19,B237)),MAX($A$1:A236)+1,0)</f>
        <v>236</v>
      </c>
      <c r="B237" s="11" t="s">
        <v>4113</v>
      </c>
      <c r="D237" t="str">
        <f>IFERROR(VLOOKUP(ROWS($D$2:D237),A237:B1455,2,0),"")</f>
        <v>City Code</v>
      </c>
      <c r="F237">
        <f>IF(ISNUMBER(SEARCH(Request!$N$19,G237)),MAX(F$1:$F236)+1,0)</f>
        <v>236</v>
      </c>
      <c r="G237" s="11" t="s">
        <v>4113</v>
      </c>
      <c r="H237" t="str">
        <f>IFERROR(VLOOKUP(ROWS($H$2:H237),F237:G1455,2,0),"")</f>
        <v>City Code</v>
      </c>
    </row>
    <row r="238" spans="1:8" x14ac:dyDescent="0.25">
      <c r="A238">
        <f>IF(ISNUMBER(SEARCH(Request!$I$19,B238)),MAX($A$1:A237)+1,0)</f>
        <v>237</v>
      </c>
      <c r="B238" s="11" t="s">
        <v>4113</v>
      </c>
      <c r="D238" t="str">
        <f>IFERROR(VLOOKUP(ROWS($D$2:D238),A238:B1456,2,0),"")</f>
        <v>City Code</v>
      </c>
      <c r="F238">
        <f>IF(ISNUMBER(SEARCH(Request!$N$19,G238)),MAX(F$1:$F237)+1,0)</f>
        <v>237</v>
      </c>
      <c r="G238" s="11" t="s">
        <v>4113</v>
      </c>
      <c r="H238" t="str">
        <f>IFERROR(VLOOKUP(ROWS($H$2:H238),F238:G1456,2,0),"")</f>
        <v>City Code</v>
      </c>
    </row>
    <row r="239" spans="1:8" x14ac:dyDescent="0.25">
      <c r="A239">
        <f>IF(ISNUMBER(SEARCH(Request!$I$19,B239)),MAX($A$1:A238)+1,0)</f>
        <v>238</v>
      </c>
      <c r="B239" s="11" t="s">
        <v>4113</v>
      </c>
      <c r="D239" t="str">
        <f>IFERROR(VLOOKUP(ROWS($D$2:D239),A239:B1457,2,0),"")</f>
        <v>City Code</v>
      </c>
      <c r="F239">
        <f>IF(ISNUMBER(SEARCH(Request!$N$19,G239)),MAX(F$1:$F238)+1,0)</f>
        <v>238</v>
      </c>
      <c r="G239" s="11" t="s">
        <v>4113</v>
      </c>
      <c r="H239" t="str">
        <f>IFERROR(VLOOKUP(ROWS($H$2:H239),F239:G1457,2,0),"")</f>
        <v>City Code</v>
      </c>
    </row>
    <row r="240" spans="1:8" x14ac:dyDescent="0.25">
      <c r="A240">
        <f>IF(ISNUMBER(SEARCH(Request!$I$19,B240)),MAX($A$1:A239)+1,0)</f>
        <v>239</v>
      </c>
      <c r="B240" s="11" t="s">
        <v>4113</v>
      </c>
      <c r="D240" t="str">
        <f>IFERROR(VLOOKUP(ROWS($D$2:D240),A240:B1458,2,0),"")</f>
        <v>City Code</v>
      </c>
      <c r="F240">
        <f>IF(ISNUMBER(SEARCH(Request!$N$19,G240)),MAX(F$1:$F239)+1,0)</f>
        <v>239</v>
      </c>
      <c r="G240" s="11" t="s">
        <v>4113</v>
      </c>
      <c r="H240" t="str">
        <f>IFERROR(VLOOKUP(ROWS($H$2:H240),F240:G1458,2,0),"")</f>
        <v>City Code</v>
      </c>
    </row>
    <row r="241" spans="1:8" x14ac:dyDescent="0.25">
      <c r="A241">
        <f>IF(ISNUMBER(SEARCH(Request!$I$19,B241)),MAX($A$1:A240)+1,0)</f>
        <v>240</v>
      </c>
      <c r="B241" s="11" t="s">
        <v>4113</v>
      </c>
      <c r="D241" t="str">
        <f>IFERROR(VLOOKUP(ROWS($D$2:D241),A241:B1459,2,0),"")</f>
        <v>City Code</v>
      </c>
      <c r="F241">
        <f>IF(ISNUMBER(SEARCH(Request!$N$19,G241)),MAX(F$1:$F240)+1,0)</f>
        <v>240</v>
      </c>
      <c r="G241" s="11" t="s">
        <v>4113</v>
      </c>
      <c r="H241" t="str">
        <f>IFERROR(VLOOKUP(ROWS($H$2:H241),F241:G1459,2,0),"")</f>
        <v>City Code</v>
      </c>
    </row>
    <row r="242" spans="1:8" x14ac:dyDescent="0.25">
      <c r="A242">
        <f>IF(ISNUMBER(SEARCH(Request!$I$19,B242)),MAX($A$1:A241)+1,0)</f>
        <v>241</v>
      </c>
      <c r="B242" s="11" t="s">
        <v>4113</v>
      </c>
      <c r="D242" t="str">
        <f>IFERROR(VLOOKUP(ROWS($D$2:D242),A242:B1460,2,0),"")</f>
        <v>City Code</v>
      </c>
      <c r="F242">
        <f>IF(ISNUMBER(SEARCH(Request!$N$19,G242)),MAX(F$1:$F241)+1,0)</f>
        <v>241</v>
      </c>
      <c r="G242" s="11" t="s">
        <v>4113</v>
      </c>
      <c r="H242" t="str">
        <f>IFERROR(VLOOKUP(ROWS($H$2:H242),F242:G1460,2,0),"")</f>
        <v>City Code</v>
      </c>
    </row>
    <row r="243" spans="1:8" x14ac:dyDescent="0.25">
      <c r="A243">
        <f>IF(ISNUMBER(SEARCH(Request!$I$19,B243)),MAX($A$1:A242)+1,0)</f>
        <v>242</v>
      </c>
      <c r="B243" s="11" t="s">
        <v>4113</v>
      </c>
      <c r="D243" t="str">
        <f>IFERROR(VLOOKUP(ROWS($D$2:D243),A243:B1461,2,0),"")</f>
        <v>City Code</v>
      </c>
      <c r="F243">
        <f>IF(ISNUMBER(SEARCH(Request!$N$19,G243)),MAX(F$1:$F242)+1,0)</f>
        <v>242</v>
      </c>
      <c r="G243" s="11" t="s">
        <v>4113</v>
      </c>
      <c r="H243" t="str">
        <f>IFERROR(VLOOKUP(ROWS($H$2:H243),F243:G1461,2,0),"")</f>
        <v>City Code</v>
      </c>
    </row>
    <row r="244" spans="1:8" x14ac:dyDescent="0.25">
      <c r="A244">
        <f>IF(ISNUMBER(SEARCH(Request!$I$19,B244)),MAX($A$1:A243)+1,0)</f>
        <v>243</v>
      </c>
      <c r="B244" s="11" t="s">
        <v>4113</v>
      </c>
      <c r="D244" t="str">
        <f>IFERROR(VLOOKUP(ROWS($D$2:D244),A244:B1462,2,0),"")</f>
        <v>City Code</v>
      </c>
      <c r="F244">
        <f>IF(ISNUMBER(SEARCH(Request!$N$19,G244)),MAX(F$1:$F243)+1,0)</f>
        <v>243</v>
      </c>
      <c r="G244" s="11" t="s">
        <v>4113</v>
      </c>
      <c r="H244" t="str">
        <f>IFERROR(VLOOKUP(ROWS($H$2:H244),F244:G1462,2,0),"")</f>
        <v>City Code</v>
      </c>
    </row>
    <row r="245" spans="1:8" x14ac:dyDescent="0.25">
      <c r="A245">
        <f>IF(ISNUMBER(SEARCH(Request!$I$19,B245)),MAX($A$1:A244)+1,0)</f>
        <v>244</v>
      </c>
      <c r="B245" s="11" t="s">
        <v>4113</v>
      </c>
      <c r="D245" t="str">
        <f>IFERROR(VLOOKUP(ROWS($D$2:D245),A245:B1463,2,0),"")</f>
        <v>City Code</v>
      </c>
      <c r="F245">
        <f>IF(ISNUMBER(SEARCH(Request!$N$19,G245)),MAX(F$1:$F244)+1,0)</f>
        <v>244</v>
      </c>
      <c r="G245" s="11" t="s">
        <v>4113</v>
      </c>
      <c r="H245" t="str">
        <f>IFERROR(VLOOKUP(ROWS($H$2:H245),F245:G1463,2,0),"")</f>
        <v>City Code</v>
      </c>
    </row>
    <row r="246" spans="1:8" x14ac:dyDescent="0.25">
      <c r="A246">
        <f>IF(ISNUMBER(SEARCH(Request!$I$19,B246)),MAX($A$1:A245)+1,0)</f>
        <v>245</v>
      </c>
      <c r="B246" s="11" t="s">
        <v>4113</v>
      </c>
      <c r="D246" t="str">
        <f>IFERROR(VLOOKUP(ROWS($D$2:D246),A246:B1464,2,0),"")</f>
        <v>City Code</v>
      </c>
      <c r="F246">
        <f>IF(ISNUMBER(SEARCH(Request!$N$19,G246)),MAX(F$1:$F245)+1,0)</f>
        <v>245</v>
      </c>
      <c r="G246" s="11" t="s">
        <v>4113</v>
      </c>
      <c r="H246" t="str">
        <f>IFERROR(VLOOKUP(ROWS($H$2:H246),F246:G1464,2,0),"")</f>
        <v>City Code</v>
      </c>
    </row>
    <row r="247" spans="1:8" x14ac:dyDescent="0.25">
      <c r="A247">
        <f>IF(ISNUMBER(SEARCH(Request!$I$19,B247)),MAX($A$1:A246)+1,0)</f>
        <v>246</v>
      </c>
      <c r="B247" s="11" t="s">
        <v>4113</v>
      </c>
      <c r="D247" t="str">
        <f>IFERROR(VLOOKUP(ROWS($D$2:D247),A247:B1465,2,0),"")</f>
        <v>City Code</v>
      </c>
      <c r="F247">
        <f>IF(ISNUMBER(SEARCH(Request!$N$19,G247)),MAX(F$1:$F246)+1,0)</f>
        <v>246</v>
      </c>
      <c r="G247" s="11" t="s">
        <v>4113</v>
      </c>
      <c r="H247" t="str">
        <f>IFERROR(VLOOKUP(ROWS($H$2:H247),F247:G1465,2,0),"")</f>
        <v>City Code</v>
      </c>
    </row>
    <row r="248" spans="1:8" x14ac:dyDescent="0.25">
      <c r="A248">
        <f>IF(ISNUMBER(SEARCH(Request!$I$19,B248)),MAX($A$1:A247)+1,0)</f>
        <v>247</v>
      </c>
      <c r="B248" s="11" t="s">
        <v>4113</v>
      </c>
      <c r="D248" t="str">
        <f>IFERROR(VLOOKUP(ROWS($D$2:D248),A248:B1466,2,0),"")</f>
        <v>City Code</v>
      </c>
      <c r="F248">
        <f>IF(ISNUMBER(SEARCH(Request!$N$19,G248)),MAX(F$1:$F247)+1,0)</f>
        <v>247</v>
      </c>
      <c r="G248" s="11" t="s">
        <v>4113</v>
      </c>
      <c r="H248" t="str">
        <f>IFERROR(VLOOKUP(ROWS($H$2:H248),F248:G1466,2,0),"")</f>
        <v>City Code</v>
      </c>
    </row>
    <row r="249" spans="1:8" x14ac:dyDescent="0.25">
      <c r="A249">
        <f>IF(ISNUMBER(SEARCH(Request!$I$19,B249)),MAX($A$1:A248)+1,0)</f>
        <v>248</v>
      </c>
      <c r="B249" s="11" t="s">
        <v>4113</v>
      </c>
      <c r="D249" t="str">
        <f>IFERROR(VLOOKUP(ROWS($D$2:D249),A249:B1467,2,0),"")</f>
        <v>City Code</v>
      </c>
      <c r="F249">
        <f>IF(ISNUMBER(SEARCH(Request!$N$19,G249)),MAX(F$1:$F248)+1,0)</f>
        <v>248</v>
      </c>
      <c r="G249" s="11" t="s">
        <v>4113</v>
      </c>
      <c r="H249" t="str">
        <f>IFERROR(VLOOKUP(ROWS($H$2:H249),F249:G1467,2,0),"")</f>
        <v>City Code</v>
      </c>
    </row>
    <row r="250" spans="1:8" x14ac:dyDescent="0.25">
      <c r="A250">
        <f>IF(ISNUMBER(SEARCH(Request!$I$19,B250)),MAX($A$1:A249)+1,0)</f>
        <v>249</v>
      </c>
      <c r="B250" s="11" t="s">
        <v>4113</v>
      </c>
      <c r="D250" t="str">
        <f>IFERROR(VLOOKUP(ROWS($D$2:D250),A250:B1468,2,0),"")</f>
        <v>City Code</v>
      </c>
      <c r="F250">
        <f>IF(ISNUMBER(SEARCH(Request!$N$19,G250)),MAX(F$1:$F249)+1,0)</f>
        <v>249</v>
      </c>
      <c r="G250" s="11" t="s">
        <v>4113</v>
      </c>
      <c r="H250" t="str">
        <f>IFERROR(VLOOKUP(ROWS($H$2:H250),F250:G1468,2,0),"")</f>
        <v>City Code</v>
      </c>
    </row>
    <row r="251" spans="1:8" x14ac:dyDescent="0.25">
      <c r="A251">
        <f>IF(ISNUMBER(SEARCH(Request!$I$19,B251)),MAX($A$1:A250)+1,0)</f>
        <v>250</v>
      </c>
      <c r="B251" s="11" t="s">
        <v>4113</v>
      </c>
      <c r="D251" t="str">
        <f>IFERROR(VLOOKUP(ROWS($D$2:D251),A251:B1469,2,0),"")</f>
        <v>City Code</v>
      </c>
      <c r="F251">
        <f>IF(ISNUMBER(SEARCH(Request!$N$19,G251)),MAX(F$1:$F250)+1,0)</f>
        <v>250</v>
      </c>
      <c r="G251" s="11" t="s">
        <v>4113</v>
      </c>
      <c r="H251" t="str">
        <f>IFERROR(VLOOKUP(ROWS($H$2:H251),F251:G1469,2,0),"")</f>
        <v>City Code</v>
      </c>
    </row>
    <row r="252" spans="1:8" x14ac:dyDescent="0.25">
      <c r="A252">
        <f>IF(ISNUMBER(SEARCH(Request!$I$19,B252)),MAX($A$1:A251)+1,0)</f>
        <v>251</v>
      </c>
      <c r="B252" s="11" t="s">
        <v>4113</v>
      </c>
      <c r="D252" t="str">
        <f>IFERROR(VLOOKUP(ROWS($D$2:D252),A252:B1470,2,0),"")</f>
        <v>City Code</v>
      </c>
      <c r="F252">
        <f>IF(ISNUMBER(SEARCH(Request!$N$19,G252)),MAX(F$1:$F251)+1,0)</f>
        <v>251</v>
      </c>
      <c r="G252" s="11" t="s">
        <v>4113</v>
      </c>
      <c r="H252" t="str">
        <f>IFERROR(VLOOKUP(ROWS($H$2:H252),F252:G1470,2,0),"")</f>
        <v>City Code</v>
      </c>
    </row>
    <row r="253" spans="1:8" x14ac:dyDescent="0.25">
      <c r="A253">
        <f>IF(ISNUMBER(SEARCH(Request!$I$19,B253)),MAX($A$1:A252)+1,0)</f>
        <v>252</v>
      </c>
      <c r="B253" s="11" t="s">
        <v>4113</v>
      </c>
      <c r="D253" t="str">
        <f>IFERROR(VLOOKUP(ROWS($D$2:D253),A253:B1471,2,0),"")</f>
        <v>City Code</v>
      </c>
      <c r="F253">
        <f>IF(ISNUMBER(SEARCH(Request!$N$19,G253)),MAX(F$1:$F252)+1,0)</f>
        <v>252</v>
      </c>
      <c r="G253" s="11" t="s">
        <v>4113</v>
      </c>
      <c r="H253" t="str">
        <f>IFERROR(VLOOKUP(ROWS($H$2:H253),F253:G1471,2,0),"")</f>
        <v>City Code</v>
      </c>
    </row>
    <row r="254" spans="1:8" x14ac:dyDescent="0.25">
      <c r="A254">
        <f>IF(ISNUMBER(SEARCH(Request!$I$19,B254)),MAX($A$1:A253)+1,0)</f>
        <v>253</v>
      </c>
      <c r="B254" s="11" t="s">
        <v>4113</v>
      </c>
      <c r="D254" t="str">
        <f>IFERROR(VLOOKUP(ROWS($D$2:D254),A254:B1472,2,0),"")</f>
        <v>City Code</v>
      </c>
      <c r="F254">
        <f>IF(ISNUMBER(SEARCH(Request!$N$19,G254)),MAX(F$1:$F253)+1,0)</f>
        <v>253</v>
      </c>
      <c r="G254" s="11" t="s">
        <v>4113</v>
      </c>
      <c r="H254" t="str">
        <f>IFERROR(VLOOKUP(ROWS($H$2:H254),F254:G1472,2,0),"")</f>
        <v>City Code</v>
      </c>
    </row>
    <row r="255" spans="1:8" x14ac:dyDescent="0.25">
      <c r="A255">
        <f>IF(ISNUMBER(SEARCH(Request!$I$19,B255)),MAX($A$1:A254)+1,0)</f>
        <v>254</v>
      </c>
      <c r="B255" s="11" t="s">
        <v>4113</v>
      </c>
      <c r="D255" t="str">
        <f>IFERROR(VLOOKUP(ROWS($D$2:D255),A255:B1473,2,0),"")</f>
        <v>City Code</v>
      </c>
      <c r="F255">
        <f>IF(ISNUMBER(SEARCH(Request!$N$19,G255)),MAX(F$1:$F254)+1,0)</f>
        <v>254</v>
      </c>
      <c r="G255" s="11" t="s">
        <v>4113</v>
      </c>
      <c r="H255" t="str">
        <f>IFERROR(VLOOKUP(ROWS($H$2:H255),F255:G1473,2,0),"")</f>
        <v>City Code</v>
      </c>
    </row>
    <row r="256" spans="1:8" x14ac:dyDescent="0.25">
      <c r="A256">
        <f>IF(ISNUMBER(SEARCH(Request!$I$19,B256)),MAX($A$1:A255)+1,0)</f>
        <v>255</v>
      </c>
      <c r="B256" s="11" t="s">
        <v>4113</v>
      </c>
      <c r="D256" t="str">
        <f>IFERROR(VLOOKUP(ROWS($D$2:D256),A256:B1474,2,0),"")</f>
        <v>City Code</v>
      </c>
      <c r="F256">
        <f>IF(ISNUMBER(SEARCH(Request!$N$19,G256)),MAX(F$1:$F255)+1,0)</f>
        <v>255</v>
      </c>
      <c r="G256" s="11" t="s">
        <v>4113</v>
      </c>
      <c r="H256" t="str">
        <f>IFERROR(VLOOKUP(ROWS($H$2:H256),F256:G1474,2,0),"")</f>
        <v>City Code</v>
      </c>
    </row>
    <row r="257" spans="1:8" x14ac:dyDescent="0.25">
      <c r="A257">
        <f>IF(ISNUMBER(SEARCH(Request!$I$19,B257)),MAX($A$1:A256)+1,0)</f>
        <v>256</v>
      </c>
      <c r="B257" s="11" t="s">
        <v>4113</v>
      </c>
      <c r="D257" t="str">
        <f>IFERROR(VLOOKUP(ROWS($D$2:D257),A257:B1475,2,0),"")</f>
        <v>City Code</v>
      </c>
      <c r="F257">
        <f>IF(ISNUMBER(SEARCH(Request!$N$19,G257)),MAX(F$1:$F256)+1,0)</f>
        <v>256</v>
      </c>
      <c r="G257" s="11" t="s">
        <v>4113</v>
      </c>
      <c r="H257" t="str">
        <f>IFERROR(VLOOKUP(ROWS($H$2:H257),F257:G1475,2,0),"")</f>
        <v>City Code</v>
      </c>
    </row>
    <row r="258" spans="1:8" x14ac:dyDescent="0.25">
      <c r="A258">
        <f>IF(ISNUMBER(SEARCH(Request!$I$19,B258)),MAX($A$1:A257)+1,0)</f>
        <v>257</v>
      </c>
      <c r="B258" s="11" t="s">
        <v>4113</v>
      </c>
      <c r="D258" t="str">
        <f>IFERROR(VLOOKUP(ROWS($D$2:D258),A258:B1476,2,0),"")</f>
        <v>City Code</v>
      </c>
      <c r="F258">
        <f>IF(ISNUMBER(SEARCH(Request!$N$19,G258)),MAX(F$1:$F257)+1,0)</f>
        <v>257</v>
      </c>
      <c r="G258" s="11" t="s">
        <v>4113</v>
      </c>
      <c r="H258" t="str">
        <f>IFERROR(VLOOKUP(ROWS($H$2:H258),F258:G1476,2,0),"")</f>
        <v>City Code</v>
      </c>
    </row>
    <row r="259" spans="1:8" x14ac:dyDescent="0.25">
      <c r="A259">
        <f>IF(ISNUMBER(SEARCH(Request!$I$19,B259)),MAX($A$1:A258)+1,0)</f>
        <v>258</v>
      </c>
      <c r="B259" s="11" t="s">
        <v>4113</v>
      </c>
      <c r="D259" t="str">
        <f>IFERROR(VLOOKUP(ROWS($D$2:D259),A259:B1477,2,0),"")</f>
        <v>City Code</v>
      </c>
      <c r="F259">
        <f>IF(ISNUMBER(SEARCH(Request!$N$19,G259)),MAX(F$1:$F258)+1,0)</f>
        <v>258</v>
      </c>
      <c r="G259" s="11" t="s">
        <v>4113</v>
      </c>
      <c r="H259" t="str">
        <f>IFERROR(VLOOKUP(ROWS($H$2:H259),F259:G1477,2,0),"")</f>
        <v>City Code</v>
      </c>
    </row>
    <row r="260" spans="1:8" x14ac:dyDescent="0.25">
      <c r="A260">
        <f>IF(ISNUMBER(SEARCH(Request!$I$19,B260)),MAX($A$1:A259)+1,0)</f>
        <v>259</v>
      </c>
      <c r="B260" s="11" t="s">
        <v>4113</v>
      </c>
      <c r="D260" t="str">
        <f>IFERROR(VLOOKUP(ROWS($D$2:D260),A260:B1478,2,0),"")</f>
        <v>City Code</v>
      </c>
      <c r="F260">
        <f>IF(ISNUMBER(SEARCH(Request!$N$19,G260)),MAX(F$1:$F259)+1,0)</f>
        <v>259</v>
      </c>
      <c r="G260" s="11" t="s">
        <v>4113</v>
      </c>
      <c r="H260" t="str">
        <f>IFERROR(VLOOKUP(ROWS($H$2:H260),F260:G1478,2,0),"")</f>
        <v>City Code</v>
      </c>
    </row>
    <row r="261" spans="1:8" x14ac:dyDescent="0.25">
      <c r="A261">
        <f>IF(ISNUMBER(SEARCH(Request!$I$19,B261)),MAX($A$1:A260)+1,0)</f>
        <v>260</v>
      </c>
      <c r="B261" s="11" t="s">
        <v>4113</v>
      </c>
      <c r="D261" t="str">
        <f>IFERROR(VLOOKUP(ROWS($D$2:D261),A261:B1479,2,0),"")</f>
        <v>City Code</v>
      </c>
      <c r="F261">
        <f>IF(ISNUMBER(SEARCH(Request!$N$19,G261)),MAX(F$1:$F260)+1,0)</f>
        <v>260</v>
      </c>
      <c r="G261" s="11" t="s">
        <v>4113</v>
      </c>
      <c r="H261" t="str">
        <f>IFERROR(VLOOKUP(ROWS($H$2:H261),F261:G1479,2,0),"")</f>
        <v>City Code</v>
      </c>
    </row>
    <row r="262" spans="1:8" x14ac:dyDescent="0.25">
      <c r="A262">
        <f>IF(ISNUMBER(SEARCH(Request!$I$19,B262)),MAX($A$1:A261)+1,0)</f>
        <v>261</v>
      </c>
      <c r="B262" s="11" t="s">
        <v>4303</v>
      </c>
      <c r="D262" t="str">
        <f>IFERROR(VLOOKUP(ROWS($D$2:D262),A262:B1480,2,0),"")</f>
        <v>City of Derry – Londonderry LDY</v>
      </c>
      <c r="F262">
        <f>IF(ISNUMBER(SEARCH(Request!$N$19,G262)),MAX(F$1:$F261)+1,0)</f>
        <v>261</v>
      </c>
      <c r="G262" s="11" t="s">
        <v>4303</v>
      </c>
      <c r="H262" t="str">
        <f>IFERROR(VLOOKUP(ROWS($H$2:H262),F262:G1480,2,0),"")</f>
        <v>City of Derry – Londonderry LDY</v>
      </c>
    </row>
    <row r="263" spans="1:8" x14ac:dyDescent="0.25">
      <c r="A263">
        <f>IF(ISNUMBER(SEARCH(Request!$I$19,B263)),MAX($A$1:A262)+1,0)</f>
        <v>262</v>
      </c>
      <c r="B263" s="11" t="s">
        <v>4304</v>
      </c>
      <c r="D263" t="str">
        <f>IFERROR(VLOOKUP(ROWS($D$2:D263),A263:B1481,2,0),"")</f>
        <v>Ciudad del Carmen CME</v>
      </c>
      <c r="F263">
        <f>IF(ISNUMBER(SEARCH(Request!$N$19,G263)),MAX(F$1:$F262)+1,0)</f>
        <v>262</v>
      </c>
      <c r="G263" s="11" t="s">
        <v>4304</v>
      </c>
      <c r="H263" t="str">
        <f>IFERROR(VLOOKUP(ROWS($H$2:H263),F263:G1481,2,0),"")</f>
        <v>Ciudad del Carmen CME</v>
      </c>
    </row>
    <row r="264" spans="1:8" x14ac:dyDescent="0.25">
      <c r="A264">
        <f>IF(ISNUMBER(SEARCH(Request!$I$19,B264)),MAX($A$1:A263)+1,0)</f>
        <v>263</v>
      </c>
      <c r="B264" s="11" t="s">
        <v>4305</v>
      </c>
      <c r="D264" t="str">
        <f>IFERROR(VLOOKUP(ROWS($D$2:D264),A264:B1482,2,0),"")</f>
        <v>Ciudad Obregón CEN</v>
      </c>
      <c r="F264">
        <f>IF(ISNUMBER(SEARCH(Request!$N$19,G264)),MAX(F$1:$F263)+1,0)</f>
        <v>263</v>
      </c>
      <c r="G264" s="11" t="s">
        <v>4305</v>
      </c>
      <c r="H264" t="str">
        <f>IFERROR(VLOOKUP(ROWS($H$2:H264),F264:G1482,2,0),"")</f>
        <v>Ciudad Obregón CEN</v>
      </c>
    </row>
    <row r="265" spans="1:8" x14ac:dyDescent="0.25">
      <c r="A265">
        <f>IF(ISNUMBER(SEARCH(Request!$I$19,B265)),MAX($A$1:A264)+1,0)</f>
        <v>264</v>
      </c>
      <c r="B265" s="11" t="s">
        <v>4306</v>
      </c>
      <c r="D265" t="str">
        <f>IFERROR(VLOOKUP(ROWS($D$2:D265),A265:B1483,2,0),"")</f>
        <v>Ciudad Victoria CVM</v>
      </c>
      <c r="F265">
        <f>IF(ISNUMBER(SEARCH(Request!$N$19,G265)),MAX(F$1:$F264)+1,0)</f>
        <v>264</v>
      </c>
      <c r="G265" s="11" t="s">
        <v>4306</v>
      </c>
      <c r="H265" t="str">
        <f>IFERROR(VLOOKUP(ROWS($H$2:H265),F265:G1483,2,0),"")</f>
        <v>Ciudad Victoria CVM</v>
      </c>
    </row>
    <row r="266" spans="1:8" x14ac:dyDescent="0.25">
      <c r="A266">
        <f>IF(ISNUMBER(SEARCH(Request!$I$19,B266)),MAX($A$1:A265)+1,0)</f>
        <v>265</v>
      </c>
      <c r="B266" s="11" t="s">
        <v>4307</v>
      </c>
      <c r="D266" t="str">
        <f>IFERROR(VLOOKUP(ROWS($D$2:D266),A266:B1484,2,0),"")</f>
        <v>Clermont Ferrand Auvergne CFE</v>
      </c>
      <c r="F266">
        <f>IF(ISNUMBER(SEARCH(Request!$N$19,G266)),MAX(F$1:$F265)+1,0)</f>
        <v>265</v>
      </c>
      <c r="G266" s="11" t="s">
        <v>4307</v>
      </c>
      <c r="H266" t="str">
        <f>IFERROR(VLOOKUP(ROWS($H$2:H266),F266:G1484,2,0),"")</f>
        <v>Clermont Ferrand Auvergne CFE</v>
      </c>
    </row>
    <row r="267" spans="1:8" x14ac:dyDescent="0.25">
      <c r="A267">
        <f>IF(ISNUMBER(SEARCH(Request!$I$19,B267)),MAX($A$1:A266)+1,0)</f>
        <v>266</v>
      </c>
      <c r="B267" s="11" t="s">
        <v>4308</v>
      </c>
      <c r="D267" t="str">
        <f>IFERROR(VLOOKUP(ROWS($D$2:D267),A267:B1485,2,0),"")</f>
        <v>Cleveland – Hopkins CLE</v>
      </c>
      <c r="F267">
        <f>IF(ISNUMBER(SEARCH(Request!$N$19,G267)),MAX(F$1:$F266)+1,0)</f>
        <v>266</v>
      </c>
      <c r="G267" s="11" t="s">
        <v>4308</v>
      </c>
      <c r="H267" t="str">
        <f>IFERROR(VLOOKUP(ROWS($H$2:H267),F267:G1485,2,0),"")</f>
        <v>Cleveland – Hopkins CLE</v>
      </c>
    </row>
    <row r="268" spans="1:8" x14ac:dyDescent="0.25">
      <c r="A268">
        <f>IF(ISNUMBER(SEARCH(Request!$I$19,B268)),MAX($A$1:A267)+1,0)</f>
        <v>267</v>
      </c>
      <c r="B268" s="11" t="s">
        <v>4309</v>
      </c>
      <c r="D268" t="str">
        <f>IFERROR(VLOOKUP(ROWS($D$2:D268),A268:B1486,2,0),"")</f>
        <v>Cochin COK</v>
      </c>
      <c r="F268">
        <f>IF(ISNUMBER(SEARCH(Request!$N$19,G268)),MAX(F$1:$F267)+1,0)</f>
        <v>267</v>
      </c>
      <c r="G268" s="11" t="s">
        <v>4309</v>
      </c>
      <c r="H268" t="str">
        <f>IFERROR(VLOOKUP(ROWS($H$2:H268),F268:G1486,2,0),"")</f>
        <v>Cochin COK</v>
      </c>
    </row>
    <row r="269" spans="1:8" x14ac:dyDescent="0.25">
      <c r="A269">
        <f>IF(ISNUMBER(SEARCH(Request!$I$19,B269)),MAX($A$1:A268)+1,0)</f>
        <v>268</v>
      </c>
      <c r="B269" s="11" t="s">
        <v>4310</v>
      </c>
      <c r="D269" t="str">
        <f>IFERROR(VLOOKUP(ROWS($D$2:D269),A269:B1487,2,0),"")</f>
        <v>Cocos Islands CCK</v>
      </c>
      <c r="F269">
        <f>IF(ISNUMBER(SEARCH(Request!$N$19,G269)),MAX(F$1:$F268)+1,0)</f>
        <v>268</v>
      </c>
      <c r="G269" s="11" t="s">
        <v>4310</v>
      </c>
      <c r="H269" t="str">
        <f>IFERROR(VLOOKUP(ROWS($H$2:H269),F269:G1487,2,0),"")</f>
        <v>Cocos Islands CCK</v>
      </c>
    </row>
    <row r="270" spans="1:8" x14ac:dyDescent="0.25">
      <c r="A270">
        <f>IF(ISNUMBER(SEARCH(Request!$I$19,B270)),MAX($A$1:A269)+1,0)</f>
        <v>269</v>
      </c>
      <c r="B270" s="11" t="s">
        <v>4311</v>
      </c>
      <c r="D270" t="str">
        <f>IFERROR(VLOOKUP(ROWS($D$2:D270),A270:B1488,2,0),"")</f>
        <v>Coimbatore CJB</v>
      </c>
      <c r="F270">
        <f>IF(ISNUMBER(SEARCH(Request!$N$19,G270)),MAX(F$1:$F269)+1,0)</f>
        <v>269</v>
      </c>
      <c r="G270" s="11" t="s">
        <v>4311</v>
      </c>
      <c r="H270" t="str">
        <f>IFERROR(VLOOKUP(ROWS($H$2:H270),F270:G1488,2,0),"")</f>
        <v>Coimbatore CJB</v>
      </c>
    </row>
    <row r="271" spans="1:8" x14ac:dyDescent="0.25">
      <c r="A271">
        <f>IF(ISNUMBER(SEARCH(Request!$I$19,B271)),MAX($A$1:A270)+1,0)</f>
        <v>270</v>
      </c>
      <c r="B271" s="11" t="s">
        <v>4312</v>
      </c>
      <c r="D271" t="str">
        <f>IFERROR(VLOOKUP(ROWS($D$2:D271),A271:B1489,2,0),"")</f>
        <v>Colima CLQ</v>
      </c>
      <c r="F271">
        <f>IF(ISNUMBER(SEARCH(Request!$N$19,G271)),MAX(F$1:$F270)+1,0)</f>
        <v>270</v>
      </c>
      <c r="G271" s="11" t="s">
        <v>4312</v>
      </c>
      <c r="H271" t="str">
        <f>IFERROR(VLOOKUP(ROWS($H$2:H271),F271:G1489,2,0),"")</f>
        <v>Colima CLQ</v>
      </c>
    </row>
    <row r="272" spans="1:8" x14ac:dyDescent="0.25">
      <c r="A272">
        <f>IF(ISNUMBER(SEARCH(Request!$I$19,B272)),MAX($A$1:A271)+1,0)</f>
        <v>271</v>
      </c>
      <c r="B272" s="11" t="s">
        <v>4313</v>
      </c>
      <c r="D272" t="str">
        <f>IFERROR(VLOOKUP(ROWS($D$2:D272),A272:B1490,2,0),"")</f>
        <v>Colmar-Houssen CMR</v>
      </c>
      <c r="F272">
        <f>IF(ISNUMBER(SEARCH(Request!$N$19,G272)),MAX(F$1:$F271)+1,0)</f>
        <v>271</v>
      </c>
      <c r="G272" s="11" t="s">
        <v>4313</v>
      </c>
      <c r="H272" t="str">
        <f>IFERROR(VLOOKUP(ROWS($H$2:H272),F272:G1490,2,0),"")</f>
        <v>Colmar-Houssen CMR</v>
      </c>
    </row>
    <row r="273" spans="1:8" x14ac:dyDescent="0.25">
      <c r="A273">
        <f>IF(ISNUMBER(SEARCH(Request!$I$19,B273)),MAX($A$1:A272)+1,0)</f>
        <v>272</v>
      </c>
      <c r="B273" s="11" t="s">
        <v>4314</v>
      </c>
      <c r="D273" t="str">
        <f>IFERROR(VLOOKUP(ROWS($D$2:D273),A273:B1491,2,0),"")</f>
        <v>Cologne/Bonn CGN</v>
      </c>
      <c r="F273">
        <f>IF(ISNUMBER(SEARCH(Request!$N$19,G273)),MAX(F$1:$F272)+1,0)</f>
        <v>272</v>
      </c>
      <c r="G273" s="11" t="s">
        <v>4314</v>
      </c>
      <c r="H273" t="str">
        <f>IFERROR(VLOOKUP(ROWS($H$2:H273),F273:G1491,2,0),"")</f>
        <v>Cologne/Bonn CGN</v>
      </c>
    </row>
    <row r="274" spans="1:8" x14ac:dyDescent="0.25">
      <c r="A274">
        <f>IF(ISNUMBER(SEARCH(Request!$I$19,B274)),MAX($A$1:A273)+1,0)</f>
        <v>273</v>
      </c>
      <c r="B274" s="11" t="s">
        <v>4315</v>
      </c>
      <c r="D274" t="str">
        <f>IFERROR(VLOOKUP(ROWS($D$2:D274),A274:B1492,2,0),"")</f>
        <v>Colorado Springs COS</v>
      </c>
      <c r="F274">
        <f>IF(ISNUMBER(SEARCH(Request!$N$19,G274)),MAX(F$1:$F273)+1,0)</f>
        <v>273</v>
      </c>
      <c r="G274" s="11" t="s">
        <v>4315</v>
      </c>
      <c r="H274" t="str">
        <f>IFERROR(VLOOKUP(ROWS($H$2:H274),F274:G1492,2,0),"")</f>
        <v>Colorado Springs COS</v>
      </c>
    </row>
    <row r="275" spans="1:8" x14ac:dyDescent="0.25">
      <c r="A275">
        <f>IF(ISNUMBER(SEARCH(Request!$I$19,B275)),MAX($A$1:A274)+1,0)</f>
        <v>274</v>
      </c>
      <c r="B275" s="11" t="s">
        <v>4316</v>
      </c>
      <c r="D275" t="str">
        <f>IFERROR(VLOOKUP(ROWS($D$2:D275),A275:B1493,2,0),"")</f>
        <v>Columbia Metropolitan CAE</v>
      </c>
      <c r="F275">
        <f>IF(ISNUMBER(SEARCH(Request!$N$19,G275)),MAX(F$1:$F274)+1,0)</f>
        <v>274</v>
      </c>
      <c r="G275" s="11" t="s">
        <v>4316</v>
      </c>
      <c r="H275" t="str">
        <f>IFERROR(VLOOKUP(ROWS($H$2:H275),F275:G1493,2,0),"")</f>
        <v>Columbia Metropolitan CAE</v>
      </c>
    </row>
    <row r="276" spans="1:8" x14ac:dyDescent="0.25">
      <c r="A276">
        <f>IF(ISNUMBER(SEARCH(Request!$I$19,B276)),MAX($A$1:A275)+1,0)</f>
        <v>275</v>
      </c>
      <c r="B276" s="11" t="s">
        <v>4317</v>
      </c>
      <c r="D276" t="str">
        <f>IFERROR(VLOOKUP(ROWS($D$2:D276),A276:B1494,2,0),"")</f>
        <v>Columbus – Port Columbus Int´l CMH</v>
      </c>
      <c r="F276">
        <f>IF(ISNUMBER(SEARCH(Request!$N$19,G276)),MAX(F$1:$F275)+1,0)</f>
        <v>275</v>
      </c>
      <c r="G276" s="11" t="s">
        <v>4317</v>
      </c>
      <c r="H276" t="str">
        <f>IFERROR(VLOOKUP(ROWS($H$2:H276),F276:G1494,2,0),"")</f>
        <v>Columbus – Port Columbus Int´l CMH</v>
      </c>
    </row>
    <row r="277" spans="1:8" x14ac:dyDescent="0.25">
      <c r="A277">
        <f>IF(ISNUMBER(SEARCH(Request!$I$19,B277)),MAX($A$1:A276)+1,0)</f>
        <v>276</v>
      </c>
      <c r="B277" s="11" t="s">
        <v>4318</v>
      </c>
      <c r="D277" t="str">
        <f>IFERROR(VLOOKUP(ROWS($D$2:D277),A277:B1495,2,0),"")</f>
        <v>Columbus-Golden Triangle Regional GTR</v>
      </c>
      <c r="F277">
        <f>IF(ISNUMBER(SEARCH(Request!$N$19,G277)),MAX(F$1:$F276)+1,0)</f>
        <v>276</v>
      </c>
      <c r="G277" s="11" t="s">
        <v>4318</v>
      </c>
      <c r="H277" t="str">
        <f>IFERROR(VLOOKUP(ROWS($H$2:H277),F277:G1495,2,0),"")</f>
        <v>Columbus-Golden Triangle Regional GTR</v>
      </c>
    </row>
    <row r="278" spans="1:8" x14ac:dyDescent="0.25">
      <c r="A278">
        <f>IF(ISNUMBER(SEARCH(Request!$I$19,B278)),MAX($A$1:A277)+1,0)</f>
        <v>277</v>
      </c>
      <c r="B278" s="11" t="s">
        <v>4319</v>
      </c>
      <c r="D278" t="str">
        <f>IFERROR(VLOOKUP(ROWS($D$2:D278),A278:B1496,2,0),"")</f>
        <v>Conakry-Gbessia CKY</v>
      </c>
      <c r="F278">
        <f>IF(ISNUMBER(SEARCH(Request!$N$19,G278)),MAX(F$1:$F277)+1,0)</f>
        <v>277</v>
      </c>
      <c r="G278" s="11" t="s">
        <v>4319</v>
      </c>
      <c r="H278" t="str">
        <f>IFERROR(VLOOKUP(ROWS($H$2:H278),F278:G1496,2,0),"")</f>
        <v>Conakry-Gbessia CKY</v>
      </c>
    </row>
    <row r="279" spans="1:8" x14ac:dyDescent="0.25">
      <c r="A279">
        <f>IF(ISNUMBER(SEARCH(Request!$I$19,B279)),MAX($A$1:A278)+1,0)</f>
        <v>278</v>
      </c>
      <c r="B279" s="11" t="s">
        <v>4320</v>
      </c>
      <c r="D279" t="str">
        <f>IFERROR(VLOOKUP(ROWS($D$2:D279),A279:B1497,2,0),"")</f>
        <v>Concepcion CCP</v>
      </c>
      <c r="F279">
        <f>IF(ISNUMBER(SEARCH(Request!$N$19,G279)),MAX(F$1:$F278)+1,0)</f>
        <v>278</v>
      </c>
      <c r="G279" s="11" t="s">
        <v>4320</v>
      </c>
      <c r="H279" t="str">
        <f>IFERROR(VLOOKUP(ROWS($H$2:H279),F279:G1497,2,0),"")</f>
        <v>Concepcion CCP</v>
      </c>
    </row>
    <row r="280" spans="1:8" x14ac:dyDescent="0.25">
      <c r="A280">
        <f>IF(ISNUMBER(SEARCH(Request!$I$19,B280)),MAX($A$1:A279)+1,0)</f>
        <v>279</v>
      </c>
      <c r="B280" s="11" t="s">
        <v>4321</v>
      </c>
      <c r="D280" t="str">
        <f>IFERROR(VLOOKUP(ROWS($D$2:D280),A280:B1498,2,0),"")</f>
        <v>Constanta-Mihail Kogalniceanu CND</v>
      </c>
      <c r="F280">
        <f>IF(ISNUMBER(SEARCH(Request!$N$19,G280)),MAX(F$1:$F279)+1,0)</f>
        <v>279</v>
      </c>
      <c r="G280" s="11" t="s">
        <v>4321</v>
      </c>
      <c r="H280" t="str">
        <f>IFERROR(VLOOKUP(ROWS($H$2:H280),F280:G1498,2,0),"")</f>
        <v>Constanta-Mihail Kogalniceanu CND</v>
      </c>
    </row>
    <row r="281" spans="1:8" x14ac:dyDescent="0.25">
      <c r="A281">
        <f>IF(ISNUMBER(SEARCH(Request!$I$19,B281)),MAX($A$1:A280)+1,0)</f>
        <v>280</v>
      </c>
      <c r="B281" s="11" t="s">
        <v>4322</v>
      </c>
      <c r="D281" t="str">
        <f>IFERROR(VLOOKUP(ROWS($D$2:D281),A281:B1499,2,0),"")</f>
        <v>Constantine CZL</v>
      </c>
      <c r="F281">
        <f>IF(ISNUMBER(SEARCH(Request!$N$19,G281)),MAX(F$1:$F280)+1,0)</f>
        <v>280</v>
      </c>
      <c r="G281" s="11" t="s">
        <v>4322</v>
      </c>
      <c r="H281" t="str">
        <f>IFERROR(VLOOKUP(ROWS($H$2:H281),F281:G1499,2,0),"")</f>
        <v>Constantine CZL</v>
      </c>
    </row>
    <row r="282" spans="1:8" x14ac:dyDescent="0.25">
      <c r="A282">
        <f>IF(ISNUMBER(SEARCH(Request!$I$19,B282)),MAX($A$1:A281)+1,0)</f>
        <v>281</v>
      </c>
      <c r="B282" s="11" t="s">
        <v>4323</v>
      </c>
      <c r="D282" t="str">
        <f>IFERROR(VLOOKUP(ROWS($D$2:D282),A282:B1500,2,0),"")</f>
        <v>Cook Is-Rarotonga RAR</v>
      </c>
      <c r="F282">
        <f>IF(ISNUMBER(SEARCH(Request!$N$19,G282)),MAX(F$1:$F281)+1,0)</f>
        <v>281</v>
      </c>
      <c r="G282" s="11" t="s">
        <v>4323</v>
      </c>
      <c r="H282" t="str">
        <f>IFERROR(VLOOKUP(ROWS($H$2:H282),F282:G1500,2,0),"")</f>
        <v>Cook Is-Rarotonga RAR</v>
      </c>
    </row>
    <row r="283" spans="1:8" x14ac:dyDescent="0.25">
      <c r="A283">
        <f>IF(ISNUMBER(SEARCH(Request!$I$19,B283)),MAX($A$1:A282)+1,0)</f>
        <v>282</v>
      </c>
      <c r="B283" s="11" t="s">
        <v>4324</v>
      </c>
      <c r="D283" t="str">
        <f>IFERROR(VLOOKUP(ROWS($D$2:D283),A283:B1501,2,0),"")</f>
        <v>Coolangatta – Gold Coast OOL</v>
      </c>
      <c r="F283">
        <f>IF(ISNUMBER(SEARCH(Request!$N$19,G283)),MAX(F$1:$F282)+1,0)</f>
        <v>282</v>
      </c>
      <c r="G283" s="11" t="s">
        <v>4324</v>
      </c>
      <c r="H283" t="str">
        <f>IFERROR(VLOOKUP(ROWS($H$2:H283),F283:G1501,2,0),"")</f>
        <v>Coolangatta – Gold Coast OOL</v>
      </c>
    </row>
    <row r="284" spans="1:8" x14ac:dyDescent="0.25">
      <c r="A284">
        <f>IF(ISNUMBER(SEARCH(Request!$I$19,B284)),MAX($A$1:A283)+1,0)</f>
        <v>283</v>
      </c>
      <c r="B284" s="11" t="s">
        <v>4326</v>
      </c>
      <c r="D284" t="str">
        <f>IFERROR(VLOOKUP(ROWS($D$2:D284),A284:B1502,2,0),"")</f>
        <v>Copenhagen – Kastrup CPH</v>
      </c>
      <c r="F284">
        <f>IF(ISNUMBER(SEARCH(Request!$N$19,G284)),MAX(F$1:$F283)+1,0)</f>
        <v>283</v>
      </c>
      <c r="G284" s="11" t="s">
        <v>4326</v>
      </c>
      <c r="H284" t="str">
        <f>IFERROR(VLOOKUP(ROWS($H$2:H284),F284:G1502,2,0),"")</f>
        <v>Copenhagen – Kastrup CPH</v>
      </c>
    </row>
    <row r="285" spans="1:8" x14ac:dyDescent="0.25">
      <c r="A285">
        <f>IF(ISNUMBER(SEARCH(Request!$I$19,B285)),MAX($A$1:A284)+1,0)</f>
        <v>284</v>
      </c>
      <c r="B285" s="11" t="s">
        <v>4325</v>
      </c>
      <c r="D285" t="str">
        <f>IFERROR(VLOOKUP(ROWS($D$2:D285),A285:B1503,2,0),"")</f>
        <v>Copenhagen Roskilde RKE</v>
      </c>
      <c r="F285">
        <f>IF(ISNUMBER(SEARCH(Request!$N$19,G285)),MAX(F$1:$F284)+1,0)</f>
        <v>284</v>
      </c>
      <c r="G285" s="11" t="s">
        <v>4325</v>
      </c>
      <c r="H285" t="str">
        <f>IFERROR(VLOOKUP(ROWS($H$2:H285),F285:G1503,2,0),"")</f>
        <v>Copenhagen Roskilde RKE</v>
      </c>
    </row>
    <row r="286" spans="1:8" x14ac:dyDescent="0.25">
      <c r="A286">
        <f>IF(ISNUMBER(SEARCH(Request!$I$19,B286)),MAX($A$1:A285)+1,0)</f>
        <v>285</v>
      </c>
      <c r="B286" s="11" t="s">
        <v>4328</v>
      </c>
      <c r="D286" t="str">
        <f>IFERROR(VLOOKUP(ROWS($D$2:D286),A286:B1504,2,0),"")</f>
        <v>Cordoba – Ambrosio l y Taravella COR</v>
      </c>
      <c r="F286">
        <f>IF(ISNUMBER(SEARCH(Request!$N$19,G286)),MAX(F$1:$F285)+1,0)</f>
        <v>285</v>
      </c>
      <c r="G286" s="11" t="s">
        <v>4328</v>
      </c>
      <c r="H286" t="str">
        <f>IFERROR(VLOOKUP(ROWS($H$2:H286),F286:G1504,2,0),"")</f>
        <v>Cordoba – Ambrosio l y Taravella COR</v>
      </c>
    </row>
    <row r="287" spans="1:8" x14ac:dyDescent="0.25">
      <c r="A287">
        <f>IF(ISNUMBER(SEARCH(Request!$I$19,B287)),MAX($A$1:A286)+1,0)</f>
        <v>286</v>
      </c>
      <c r="B287" s="11" t="s">
        <v>4327</v>
      </c>
      <c r="D287" t="str">
        <f>IFERROR(VLOOKUP(ROWS($D$2:D287),A287:B1505,2,0),"")</f>
        <v>Cordoba ODB</v>
      </c>
      <c r="F287">
        <f>IF(ISNUMBER(SEARCH(Request!$N$19,G287)),MAX(F$1:$F286)+1,0)</f>
        <v>286</v>
      </c>
      <c r="G287" s="11" t="s">
        <v>4327</v>
      </c>
      <c r="H287" t="str">
        <f>IFERROR(VLOOKUP(ROWS($H$2:H287),F287:G1505,2,0),"")</f>
        <v>Cordoba ODB</v>
      </c>
    </row>
    <row r="288" spans="1:8" x14ac:dyDescent="0.25">
      <c r="A288">
        <f>IF(ISNUMBER(SEARCH(Request!$I$19,B288)),MAX($A$1:A287)+1,0)</f>
        <v>287</v>
      </c>
      <c r="B288" s="11" t="s">
        <v>4329</v>
      </c>
      <c r="D288" t="str">
        <f>IFERROR(VLOOKUP(ROWS($D$2:D288),A288:B1506,2,0),"")</f>
        <v>Corfu I Kapodistrias CFU</v>
      </c>
      <c r="F288">
        <f>IF(ISNUMBER(SEARCH(Request!$N$19,G288)),MAX(F$1:$F287)+1,0)</f>
        <v>287</v>
      </c>
      <c r="G288" s="11" t="s">
        <v>4329</v>
      </c>
      <c r="H288" t="str">
        <f>IFERROR(VLOOKUP(ROWS($H$2:H288),F288:G1506,2,0),"")</f>
        <v>Corfu I Kapodistrias CFU</v>
      </c>
    </row>
    <row r="289" spans="1:8" x14ac:dyDescent="0.25">
      <c r="A289">
        <f>IF(ISNUMBER(SEARCH(Request!$I$19,B289)),MAX($A$1:A288)+1,0)</f>
        <v>288</v>
      </c>
      <c r="B289" s="11" t="s">
        <v>4330</v>
      </c>
      <c r="D289" t="str">
        <f>IFERROR(VLOOKUP(ROWS($D$2:D289),A289:B1507,2,0),"")</f>
        <v>Cork CRK</v>
      </c>
      <c r="F289">
        <f>IF(ISNUMBER(SEARCH(Request!$N$19,G289)),MAX(F$1:$F288)+1,0)</f>
        <v>288</v>
      </c>
      <c r="G289" s="11" t="s">
        <v>4330</v>
      </c>
      <c r="H289" t="str">
        <f>IFERROR(VLOOKUP(ROWS($H$2:H289),F289:G1507,2,0),"")</f>
        <v>Cork CRK</v>
      </c>
    </row>
    <row r="290" spans="1:8" x14ac:dyDescent="0.25">
      <c r="A290">
        <f>IF(ISNUMBER(SEARCH(Request!$I$19,B290)),MAX($A$1:A289)+1,0)</f>
        <v>289</v>
      </c>
      <c r="B290" s="11" t="s">
        <v>4331</v>
      </c>
      <c r="D290" t="str">
        <f>IFERROR(VLOOKUP(ROWS($D$2:D290),A290:B1508,2,0),"")</f>
        <v>Corpus Christi Int´l CRP</v>
      </c>
      <c r="F290">
        <f>IF(ISNUMBER(SEARCH(Request!$N$19,G290)),MAX(F$1:$F289)+1,0)</f>
        <v>289</v>
      </c>
      <c r="G290" s="11" t="s">
        <v>4331</v>
      </c>
      <c r="H290" t="str">
        <f>IFERROR(VLOOKUP(ROWS($H$2:H290),F290:G1508,2,0),"")</f>
        <v>Corpus Christi Int´l CRP</v>
      </c>
    </row>
    <row r="291" spans="1:8" x14ac:dyDescent="0.25">
      <c r="A291">
        <f>IF(ISNUMBER(SEARCH(Request!$I$19,B291)),MAX($A$1:A290)+1,0)</f>
        <v>290</v>
      </c>
      <c r="B291" s="11" t="s">
        <v>4332</v>
      </c>
      <c r="D291" t="str">
        <f>IFERROR(VLOOKUP(ROWS($D$2:D291),A291:B1509,2,0),"")</f>
        <v>Cortez Municipal CEZ</v>
      </c>
      <c r="F291">
        <f>IF(ISNUMBER(SEARCH(Request!$N$19,G291)),MAX(F$1:$F290)+1,0)</f>
        <v>290</v>
      </c>
      <c r="G291" s="11" t="s">
        <v>4332</v>
      </c>
      <c r="H291" t="str">
        <f>IFERROR(VLOOKUP(ROWS($H$2:H291),F291:G1509,2,0),"")</f>
        <v>Cortez Municipal CEZ</v>
      </c>
    </row>
    <row r="292" spans="1:8" x14ac:dyDescent="0.25">
      <c r="A292">
        <f>IF(ISNUMBER(SEARCH(Request!$I$19,B292)),MAX($A$1:A291)+1,0)</f>
        <v>291</v>
      </c>
      <c r="B292" s="11" t="s">
        <v>4333</v>
      </c>
      <c r="D292" t="str">
        <f>IFERROR(VLOOKUP(ROWS($D$2:D292),A292:B1510,2,0),"")</f>
        <v>Corumba CMG</v>
      </c>
      <c r="F292">
        <f>IF(ISNUMBER(SEARCH(Request!$N$19,G292)),MAX(F$1:$F291)+1,0)</f>
        <v>291</v>
      </c>
      <c r="G292" s="11" t="s">
        <v>4333</v>
      </c>
      <c r="H292" t="str">
        <f>IFERROR(VLOOKUP(ROWS($H$2:H292),F292:G1510,2,0),"")</f>
        <v>Corumba CMG</v>
      </c>
    </row>
    <row r="293" spans="1:8" x14ac:dyDescent="0.25">
      <c r="A293">
        <f>IF(ISNUMBER(SEARCH(Request!$I$19,B293)),MAX($A$1:A292)+1,0)</f>
        <v>292</v>
      </c>
      <c r="B293" s="11" t="s">
        <v>4334</v>
      </c>
      <c r="D293" t="str">
        <f>IFERROR(VLOOKUP(ROWS($D$2:D293),A293:B1511,2,0),"")</f>
        <v>Cotonou COO</v>
      </c>
      <c r="F293">
        <f>IF(ISNUMBER(SEARCH(Request!$N$19,G293)),MAX(F$1:$F292)+1,0)</f>
        <v>292</v>
      </c>
      <c r="G293" s="11" t="s">
        <v>4334</v>
      </c>
      <c r="H293" t="str">
        <f>IFERROR(VLOOKUP(ROWS($H$2:H293),F293:G1511,2,0),"")</f>
        <v>Cotonou COO</v>
      </c>
    </row>
    <row r="294" spans="1:8" x14ac:dyDescent="0.25">
      <c r="A294">
        <f>IF(ISNUMBER(SEARCH(Request!$I$19,B294)),MAX($A$1:A293)+1,0)</f>
        <v>293</v>
      </c>
      <c r="B294" s="11" t="s">
        <v>4335</v>
      </c>
      <c r="D294" t="str">
        <f>IFERROR(VLOOKUP(ROWS($D$2:D294),A294:B1512,2,0),"")</f>
        <v>Coventry – West Midlands CVT</v>
      </c>
      <c r="F294">
        <f>IF(ISNUMBER(SEARCH(Request!$N$19,G294)),MAX(F$1:$F293)+1,0)</f>
        <v>293</v>
      </c>
      <c r="G294" s="11" t="s">
        <v>4335</v>
      </c>
      <c r="H294" t="str">
        <f>IFERROR(VLOOKUP(ROWS($H$2:H294),F294:G1512,2,0),"")</f>
        <v>Coventry – West Midlands CVT</v>
      </c>
    </row>
    <row r="295" spans="1:8" x14ac:dyDescent="0.25">
      <c r="A295">
        <f>IF(ISNUMBER(SEARCH(Request!$I$19,B295)),MAX($A$1:A294)+1,0)</f>
        <v>294</v>
      </c>
      <c r="B295" s="11" t="s">
        <v>4336</v>
      </c>
      <c r="D295" t="str">
        <f>IFERROR(VLOOKUP(ROWS($D$2:D295),A295:B1513,2,0),"")</f>
        <v>Cozumel CZM</v>
      </c>
      <c r="F295">
        <f>IF(ISNUMBER(SEARCH(Request!$N$19,G295)),MAX(F$1:$F294)+1,0)</f>
        <v>294</v>
      </c>
      <c r="G295" s="11" t="s">
        <v>4336</v>
      </c>
      <c r="H295" t="str">
        <f>IFERROR(VLOOKUP(ROWS($H$2:H295),F295:G1513,2,0),"")</f>
        <v>Cozumel CZM</v>
      </c>
    </row>
    <row r="296" spans="1:8" x14ac:dyDescent="0.25">
      <c r="A296">
        <f>IF(ISNUMBER(SEARCH(Request!$I$19,B296)),MAX($A$1:A295)+1,0)</f>
        <v>295</v>
      </c>
      <c r="B296" s="11" t="s">
        <v>4337</v>
      </c>
      <c r="D296" t="str">
        <f>IFERROR(VLOOKUP(ROWS($D$2:D296),A296:B1514,2,0),"")</f>
        <v>Crotone CRV</v>
      </c>
      <c r="F296">
        <f>IF(ISNUMBER(SEARCH(Request!$N$19,G296)),MAX(F$1:$F295)+1,0)</f>
        <v>295</v>
      </c>
      <c r="G296" s="11" t="s">
        <v>4337</v>
      </c>
      <c r="H296" t="str">
        <f>IFERROR(VLOOKUP(ROWS($H$2:H296),F296:G1514,2,0),"")</f>
        <v>Crotone CRV</v>
      </c>
    </row>
    <row r="297" spans="1:8" x14ac:dyDescent="0.25">
      <c r="A297">
        <f>IF(ISNUMBER(SEARCH(Request!$I$19,B297)),MAX($A$1:A296)+1,0)</f>
        <v>296</v>
      </c>
      <c r="B297" s="11" t="s">
        <v>4338</v>
      </c>
      <c r="D297" t="str">
        <f>IFERROR(VLOOKUP(ROWS($D$2:D297),A297:B1515,2,0),"")</f>
        <v>Crown Point TAB</v>
      </c>
      <c r="F297">
        <f>IF(ISNUMBER(SEARCH(Request!$N$19,G297)),MAX(F$1:$F296)+1,0)</f>
        <v>296</v>
      </c>
      <c r="G297" s="11" t="s">
        <v>4338</v>
      </c>
      <c r="H297" t="str">
        <f>IFERROR(VLOOKUP(ROWS($H$2:H297),F297:G1515,2,0),"")</f>
        <v>Crown Point TAB</v>
      </c>
    </row>
    <row r="298" spans="1:8" x14ac:dyDescent="0.25">
      <c r="A298">
        <f>IF(ISNUMBER(SEARCH(Request!$I$19,B298)),MAX($A$1:A297)+1,0)</f>
        <v>297</v>
      </c>
      <c r="B298" s="11" t="s">
        <v>4339</v>
      </c>
      <c r="D298" t="str">
        <f>IFERROR(VLOOKUP(ROWS($D$2:D298),A298:B1516,2,0),"")</f>
        <v>Cruzeiro do Sul Int´l CZS</v>
      </c>
      <c r="F298">
        <f>IF(ISNUMBER(SEARCH(Request!$N$19,G298)),MAX(F$1:$F297)+1,0)</f>
        <v>297</v>
      </c>
      <c r="G298" s="11" t="s">
        <v>4339</v>
      </c>
      <c r="H298" t="str">
        <f>IFERROR(VLOOKUP(ROWS($H$2:H298),F298:G1516,2,0),"")</f>
        <v>Cruzeiro do Sul Int´l CZS</v>
      </c>
    </row>
    <row r="299" spans="1:8" x14ac:dyDescent="0.25">
      <c r="A299">
        <f>IF(ISNUMBER(SEARCH(Request!$I$19,B299)),MAX($A$1:A298)+1,0)</f>
        <v>298</v>
      </c>
      <c r="B299" s="11" t="s">
        <v>4340</v>
      </c>
      <c r="D299" t="str">
        <f>IFERROR(VLOOKUP(ROWS($D$2:D299),A299:B1517,2,0),"")</f>
        <v>Cuernavaca CVJ</v>
      </c>
      <c r="F299">
        <f>IF(ISNUMBER(SEARCH(Request!$N$19,G299)),MAX(F$1:$F298)+1,0)</f>
        <v>298</v>
      </c>
      <c r="G299" s="11" t="s">
        <v>4340</v>
      </c>
      <c r="H299" t="str">
        <f>IFERROR(VLOOKUP(ROWS($H$2:H299),F299:G1517,2,0),"")</f>
        <v>Cuernavaca CVJ</v>
      </c>
    </row>
    <row r="300" spans="1:8" x14ac:dyDescent="0.25">
      <c r="A300">
        <f>IF(ISNUMBER(SEARCH(Request!$I$19,B300)),MAX($A$1:A299)+1,0)</f>
        <v>299</v>
      </c>
      <c r="B300" s="11" t="s">
        <v>4341</v>
      </c>
      <c r="D300" t="str">
        <f>IFERROR(VLOOKUP(ROWS($D$2:D300),A300:B1518,2,0),"")</f>
        <v>Cumberland Regional CBE</v>
      </c>
      <c r="F300">
        <f>IF(ISNUMBER(SEARCH(Request!$N$19,G300)),MAX(F$1:$F299)+1,0)</f>
        <v>299</v>
      </c>
      <c r="G300" s="11" t="s">
        <v>4341</v>
      </c>
      <c r="H300" t="str">
        <f>IFERROR(VLOOKUP(ROWS($H$2:H300),F300:G1518,2,0),"")</f>
        <v>Cumberland Regional CBE</v>
      </c>
    </row>
    <row r="301" spans="1:8" x14ac:dyDescent="0.25">
      <c r="A301">
        <f>IF(ISNUMBER(SEARCH(Request!$I$19,B301)),MAX($A$1:A300)+1,0)</f>
        <v>300</v>
      </c>
      <c r="B301" s="11" t="s">
        <v>4342</v>
      </c>
      <c r="D301" t="str">
        <f>IFERROR(VLOOKUP(ROWS($D$2:D301),A301:B1519,2,0),"")</f>
        <v>Cuneo-Levaldigi CUF</v>
      </c>
      <c r="F301">
        <f>IF(ISNUMBER(SEARCH(Request!$N$19,G301)),MAX(F$1:$F300)+1,0)</f>
        <v>300</v>
      </c>
      <c r="G301" s="11" t="s">
        <v>4342</v>
      </c>
      <c r="H301" t="str">
        <f>IFERROR(VLOOKUP(ROWS($H$2:H301),F301:G1519,2,0),"")</f>
        <v>Cuneo-Levaldigi CUF</v>
      </c>
    </row>
    <row r="302" spans="1:8" x14ac:dyDescent="0.25">
      <c r="A302">
        <f>IF(ISNUMBER(SEARCH(Request!$I$19,B302)),MAX($A$1:A301)+1,0)</f>
        <v>301</v>
      </c>
      <c r="B302" s="11" t="s">
        <v>4343</v>
      </c>
      <c r="D302" t="str">
        <f>IFERROR(VLOOKUP(ROWS($D$2:D302),A302:B1520,2,0),"")</f>
        <v>Curacao – Hato CUR</v>
      </c>
      <c r="F302">
        <f>IF(ISNUMBER(SEARCH(Request!$N$19,G302)),MAX(F$1:$F301)+1,0)</f>
        <v>301</v>
      </c>
      <c r="G302" s="11" t="s">
        <v>4343</v>
      </c>
      <c r="H302" t="str">
        <f>IFERROR(VLOOKUP(ROWS($H$2:H302),F302:G1520,2,0),"")</f>
        <v>Curacao – Hato CUR</v>
      </c>
    </row>
    <row r="303" spans="1:8" x14ac:dyDescent="0.25">
      <c r="A303">
        <f>IF(ISNUMBER(SEARCH(Request!$I$19,B303)),MAX($A$1:A302)+1,0)</f>
        <v>302</v>
      </c>
      <c r="B303" s="11" t="s">
        <v>4344</v>
      </c>
      <c r="D303" t="str">
        <f>IFERROR(VLOOKUP(ROWS($D$2:D303),A303:B1521,2,0),"")</f>
        <v>Curitiba – Afonso Pena CWB</v>
      </c>
      <c r="F303">
        <f>IF(ISNUMBER(SEARCH(Request!$N$19,G303)),MAX(F$1:$F302)+1,0)</f>
        <v>302</v>
      </c>
      <c r="G303" s="11" t="s">
        <v>4344</v>
      </c>
      <c r="H303" t="str">
        <f>IFERROR(VLOOKUP(ROWS($H$2:H303),F303:G1521,2,0),"")</f>
        <v>Curitiba – Afonso Pena CWB</v>
      </c>
    </row>
    <row r="304" spans="1:8" x14ac:dyDescent="0.25">
      <c r="A304">
        <f>IF(ISNUMBER(SEARCH(Request!$I$19,B304)),MAX($A$1:A303)+1,0)</f>
        <v>303</v>
      </c>
      <c r="B304" s="11" t="s">
        <v>4345</v>
      </c>
      <c r="D304" t="str">
        <f>IFERROR(VLOOKUP(ROWS($D$2:D304),A304:B1522,2,0),"")</f>
        <v>Dakar-Yoff – Leopol Sedar Senghor Int´l DKR</v>
      </c>
      <c r="F304">
        <f>IF(ISNUMBER(SEARCH(Request!$N$19,G304)),MAX(F$1:$F303)+1,0)</f>
        <v>303</v>
      </c>
      <c r="G304" s="11" t="s">
        <v>4345</v>
      </c>
      <c r="H304" t="str">
        <f>IFERROR(VLOOKUP(ROWS($H$2:H304),F304:G1522,2,0),"")</f>
        <v>Dakar-Yoff – Leopol Sedar Senghor Int´l DKR</v>
      </c>
    </row>
    <row r="305" spans="1:8" x14ac:dyDescent="0.25">
      <c r="A305">
        <f>IF(ISNUMBER(SEARCH(Request!$I$19,B305)),MAX($A$1:A304)+1,0)</f>
        <v>304</v>
      </c>
      <c r="B305" s="11" t="s">
        <v>4346</v>
      </c>
      <c r="D305" t="str">
        <f>IFERROR(VLOOKUP(ROWS($D$2:D305),A305:B1523,2,0),"")</f>
        <v>Dalaman DLM</v>
      </c>
      <c r="F305">
        <f>IF(ISNUMBER(SEARCH(Request!$N$19,G305)),MAX(F$1:$F304)+1,0)</f>
        <v>304</v>
      </c>
      <c r="G305" s="11" t="s">
        <v>4346</v>
      </c>
      <c r="H305" t="str">
        <f>IFERROR(VLOOKUP(ROWS($H$2:H305),F305:G1523,2,0),"")</f>
        <v>Dalaman DLM</v>
      </c>
    </row>
    <row r="306" spans="1:8" x14ac:dyDescent="0.25">
      <c r="A306">
        <f>IF(ISNUMBER(SEARCH(Request!$I$19,B306)),MAX($A$1:A305)+1,0)</f>
        <v>305</v>
      </c>
      <c r="B306" s="11" t="s">
        <v>4347</v>
      </c>
      <c r="D306" t="str">
        <f>IFERROR(VLOOKUP(ROWS($D$2:D306),A306:B1524,2,0),"")</f>
        <v>Dalian – Zhoushuizi DLC</v>
      </c>
      <c r="F306">
        <f>IF(ISNUMBER(SEARCH(Request!$N$19,G306)),MAX(F$1:$F305)+1,0)</f>
        <v>305</v>
      </c>
      <c r="G306" s="11" t="s">
        <v>4347</v>
      </c>
      <c r="H306" t="str">
        <f>IFERROR(VLOOKUP(ROWS($H$2:H306),F306:G1524,2,0),"")</f>
        <v>Dalian – Zhoushuizi DLC</v>
      </c>
    </row>
    <row r="307" spans="1:8" x14ac:dyDescent="0.25">
      <c r="A307">
        <f>IF(ISNUMBER(SEARCH(Request!$I$19,B307)),MAX($A$1:A306)+1,0)</f>
        <v>306</v>
      </c>
      <c r="B307" s="11" t="s">
        <v>4348</v>
      </c>
      <c r="D307" t="str">
        <f>IFERROR(VLOOKUP(ROWS($D$2:D307),A307:B1525,2,0),"")</f>
        <v>Dallas Love Field DAL</v>
      </c>
      <c r="F307">
        <f>IF(ISNUMBER(SEARCH(Request!$N$19,G307)),MAX(F$1:$F306)+1,0)</f>
        <v>306</v>
      </c>
      <c r="G307" s="11" t="s">
        <v>4348</v>
      </c>
      <c r="H307" t="str">
        <f>IFERROR(VLOOKUP(ROWS($H$2:H307),F307:G1525,2,0),"")</f>
        <v>Dallas Love Field DAL</v>
      </c>
    </row>
    <row r="308" spans="1:8" x14ac:dyDescent="0.25">
      <c r="A308">
        <f>IF(ISNUMBER(SEARCH(Request!$I$19,B308)),MAX($A$1:A307)+1,0)</f>
        <v>307</v>
      </c>
      <c r="B308" s="11" t="s">
        <v>4349</v>
      </c>
      <c r="D308" t="str">
        <f>IFERROR(VLOOKUP(ROWS($D$2:D308),A308:B1526,2,0),"")</f>
        <v>Dallas/Fort Worth DFW</v>
      </c>
      <c r="F308">
        <f>IF(ISNUMBER(SEARCH(Request!$N$19,G308)),MAX(F$1:$F307)+1,0)</f>
        <v>307</v>
      </c>
      <c r="G308" s="11" t="s">
        <v>4349</v>
      </c>
      <c r="H308" t="str">
        <f>IFERROR(VLOOKUP(ROWS($H$2:H308),F308:G1526,2,0),"")</f>
        <v>Dallas/Fort Worth DFW</v>
      </c>
    </row>
    <row r="309" spans="1:8" x14ac:dyDescent="0.25">
      <c r="A309">
        <f>IF(ISNUMBER(SEARCH(Request!$I$19,B309)),MAX($A$1:A308)+1,0)</f>
        <v>308</v>
      </c>
      <c r="B309" s="11" t="s">
        <v>4350</v>
      </c>
      <c r="D309" t="str">
        <f>IFERROR(VLOOKUP(ROWS($D$2:D309),A309:B1527,2,0),"")</f>
        <v>Damascus DAM</v>
      </c>
      <c r="F309">
        <f>IF(ISNUMBER(SEARCH(Request!$N$19,G309)),MAX(F$1:$F308)+1,0)</f>
        <v>308</v>
      </c>
      <c r="G309" s="11" t="s">
        <v>4350</v>
      </c>
      <c r="H309" t="str">
        <f>IFERROR(VLOOKUP(ROWS($H$2:H309),F309:G1527,2,0),"")</f>
        <v>Damascus DAM</v>
      </c>
    </row>
    <row r="310" spans="1:8" x14ac:dyDescent="0.25">
      <c r="A310">
        <f>IF(ISNUMBER(SEARCH(Request!$I$19,B310)),MAX($A$1:A309)+1,0)</f>
        <v>309</v>
      </c>
      <c r="B310" s="11" t="s">
        <v>4351</v>
      </c>
      <c r="D310" t="str">
        <f>IFERROR(VLOOKUP(ROWS($D$2:D310),A310:B1528,2,0),"")</f>
        <v>Dammam – King Fahd OED</v>
      </c>
      <c r="F310">
        <f>IF(ISNUMBER(SEARCH(Request!$N$19,G310)),MAX(F$1:$F309)+1,0)</f>
        <v>309</v>
      </c>
      <c r="G310" s="11" t="s">
        <v>4351</v>
      </c>
      <c r="H310" t="str">
        <f>IFERROR(VLOOKUP(ROWS($H$2:H310),F310:G1528,2,0),"")</f>
        <v>Dammam – King Fahd OED</v>
      </c>
    </row>
    <row r="311" spans="1:8" x14ac:dyDescent="0.25">
      <c r="A311">
        <f>IF(ISNUMBER(SEARCH(Request!$I$19,B311)),MAX($A$1:A310)+1,0)</f>
        <v>310</v>
      </c>
      <c r="B311" s="11" t="s">
        <v>4352</v>
      </c>
      <c r="D311" t="str">
        <f>IFERROR(VLOOKUP(ROWS($D$2:D311),A311:B1529,2,0),"")</f>
        <v>Dane County Regional MSN</v>
      </c>
      <c r="F311">
        <f>IF(ISNUMBER(SEARCH(Request!$N$19,G311)),MAX(F$1:$F310)+1,0)</f>
        <v>310</v>
      </c>
      <c r="G311" s="11" t="s">
        <v>4352</v>
      </c>
      <c r="H311" t="str">
        <f>IFERROR(VLOOKUP(ROWS($H$2:H311),F311:G1529,2,0),"")</f>
        <v>Dane County Regional MSN</v>
      </c>
    </row>
    <row r="312" spans="1:8" x14ac:dyDescent="0.25">
      <c r="A312">
        <f>IF(ISNUMBER(SEARCH(Request!$I$19,B312)),MAX($A$1:A311)+1,0)</f>
        <v>311</v>
      </c>
      <c r="B312" s="11" t="s">
        <v>4353</v>
      </c>
      <c r="D312" t="str">
        <f>IFERROR(VLOOKUP(ROWS($D$2:D312),A312:B1530,2,0),"")</f>
        <v>Dar-es-Salaam DAR</v>
      </c>
      <c r="F312">
        <f>IF(ISNUMBER(SEARCH(Request!$N$19,G312)),MAX(F$1:$F311)+1,0)</f>
        <v>311</v>
      </c>
      <c r="G312" s="11" t="s">
        <v>4353</v>
      </c>
      <c r="H312" t="str">
        <f>IFERROR(VLOOKUP(ROWS($H$2:H312),F312:G1530,2,0),"")</f>
        <v>Dar-es-Salaam DAR</v>
      </c>
    </row>
    <row r="313" spans="1:8" x14ac:dyDescent="0.25">
      <c r="A313">
        <f>IF(ISNUMBER(SEARCH(Request!$I$19,B313)),MAX($A$1:A312)+1,0)</f>
        <v>312</v>
      </c>
      <c r="B313" s="11" t="s">
        <v>4354</v>
      </c>
      <c r="D313" t="str">
        <f>IFERROR(VLOOKUP(ROWS($D$2:D313),A313:B1531,2,0),"")</f>
        <v>Darwin Int´l DRW</v>
      </c>
      <c r="F313">
        <f>IF(ISNUMBER(SEARCH(Request!$N$19,G313)),MAX(F$1:$F312)+1,0)</f>
        <v>312</v>
      </c>
      <c r="G313" s="11" t="s">
        <v>4354</v>
      </c>
      <c r="H313" t="str">
        <f>IFERROR(VLOOKUP(ROWS($H$2:H313),F313:G1531,2,0),"")</f>
        <v>Darwin Int´l DRW</v>
      </c>
    </row>
    <row r="314" spans="1:8" x14ac:dyDescent="0.25">
      <c r="A314">
        <f>IF(ISNUMBER(SEARCH(Request!$I$19,B314)),MAX($A$1:A313)+1,0)</f>
        <v>313</v>
      </c>
      <c r="B314" s="11" t="s">
        <v>4355</v>
      </c>
      <c r="D314" t="str">
        <f>IFERROR(VLOOKUP(ROWS($D$2:D314),A314:B1532,2,0),"")</f>
        <v>Davao Int´l DVO</v>
      </c>
      <c r="F314">
        <f>IF(ISNUMBER(SEARCH(Request!$N$19,G314)),MAX(F$1:$F313)+1,0)</f>
        <v>313</v>
      </c>
      <c r="G314" s="11" t="s">
        <v>4355</v>
      </c>
      <c r="H314" t="str">
        <f>IFERROR(VLOOKUP(ROWS($H$2:H314),F314:G1532,2,0),"")</f>
        <v>Davao Int´l DVO</v>
      </c>
    </row>
    <row r="315" spans="1:8" x14ac:dyDescent="0.25">
      <c r="A315">
        <f>IF(ISNUMBER(SEARCH(Request!$I$19,B315)),MAX($A$1:A314)+1,0)</f>
        <v>314</v>
      </c>
      <c r="B315" s="11" t="s">
        <v>4356</v>
      </c>
      <c r="D315" t="str">
        <f>IFERROR(VLOOKUP(ROWS($D$2:D315),A315:B1533,2,0),"")</f>
        <v>Dayton DAY</v>
      </c>
      <c r="F315">
        <f>IF(ISNUMBER(SEARCH(Request!$N$19,G315)),MAX(F$1:$F314)+1,0)</f>
        <v>314</v>
      </c>
      <c r="G315" s="11" t="s">
        <v>4356</v>
      </c>
      <c r="H315" t="str">
        <f>IFERROR(VLOOKUP(ROWS($H$2:H315),F315:G1533,2,0),"")</f>
        <v>Dayton DAY</v>
      </c>
    </row>
    <row r="316" spans="1:8" x14ac:dyDescent="0.25">
      <c r="A316">
        <f>IF(ISNUMBER(SEARCH(Request!$I$19,B316)),MAX($A$1:A315)+1,0)</f>
        <v>315</v>
      </c>
      <c r="B316" s="11" t="s">
        <v>4357</v>
      </c>
      <c r="D316" t="str">
        <f>IFERROR(VLOOKUP(ROWS($D$2:D316),A316:B1534,2,0),"")</f>
        <v>Daytona Beach Int´l DAB</v>
      </c>
      <c r="F316">
        <f>IF(ISNUMBER(SEARCH(Request!$N$19,G316)),MAX(F$1:$F315)+1,0)</f>
        <v>315</v>
      </c>
      <c r="G316" s="11" t="s">
        <v>4357</v>
      </c>
      <c r="H316" t="str">
        <f>IFERROR(VLOOKUP(ROWS($H$2:H316),F316:G1534,2,0),"")</f>
        <v>Daytona Beach Int´l DAB</v>
      </c>
    </row>
    <row r="317" spans="1:8" x14ac:dyDescent="0.25">
      <c r="A317">
        <f>IF(ISNUMBER(SEARCH(Request!$I$19,B317)),MAX($A$1:A316)+1,0)</f>
        <v>316</v>
      </c>
      <c r="B317" s="11" t="s">
        <v>4358</v>
      </c>
      <c r="D317" t="str">
        <f>IFERROR(VLOOKUP(ROWS($D$2:D317),A317:B1535,2,0),"")</f>
        <v>Deauville/Saint Gatien DOL</v>
      </c>
      <c r="F317">
        <f>IF(ISNUMBER(SEARCH(Request!$N$19,G317)),MAX(F$1:$F316)+1,0)</f>
        <v>316</v>
      </c>
      <c r="G317" s="11" t="s">
        <v>4358</v>
      </c>
      <c r="H317" t="str">
        <f>IFERROR(VLOOKUP(ROWS($H$2:H317),F317:G1535,2,0),"")</f>
        <v>Deauville/Saint Gatien DOL</v>
      </c>
    </row>
    <row r="318" spans="1:8" x14ac:dyDescent="0.25">
      <c r="A318">
        <f>IF(ISNUMBER(SEARCH(Request!$I$19,B318)),MAX($A$1:A317)+1,0)</f>
        <v>317</v>
      </c>
      <c r="B318" s="11" t="s">
        <v>4359</v>
      </c>
      <c r="D318" t="str">
        <f>IFERROR(VLOOKUP(ROWS($D$2:D318),A318:B1536,2,0),"")</f>
        <v>Decatur DEC</v>
      </c>
      <c r="F318">
        <f>IF(ISNUMBER(SEARCH(Request!$N$19,G318)),MAX(F$1:$F317)+1,0)</f>
        <v>317</v>
      </c>
      <c r="G318" s="11" t="s">
        <v>4359</v>
      </c>
      <c r="H318" t="str">
        <f>IFERROR(VLOOKUP(ROWS($H$2:H318),F318:G1536,2,0),"")</f>
        <v>Decatur DEC</v>
      </c>
    </row>
    <row r="319" spans="1:8" x14ac:dyDescent="0.25">
      <c r="A319">
        <f>IF(ISNUMBER(SEARCH(Request!$I$19,B319)),MAX($A$1:A318)+1,0)</f>
        <v>318</v>
      </c>
      <c r="B319" s="11" t="s">
        <v>4360</v>
      </c>
      <c r="D319" t="str">
        <f>IFERROR(VLOOKUP(ROWS($D$2:D319),A319:B1537,2,0),"")</f>
        <v>Delhi – Indira Ghandi DEL</v>
      </c>
      <c r="F319">
        <f>IF(ISNUMBER(SEARCH(Request!$N$19,G319)),MAX(F$1:$F318)+1,0)</f>
        <v>318</v>
      </c>
      <c r="G319" s="11" t="s">
        <v>4360</v>
      </c>
      <c r="H319" t="str">
        <f>IFERROR(VLOOKUP(ROWS($H$2:H319),F319:G1537,2,0),"")</f>
        <v>Delhi – Indira Ghandi DEL</v>
      </c>
    </row>
    <row r="320" spans="1:8" x14ac:dyDescent="0.25">
      <c r="A320">
        <f>IF(ISNUMBER(SEARCH(Request!$I$19,B320)),MAX($A$1:A319)+1,0)</f>
        <v>319</v>
      </c>
      <c r="B320" s="11" t="s">
        <v>4361</v>
      </c>
      <c r="D320" t="str">
        <f>IFERROR(VLOOKUP(ROWS($D$2:D320),A320:B1538,2,0),"")</f>
        <v>Denver DEN</v>
      </c>
      <c r="F320">
        <f>IF(ISNUMBER(SEARCH(Request!$N$19,G320)),MAX(F$1:$F319)+1,0)</f>
        <v>319</v>
      </c>
      <c r="G320" s="11" t="s">
        <v>4361</v>
      </c>
      <c r="H320" t="str">
        <f>IFERROR(VLOOKUP(ROWS($H$2:H320),F320:G1538,2,0),"")</f>
        <v>Denver DEN</v>
      </c>
    </row>
    <row r="321" spans="1:8" x14ac:dyDescent="0.25">
      <c r="A321">
        <f>IF(ISNUMBER(SEARCH(Request!$I$19,B321)),MAX($A$1:A320)+1,0)</f>
        <v>320</v>
      </c>
      <c r="B321" s="11" t="s">
        <v>4362</v>
      </c>
      <c r="D321" t="str">
        <f>IFERROR(VLOOKUP(ROWS($D$2:D321),A321:B1539,2,0),"")</f>
        <v>Des Moines DSM</v>
      </c>
      <c r="F321">
        <f>IF(ISNUMBER(SEARCH(Request!$N$19,G321)),MAX(F$1:$F320)+1,0)</f>
        <v>320</v>
      </c>
      <c r="G321" s="11" t="s">
        <v>4362</v>
      </c>
      <c r="H321" t="str">
        <f>IFERROR(VLOOKUP(ROWS($H$2:H321),F321:G1539,2,0),"")</f>
        <v>Des Moines DSM</v>
      </c>
    </row>
    <row r="322" spans="1:8" x14ac:dyDescent="0.25">
      <c r="A322">
        <f>IF(ISNUMBER(SEARCH(Request!$I$19,B322)),MAX($A$1:A321)+1,0)</f>
        <v>321</v>
      </c>
      <c r="B322" s="11" t="s">
        <v>4363</v>
      </c>
      <c r="D322" t="str">
        <f>IFERROR(VLOOKUP(ROWS($D$2:D322),A322:B1540,2,0),"")</f>
        <v>Detroit City DET</v>
      </c>
      <c r="F322">
        <f>IF(ISNUMBER(SEARCH(Request!$N$19,G322)),MAX(F$1:$F321)+1,0)</f>
        <v>321</v>
      </c>
      <c r="G322" s="11" t="s">
        <v>4363</v>
      </c>
      <c r="H322" t="str">
        <f>IFERROR(VLOOKUP(ROWS($H$2:H322),F322:G1540,2,0),"")</f>
        <v>Detroit City DET</v>
      </c>
    </row>
    <row r="323" spans="1:8" x14ac:dyDescent="0.25">
      <c r="A323">
        <f>IF(ISNUMBER(SEARCH(Request!$I$19,B323)),MAX($A$1:A322)+1,0)</f>
        <v>322</v>
      </c>
      <c r="B323" s="11" t="s">
        <v>4364</v>
      </c>
      <c r="D323" t="str">
        <f>IFERROR(VLOOKUP(ROWS($D$2:D323),A323:B1541,2,0),"")</f>
        <v>Detroit Metropolitan Wayne County DTW</v>
      </c>
      <c r="F323">
        <f>IF(ISNUMBER(SEARCH(Request!$N$19,G323)),MAX(F$1:$F322)+1,0)</f>
        <v>322</v>
      </c>
      <c r="G323" s="11" t="s">
        <v>4364</v>
      </c>
      <c r="H323" t="str">
        <f>IFERROR(VLOOKUP(ROWS($H$2:H323),F323:G1541,2,0),"")</f>
        <v>Detroit Metropolitan Wayne County DTW</v>
      </c>
    </row>
    <row r="324" spans="1:8" x14ac:dyDescent="0.25">
      <c r="A324">
        <f>IF(ISNUMBER(SEARCH(Request!$I$19,B324)),MAX($A$1:A323)+1,0)</f>
        <v>323</v>
      </c>
      <c r="B324" s="11" t="s">
        <v>4365</v>
      </c>
      <c r="D324" t="str">
        <f>IFERROR(VLOOKUP(ROWS($D$2:D324),A324:B1542,2,0),"")</f>
        <v>Dhahran DHA</v>
      </c>
      <c r="F324">
        <f>IF(ISNUMBER(SEARCH(Request!$N$19,G324)),MAX(F$1:$F323)+1,0)</f>
        <v>323</v>
      </c>
      <c r="G324" s="11" t="s">
        <v>4365</v>
      </c>
      <c r="H324" t="str">
        <f>IFERROR(VLOOKUP(ROWS($H$2:H324),F324:G1542,2,0),"")</f>
        <v>Dhahran DHA</v>
      </c>
    </row>
    <row r="325" spans="1:8" x14ac:dyDescent="0.25">
      <c r="A325">
        <f>IF(ISNUMBER(SEARCH(Request!$I$19,B325)),MAX($A$1:A324)+1,0)</f>
        <v>324</v>
      </c>
      <c r="B325" s="11" t="s">
        <v>4366</v>
      </c>
      <c r="D325" t="str">
        <f>IFERROR(VLOOKUP(ROWS($D$2:D325),A325:B1543,2,0),"")</f>
        <v>Dhaka – Zia DAC</v>
      </c>
      <c r="F325">
        <f>IF(ISNUMBER(SEARCH(Request!$N$19,G325)),MAX(F$1:$F324)+1,0)</f>
        <v>324</v>
      </c>
      <c r="G325" s="11" t="s">
        <v>4366</v>
      </c>
      <c r="H325" t="str">
        <f>IFERROR(VLOOKUP(ROWS($H$2:H325),F325:G1543,2,0),"")</f>
        <v>Dhaka – Zia DAC</v>
      </c>
    </row>
    <row r="326" spans="1:8" x14ac:dyDescent="0.25">
      <c r="A326">
        <f>IF(ISNUMBER(SEARCH(Request!$I$19,B326)),MAX($A$1:A325)+1,0)</f>
        <v>325</v>
      </c>
      <c r="B326" s="11" t="s">
        <v>4367</v>
      </c>
      <c r="D326" t="str">
        <f>IFERROR(VLOOKUP(ROWS($D$2:D326),A326:B1544,2,0),"")</f>
        <v>Dijon-Bourgogne Aéroport DIJ</v>
      </c>
      <c r="F326">
        <f>IF(ISNUMBER(SEARCH(Request!$N$19,G326)),MAX(F$1:$F325)+1,0)</f>
        <v>325</v>
      </c>
      <c r="G326" s="11" t="s">
        <v>4367</v>
      </c>
      <c r="H326" t="str">
        <f>IFERROR(VLOOKUP(ROWS($H$2:H326),F326:G1544,2,0),"")</f>
        <v>Dijon-Bourgogne Aéroport DIJ</v>
      </c>
    </row>
    <row r="327" spans="1:8" x14ac:dyDescent="0.25">
      <c r="A327">
        <f>IF(ISNUMBER(SEARCH(Request!$I$19,B327)),MAX($A$1:A326)+1,0)</f>
        <v>326</v>
      </c>
      <c r="B327" s="11" t="s">
        <v>4368</v>
      </c>
      <c r="D327" t="str">
        <f>IFERROR(VLOOKUP(ROWS($D$2:D327),A327:B1545,2,0),"")</f>
        <v>Dinard/Plertuit/St Malo DNR</v>
      </c>
      <c r="F327">
        <f>IF(ISNUMBER(SEARCH(Request!$N$19,G327)),MAX(F$1:$F326)+1,0)</f>
        <v>326</v>
      </c>
      <c r="G327" s="11" t="s">
        <v>4368</v>
      </c>
      <c r="H327" t="str">
        <f>IFERROR(VLOOKUP(ROWS($H$2:H327),F327:G1545,2,0),"")</f>
        <v>Dinard/Plertuit/St Malo DNR</v>
      </c>
    </row>
    <row r="328" spans="1:8" x14ac:dyDescent="0.25">
      <c r="A328">
        <f>IF(ISNUMBER(SEARCH(Request!$I$19,B328)),MAX($A$1:A327)+1,0)</f>
        <v>327</v>
      </c>
      <c r="B328" s="11" t="s">
        <v>4369</v>
      </c>
      <c r="D328" t="str">
        <f>IFERROR(VLOOKUP(ROWS($D$2:D328),A328:B1546,2,0),"")</f>
        <v>Djerba-Zarzis DJE</v>
      </c>
      <c r="F328">
        <f>IF(ISNUMBER(SEARCH(Request!$N$19,G328)),MAX(F$1:$F327)+1,0)</f>
        <v>327</v>
      </c>
      <c r="G328" s="11" t="s">
        <v>4369</v>
      </c>
      <c r="H328" t="str">
        <f>IFERROR(VLOOKUP(ROWS($H$2:H328),F328:G1546,2,0),"")</f>
        <v>Djerba-Zarzis DJE</v>
      </c>
    </row>
    <row r="329" spans="1:8" x14ac:dyDescent="0.25">
      <c r="A329">
        <f>IF(ISNUMBER(SEARCH(Request!$I$19,B329)),MAX($A$1:A328)+1,0)</f>
        <v>328</v>
      </c>
      <c r="B329" s="11" t="s">
        <v>4370</v>
      </c>
      <c r="D329" t="str">
        <f>IFERROR(VLOOKUP(ROWS($D$2:D329),A329:B1547,2,0),"")</f>
        <v>Djibouti – Ambouli JIB</v>
      </c>
      <c r="F329">
        <f>IF(ISNUMBER(SEARCH(Request!$N$19,G329)),MAX(F$1:$F328)+1,0)</f>
        <v>328</v>
      </c>
      <c r="G329" s="11" t="s">
        <v>4370</v>
      </c>
      <c r="H329" t="str">
        <f>IFERROR(VLOOKUP(ROWS($H$2:H329),F329:G1547,2,0),"")</f>
        <v>Djibouti – Ambouli JIB</v>
      </c>
    </row>
    <row r="330" spans="1:8" x14ac:dyDescent="0.25">
      <c r="A330">
        <f>IF(ISNUMBER(SEARCH(Request!$I$19,B330)),MAX($A$1:A329)+1,0)</f>
        <v>329</v>
      </c>
      <c r="B330" s="11" t="s">
        <v>4371</v>
      </c>
      <c r="D330" t="str">
        <f>IFERROR(VLOOKUP(ROWS($D$2:D330),A330:B1548,2,0),"")</f>
        <v>Dnepropetrovsk DNK</v>
      </c>
      <c r="F330">
        <f>IF(ISNUMBER(SEARCH(Request!$N$19,G330)),MAX(F$1:$F329)+1,0)</f>
        <v>329</v>
      </c>
      <c r="G330" s="11" t="s">
        <v>4371</v>
      </c>
      <c r="H330" t="str">
        <f>IFERROR(VLOOKUP(ROWS($H$2:H330),F330:G1548,2,0),"")</f>
        <v>Dnepropetrovsk DNK</v>
      </c>
    </row>
    <row r="331" spans="1:8" x14ac:dyDescent="0.25">
      <c r="A331">
        <f>IF(ISNUMBER(SEARCH(Request!$I$19,B331)),MAX($A$1:A330)+1,0)</f>
        <v>330</v>
      </c>
      <c r="B331" s="11" t="s">
        <v>4372</v>
      </c>
      <c r="D331" t="str">
        <f>IFERROR(VLOOKUP(ROWS($D$2:D331),A331:B1549,2,0),"")</f>
        <v>Doha DOH</v>
      </c>
      <c r="F331">
        <f>IF(ISNUMBER(SEARCH(Request!$N$19,G331)),MAX(F$1:$F330)+1,0)</f>
        <v>330</v>
      </c>
      <c r="G331" s="11" t="s">
        <v>4372</v>
      </c>
      <c r="H331" t="str">
        <f>IFERROR(VLOOKUP(ROWS($H$2:H331),F331:G1549,2,0),"")</f>
        <v>Doha DOH</v>
      </c>
    </row>
    <row r="332" spans="1:8" x14ac:dyDescent="0.25">
      <c r="A332">
        <f>IF(ISNUMBER(SEARCH(Request!$I$19,B332)),MAX($A$1:A331)+1,0)</f>
        <v>331</v>
      </c>
      <c r="B332" s="11" t="s">
        <v>4373</v>
      </c>
      <c r="D332" t="str">
        <f>IFERROR(VLOOKUP(ROWS($D$2:D332),A332:B1550,2,0),"")</f>
        <v>Dole/Tavaux DLE</v>
      </c>
      <c r="F332">
        <f>IF(ISNUMBER(SEARCH(Request!$N$19,G332)),MAX(F$1:$F331)+1,0)</f>
        <v>331</v>
      </c>
      <c r="G332" s="11" t="s">
        <v>4373</v>
      </c>
      <c r="H332" t="str">
        <f>IFERROR(VLOOKUP(ROWS($H$2:H332),F332:G1550,2,0),"")</f>
        <v>Dole/Tavaux DLE</v>
      </c>
    </row>
    <row r="333" spans="1:8" x14ac:dyDescent="0.25">
      <c r="A333">
        <f>IF(ISNUMBER(SEARCH(Request!$I$19,B333)),MAX($A$1:A332)+1,0)</f>
        <v>332</v>
      </c>
      <c r="B333" s="11" t="s">
        <v>4374</v>
      </c>
      <c r="D333" t="str">
        <f>IFERROR(VLOOKUP(ROWS($D$2:D333),A333:B1551,2,0),"")</f>
        <v>Donegal Int´l CFN</v>
      </c>
      <c r="F333">
        <f>IF(ISNUMBER(SEARCH(Request!$N$19,G333)),MAX(F$1:$F332)+1,0)</f>
        <v>332</v>
      </c>
      <c r="G333" s="11" t="s">
        <v>4374</v>
      </c>
      <c r="H333" t="str">
        <f>IFERROR(VLOOKUP(ROWS($H$2:H333),F333:G1551,2,0),"")</f>
        <v>Donegal Int´l CFN</v>
      </c>
    </row>
    <row r="334" spans="1:8" x14ac:dyDescent="0.25">
      <c r="A334">
        <f>IF(ISNUMBER(SEARCH(Request!$I$19,B334)),MAX($A$1:A333)+1,0)</f>
        <v>333</v>
      </c>
      <c r="B334" s="11" t="s">
        <v>4375</v>
      </c>
      <c r="D334" t="str">
        <f>IFERROR(VLOOKUP(ROWS($D$2:D334),A334:B1552,2,0),"")</f>
        <v>Dortmund – Wickede DTM</v>
      </c>
      <c r="F334">
        <f>IF(ISNUMBER(SEARCH(Request!$N$19,G334)),MAX(F$1:$F333)+1,0)</f>
        <v>333</v>
      </c>
      <c r="G334" s="11" t="s">
        <v>4375</v>
      </c>
      <c r="H334" t="str">
        <f>IFERROR(VLOOKUP(ROWS($H$2:H334),F334:G1552,2,0),"")</f>
        <v>Dortmund – Wickede DTM</v>
      </c>
    </row>
    <row r="335" spans="1:8" x14ac:dyDescent="0.25">
      <c r="A335">
        <f>IF(ISNUMBER(SEARCH(Request!$I$19,B335)),MAX($A$1:A334)+1,0)</f>
        <v>334</v>
      </c>
      <c r="B335" s="11" t="s">
        <v>4376</v>
      </c>
      <c r="D335" t="str">
        <f>IFERROR(VLOOKUP(ROWS($D$2:D335),A335:B1553,2,0),"")</f>
        <v>Dothan Regional DHN</v>
      </c>
      <c r="F335">
        <f>IF(ISNUMBER(SEARCH(Request!$N$19,G335)),MAX(F$1:$F334)+1,0)</f>
        <v>334</v>
      </c>
      <c r="G335" s="11" t="s">
        <v>4376</v>
      </c>
      <c r="H335" t="str">
        <f>IFERROR(VLOOKUP(ROWS($H$2:H335),F335:G1553,2,0),"")</f>
        <v>Dothan Regional DHN</v>
      </c>
    </row>
    <row r="336" spans="1:8" x14ac:dyDescent="0.25">
      <c r="A336">
        <f>IF(ISNUMBER(SEARCH(Request!$I$19,B336)),MAX($A$1:A335)+1,0)</f>
        <v>335</v>
      </c>
      <c r="B336" s="11" t="s">
        <v>4377</v>
      </c>
      <c r="D336" t="str">
        <f>IFERROR(VLOOKUP(ROWS($D$2:D336),A336:B1554,2,0),"")</f>
        <v>Douala DLA</v>
      </c>
      <c r="F336">
        <f>IF(ISNUMBER(SEARCH(Request!$N$19,G336)),MAX(F$1:$F335)+1,0)</f>
        <v>335</v>
      </c>
      <c r="G336" s="11" t="s">
        <v>4377</v>
      </c>
      <c r="H336" t="str">
        <f>IFERROR(VLOOKUP(ROWS($H$2:H336),F336:G1554,2,0),"")</f>
        <v>Douala DLA</v>
      </c>
    </row>
    <row r="337" spans="1:8" x14ac:dyDescent="0.25">
      <c r="A337">
        <f>IF(ISNUMBER(SEARCH(Request!$I$19,B337)),MAX($A$1:A336)+1,0)</f>
        <v>336</v>
      </c>
      <c r="B337" s="11" t="s">
        <v>4378</v>
      </c>
      <c r="D337" t="str">
        <f>IFERROR(VLOOKUP(ROWS($D$2:D337),A337:B1555,2,0),"")</f>
        <v>Dresden DRS</v>
      </c>
      <c r="F337">
        <f>IF(ISNUMBER(SEARCH(Request!$N$19,G337)),MAX(F$1:$F336)+1,0)</f>
        <v>336</v>
      </c>
      <c r="G337" s="11" t="s">
        <v>4378</v>
      </c>
      <c r="H337" t="str">
        <f>IFERROR(VLOOKUP(ROWS($H$2:H337),F337:G1555,2,0),"")</f>
        <v>Dresden DRS</v>
      </c>
    </row>
    <row r="338" spans="1:8" x14ac:dyDescent="0.25">
      <c r="A338">
        <f>IF(ISNUMBER(SEARCH(Request!$I$19,B338)),MAX($A$1:A337)+1,0)</f>
        <v>337</v>
      </c>
      <c r="B338" s="11" t="s">
        <v>4379</v>
      </c>
      <c r="D338" t="str">
        <f>IFERROR(VLOOKUP(ROWS($D$2:D338),A338:B1556,2,0),"")</f>
        <v>Dubai DXB</v>
      </c>
      <c r="F338">
        <f>IF(ISNUMBER(SEARCH(Request!$N$19,G338)),MAX(F$1:$F337)+1,0)</f>
        <v>337</v>
      </c>
      <c r="G338" s="11" t="s">
        <v>4379</v>
      </c>
      <c r="H338" t="str">
        <f>IFERROR(VLOOKUP(ROWS($H$2:H338),F338:G1556,2,0),"")</f>
        <v>Dubai DXB</v>
      </c>
    </row>
    <row r="339" spans="1:8" x14ac:dyDescent="0.25">
      <c r="A339">
        <f>IF(ISNUMBER(SEARCH(Request!$I$19,B339)),MAX($A$1:A338)+1,0)</f>
        <v>338</v>
      </c>
      <c r="B339" s="11" t="s">
        <v>4380</v>
      </c>
      <c r="D339" t="str">
        <f>IFERROR(VLOOKUP(ROWS($D$2:D339),A339:B1557,2,0),"")</f>
        <v>Dublin DUB</v>
      </c>
      <c r="F339">
        <f>IF(ISNUMBER(SEARCH(Request!$N$19,G339)),MAX(F$1:$F338)+1,0)</f>
        <v>338</v>
      </c>
      <c r="G339" s="11" t="s">
        <v>4380</v>
      </c>
      <c r="H339" t="str">
        <f>IFERROR(VLOOKUP(ROWS($H$2:H339),F339:G1557,2,0),"")</f>
        <v>Dublin DUB</v>
      </c>
    </row>
    <row r="340" spans="1:8" x14ac:dyDescent="0.25">
      <c r="A340">
        <f>IF(ISNUMBER(SEARCH(Request!$I$19,B340)),MAX($A$1:A339)+1,0)</f>
        <v>339</v>
      </c>
      <c r="B340" s="11" t="s">
        <v>4381</v>
      </c>
      <c r="D340" t="str">
        <f>IFERROR(VLOOKUP(ROWS($D$2:D340),A340:B1558,2,0),"")</f>
        <v>Dubois-Jefferson County DUJ</v>
      </c>
      <c r="F340">
        <f>IF(ISNUMBER(SEARCH(Request!$N$19,G340)),MAX(F$1:$F339)+1,0)</f>
        <v>339</v>
      </c>
      <c r="G340" s="11" t="s">
        <v>4381</v>
      </c>
      <c r="H340" t="str">
        <f>IFERROR(VLOOKUP(ROWS($H$2:H340),F340:G1558,2,0),"")</f>
        <v>Dubois-Jefferson County DUJ</v>
      </c>
    </row>
    <row r="341" spans="1:8" x14ac:dyDescent="0.25">
      <c r="A341">
        <f>IF(ISNUMBER(SEARCH(Request!$I$19,B341)),MAX($A$1:A340)+1,0)</f>
        <v>340</v>
      </c>
      <c r="B341" s="11" t="s">
        <v>4382</v>
      </c>
      <c r="D341" t="str">
        <f>IFERROR(VLOOKUP(ROWS($D$2:D341),A341:B1559,2,0),"")</f>
        <v>Dubrovnik DBV</v>
      </c>
      <c r="F341">
        <f>IF(ISNUMBER(SEARCH(Request!$N$19,G341)),MAX(F$1:$F340)+1,0)</f>
        <v>340</v>
      </c>
      <c r="G341" s="11" t="s">
        <v>4382</v>
      </c>
      <c r="H341" t="str">
        <f>IFERROR(VLOOKUP(ROWS($H$2:H341),F341:G1559,2,0),"")</f>
        <v>Dubrovnik DBV</v>
      </c>
    </row>
    <row r="342" spans="1:8" x14ac:dyDescent="0.25">
      <c r="A342">
        <f>IF(ISNUMBER(SEARCH(Request!$I$19,B342)),MAX($A$1:A341)+1,0)</f>
        <v>341</v>
      </c>
      <c r="B342" s="11" t="s">
        <v>4383</v>
      </c>
      <c r="D342" t="str">
        <f>IFERROR(VLOOKUP(ROWS($D$2:D342),A342:B1560,2,0),"")</f>
        <v>Dubuque Regional DBQ</v>
      </c>
      <c r="F342">
        <f>IF(ISNUMBER(SEARCH(Request!$N$19,G342)),MAX(F$1:$F341)+1,0)</f>
        <v>341</v>
      </c>
      <c r="G342" s="11" t="s">
        <v>4383</v>
      </c>
      <c r="H342" t="str">
        <f>IFERROR(VLOOKUP(ROWS($H$2:H342),F342:G1560,2,0),"")</f>
        <v>Dubuque Regional DBQ</v>
      </c>
    </row>
    <row r="343" spans="1:8" x14ac:dyDescent="0.25">
      <c r="A343">
        <f>IF(ISNUMBER(SEARCH(Request!$I$19,B343)),MAX($A$1:A342)+1,0)</f>
        <v>342</v>
      </c>
      <c r="B343" s="11" t="s">
        <v>4384</v>
      </c>
      <c r="D343" t="str">
        <f>IFERROR(VLOOKUP(ROWS($D$2:D343),A343:B1561,2,0),"")</f>
        <v>Dundee DND</v>
      </c>
      <c r="F343">
        <f>IF(ISNUMBER(SEARCH(Request!$N$19,G343)),MAX(F$1:$F342)+1,0)</f>
        <v>342</v>
      </c>
      <c r="G343" s="11" t="s">
        <v>4384</v>
      </c>
      <c r="H343" t="str">
        <f>IFERROR(VLOOKUP(ROWS($H$2:H343),F343:G1561,2,0),"")</f>
        <v>Dundee DND</v>
      </c>
    </row>
    <row r="344" spans="1:8" x14ac:dyDescent="0.25">
      <c r="A344">
        <f>IF(ISNUMBER(SEARCH(Request!$I$19,B344)),MAX($A$1:A343)+1,0)</f>
        <v>343</v>
      </c>
      <c r="B344" s="11" t="s">
        <v>4385</v>
      </c>
      <c r="D344" t="str">
        <f>IFERROR(VLOOKUP(ROWS($D$2:D344),A344:B1562,2,0),"")</f>
        <v>Dunedin Ltd DUD</v>
      </c>
      <c r="F344">
        <f>IF(ISNUMBER(SEARCH(Request!$N$19,G344)),MAX(F$1:$F343)+1,0)</f>
        <v>343</v>
      </c>
      <c r="G344" s="11" t="s">
        <v>4385</v>
      </c>
      <c r="H344" t="str">
        <f>IFERROR(VLOOKUP(ROWS($H$2:H344),F344:G1562,2,0),"")</f>
        <v>Dunedin Ltd DUD</v>
      </c>
    </row>
    <row r="345" spans="1:8" x14ac:dyDescent="0.25">
      <c r="A345">
        <f>IF(ISNUMBER(SEARCH(Request!$I$19,B345)),MAX($A$1:A344)+1,0)</f>
        <v>344</v>
      </c>
      <c r="B345" s="11" t="s">
        <v>4386</v>
      </c>
      <c r="D345" t="str">
        <f>IFERROR(VLOOKUP(ROWS($D$2:D345),A345:B1563,2,0),"")</f>
        <v>Durango – La Plata County DRO</v>
      </c>
      <c r="F345">
        <f>IF(ISNUMBER(SEARCH(Request!$N$19,G345)),MAX(F$1:$F344)+1,0)</f>
        <v>344</v>
      </c>
      <c r="G345" s="11" t="s">
        <v>4386</v>
      </c>
      <c r="H345" t="str">
        <f>IFERROR(VLOOKUP(ROWS($H$2:H345),F345:G1563,2,0),"")</f>
        <v>Durango – La Plata County DRO</v>
      </c>
    </row>
    <row r="346" spans="1:8" x14ac:dyDescent="0.25">
      <c r="A346">
        <f>IF(ISNUMBER(SEARCH(Request!$I$19,B346)),MAX($A$1:A345)+1,0)</f>
        <v>345</v>
      </c>
      <c r="B346" s="11" t="s">
        <v>4387</v>
      </c>
      <c r="D346" t="str">
        <f>IFERROR(VLOOKUP(ROWS($D$2:D346),A346:B1564,2,0),"")</f>
        <v>Durban DUR</v>
      </c>
      <c r="F346">
        <f>IF(ISNUMBER(SEARCH(Request!$N$19,G346)),MAX(F$1:$F345)+1,0)</f>
        <v>345</v>
      </c>
      <c r="G346" s="11" t="s">
        <v>4387</v>
      </c>
      <c r="H346" t="str">
        <f>IFERROR(VLOOKUP(ROWS($H$2:H346),F346:G1564,2,0),"")</f>
        <v>Durban DUR</v>
      </c>
    </row>
    <row r="347" spans="1:8" x14ac:dyDescent="0.25">
      <c r="A347">
        <f>IF(ISNUMBER(SEARCH(Request!$I$19,B347)),MAX($A$1:A346)+1,0)</f>
        <v>346</v>
      </c>
      <c r="B347" s="11" t="s">
        <v>4388</v>
      </c>
      <c r="D347" t="str">
        <f>IFERROR(VLOOKUP(ROWS($D$2:D347),A347:B1565,2,0),"")</f>
        <v>Dushanbe DYU</v>
      </c>
      <c r="F347">
        <f>IF(ISNUMBER(SEARCH(Request!$N$19,G347)),MAX(F$1:$F346)+1,0)</f>
        <v>346</v>
      </c>
      <c r="G347" s="11" t="s">
        <v>4388</v>
      </c>
      <c r="H347" t="str">
        <f>IFERROR(VLOOKUP(ROWS($H$2:H347),F347:G1565,2,0),"")</f>
        <v>Dushanbe DYU</v>
      </c>
    </row>
    <row r="348" spans="1:8" x14ac:dyDescent="0.25">
      <c r="A348">
        <f>IF(ISNUMBER(SEARCH(Request!$I$19,B348)),MAX($A$1:A347)+1,0)</f>
        <v>347</v>
      </c>
      <c r="B348" s="11" t="s">
        <v>4389</v>
      </c>
      <c r="D348" t="str">
        <f>IFERROR(VLOOKUP(ROWS($D$2:D348),A348:B1566,2,0),"")</f>
        <v>Düsseldorf DUS</v>
      </c>
      <c r="F348">
        <f>IF(ISNUMBER(SEARCH(Request!$N$19,G348)),MAX(F$1:$F347)+1,0)</f>
        <v>347</v>
      </c>
      <c r="G348" s="11" t="s">
        <v>4389</v>
      </c>
      <c r="H348" t="str">
        <f>IFERROR(VLOOKUP(ROWS($H$2:H348),F348:G1566,2,0),"")</f>
        <v>Düsseldorf DUS</v>
      </c>
    </row>
    <row r="349" spans="1:8" x14ac:dyDescent="0.25">
      <c r="A349">
        <f>IF(ISNUMBER(SEARCH(Request!$I$19,B349)),MAX($A$1:A348)+1,0)</f>
        <v>348</v>
      </c>
      <c r="B349" s="11" t="s">
        <v>4390</v>
      </c>
      <c r="D349" t="str">
        <f>IFERROR(VLOOKUP(ROWS($D$2:D349),A349:B1567,2,0),"")</f>
        <v>Düsseldorf Express- Mönchengladbach MGL</v>
      </c>
      <c r="F349">
        <f>IF(ISNUMBER(SEARCH(Request!$N$19,G349)),MAX(F$1:$F348)+1,0)</f>
        <v>348</v>
      </c>
      <c r="G349" s="11" t="s">
        <v>4390</v>
      </c>
      <c r="H349" t="str">
        <f>IFERROR(VLOOKUP(ROWS($H$2:H349),F349:G1567,2,0),"")</f>
        <v>Düsseldorf Express- Mönchengladbach MGL</v>
      </c>
    </row>
    <row r="350" spans="1:8" x14ac:dyDescent="0.25">
      <c r="A350">
        <f>IF(ISNUMBER(SEARCH(Request!$I$19,B350)),MAX($A$1:A349)+1,0)</f>
        <v>349</v>
      </c>
      <c r="B350" s="11" t="s">
        <v>4391</v>
      </c>
      <c r="D350" t="str">
        <f>IFERROR(VLOOKUP(ROWS($D$2:D350),A350:B1568,2,0),"")</f>
        <v>East London ELS</v>
      </c>
      <c r="F350">
        <f>IF(ISNUMBER(SEARCH(Request!$N$19,G350)),MAX(F$1:$F349)+1,0)</f>
        <v>349</v>
      </c>
      <c r="G350" s="11" t="s">
        <v>4391</v>
      </c>
      <c r="H350" t="str">
        <f>IFERROR(VLOOKUP(ROWS($H$2:H350),F350:G1568,2,0),"")</f>
        <v>East London ELS</v>
      </c>
    </row>
    <row r="351" spans="1:8" x14ac:dyDescent="0.25">
      <c r="A351">
        <f>IF(ISNUMBER(SEARCH(Request!$I$19,B351)),MAX($A$1:A350)+1,0)</f>
        <v>350</v>
      </c>
      <c r="B351" s="11" t="s">
        <v>4392</v>
      </c>
      <c r="D351" t="str">
        <f>IFERROR(VLOOKUP(ROWS($D$2:D351),A351:B1569,2,0),"")</f>
        <v>East Midlands EMA</v>
      </c>
      <c r="F351">
        <f>IF(ISNUMBER(SEARCH(Request!$N$19,G351)),MAX(F$1:$F350)+1,0)</f>
        <v>350</v>
      </c>
      <c r="G351" s="11" t="s">
        <v>4392</v>
      </c>
      <c r="H351" t="str">
        <f>IFERROR(VLOOKUP(ROWS($H$2:H351),F351:G1569,2,0),"")</f>
        <v>East Midlands EMA</v>
      </c>
    </row>
    <row r="352" spans="1:8" x14ac:dyDescent="0.25">
      <c r="A352">
        <f>IF(ISNUMBER(SEARCH(Request!$I$19,B352)),MAX($A$1:A351)+1,0)</f>
        <v>351</v>
      </c>
      <c r="B352" s="11" t="s">
        <v>4393</v>
      </c>
      <c r="D352" t="str">
        <f>IFERROR(VLOOKUP(ROWS($D$2:D352),A352:B1570,2,0),"")</f>
        <v>Eastern Iowa CID</v>
      </c>
      <c r="F352">
        <f>IF(ISNUMBER(SEARCH(Request!$N$19,G352)),MAX(F$1:$F351)+1,0)</f>
        <v>351</v>
      </c>
      <c r="G352" s="11" t="s">
        <v>4393</v>
      </c>
      <c r="H352" t="str">
        <f>IFERROR(VLOOKUP(ROWS($H$2:H352),F352:G1570,2,0),"")</f>
        <v>Eastern Iowa CID</v>
      </c>
    </row>
    <row r="353" spans="1:8" x14ac:dyDescent="0.25">
      <c r="A353">
        <f>IF(ISNUMBER(SEARCH(Request!$I$19,B353)),MAX($A$1:A352)+1,0)</f>
        <v>352</v>
      </c>
      <c r="B353" s="11" t="s">
        <v>4394</v>
      </c>
      <c r="D353" t="str">
        <f>IFERROR(VLOOKUP(ROWS($D$2:D353),A353:B1571,2,0),"")</f>
        <v>Edinburgh EDI</v>
      </c>
      <c r="F353">
        <f>IF(ISNUMBER(SEARCH(Request!$N$19,G353)),MAX(F$1:$F352)+1,0)</f>
        <v>352</v>
      </c>
      <c r="G353" s="11" t="s">
        <v>4394</v>
      </c>
      <c r="H353" t="str">
        <f>IFERROR(VLOOKUP(ROWS($H$2:H353),F353:G1571,2,0),"")</f>
        <v>Edinburgh EDI</v>
      </c>
    </row>
    <row r="354" spans="1:8" x14ac:dyDescent="0.25">
      <c r="A354">
        <f>IF(ISNUMBER(SEARCH(Request!$I$19,B354)),MAX($A$1:A353)+1,0)</f>
        <v>353</v>
      </c>
      <c r="B354" s="11" t="s">
        <v>4395</v>
      </c>
      <c r="D354" t="str">
        <f>IFERROR(VLOOKUP(ROWS($D$2:D354),A354:B1572,2,0),"")</f>
        <v>Edmonton YEG</v>
      </c>
      <c r="F354">
        <f>IF(ISNUMBER(SEARCH(Request!$N$19,G354)),MAX(F$1:$F353)+1,0)</f>
        <v>353</v>
      </c>
      <c r="G354" s="11" t="s">
        <v>4395</v>
      </c>
      <c r="H354" t="str">
        <f>IFERROR(VLOOKUP(ROWS($H$2:H354),F354:G1572,2,0),"")</f>
        <v>Edmonton YEG</v>
      </c>
    </row>
    <row r="355" spans="1:8" x14ac:dyDescent="0.25">
      <c r="A355">
        <f>IF(ISNUMBER(SEARCH(Request!$I$19,B355)),MAX($A$1:A354)+1,0)</f>
        <v>354</v>
      </c>
      <c r="B355" s="11" t="s">
        <v>4396</v>
      </c>
      <c r="D355" t="str">
        <f>IFERROR(VLOOKUP(ROWS($D$2:D355),A355:B1573,2,0),"")</f>
        <v>Egilsstadir EGS</v>
      </c>
      <c r="F355">
        <f>IF(ISNUMBER(SEARCH(Request!$N$19,G355)),MAX(F$1:$F354)+1,0)</f>
        <v>354</v>
      </c>
      <c r="G355" s="11" t="s">
        <v>4396</v>
      </c>
      <c r="H355" t="str">
        <f>IFERROR(VLOOKUP(ROWS($H$2:H355),F355:G1573,2,0),"")</f>
        <v>Egilsstadir EGS</v>
      </c>
    </row>
    <row r="356" spans="1:8" x14ac:dyDescent="0.25">
      <c r="A356">
        <f>IF(ISNUMBER(SEARCH(Request!$I$19,B356)),MAX($A$1:A355)+1,0)</f>
        <v>355</v>
      </c>
      <c r="B356" s="11" t="s">
        <v>4397</v>
      </c>
      <c r="D356" t="str">
        <f>IFERROR(VLOOKUP(ROWS($D$2:D356),A356:B1574,2,0),"")</f>
        <v>Eilat-J Hozman ETH</v>
      </c>
      <c r="F356">
        <f>IF(ISNUMBER(SEARCH(Request!$N$19,G356)),MAX(F$1:$F355)+1,0)</f>
        <v>355</v>
      </c>
      <c r="G356" s="11" t="s">
        <v>4397</v>
      </c>
      <c r="H356" t="str">
        <f>IFERROR(VLOOKUP(ROWS($H$2:H356),F356:G1574,2,0),"")</f>
        <v>Eilat-J Hozman ETH</v>
      </c>
    </row>
    <row r="357" spans="1:8" x14ac:dyDescent="0.25">
      <c r="A357">
        <f>IF(ISNUMBER(SEARCH(Request!$I$19,B357)),MAX($A$1:A356)+1,0)</f>
        <v>356</v>
      </c>
      <c r="B357" s="11" t="s">
        <v>4398</v>
      </c>
      <c r="D357" t="str">
        <f>IFERROR(VLOOKUP(ROWS($D$2:D357),A357:B1575,2,0),"")</f>
        <v>Eindhoven EIN</v>
      </c>
      <c r="F357">
        <f>IF(ISNUMBER(SEARCH(Request!$N$19,G357)),MAX(F$1:$F356)+1,0)</f>
        <v>356</v>
      </c>
      <c r="G357" s="11" t="s">
        <v>4398</v>
      </c>
      <c r="H357" t="str">
        <f>IFERROR(VLOOKUP(ROWS($H$2:H357),F357:G1575,2,0),"")</f>
        <v>Eindhoven EIN</v>
      </c>
    </row>
    <row r="358" spans="1:8" x14ac:dyDescent="0.25">
      <c r="A358">
        <f>IF(ISNUMBER(SEARCH(Request!$I$19,B358)),MAX($A$1:A357)+1,0)</f>
        <v>357</v>
      </c>
      <c r="B358" s="11" t="s">
        <v>4399</v>
      </c>
      <c r="D358" t="str">
        <f>IFERROR(VLOOKUP(ROWS($D$2:D358),A358:B1576,2,0),"")</f>
        <v>Ekaterinburg – Koltcovo SVX</v>
      </c>
      <c r="F358">
        <f>IF(ISNUMBER(SEARCH(Request!$N$19,G358)),MAX(F$1:$F357)+1,0)</f>
        <v>357</v>
      </c>
      <c r="G358" s="11" t="s">
        <v>4399</v>
      </c>
      <c r="H358" t="str">
        <f>IFERROR(VLOOKUP(ROWS($H$2:H358),F358:G1576,2,0),"")</f>
        <v>Ekaterinburg – Koltcovo SVX</v>
      </c>
    </row>
    <row r="359" spans="1:8" x14ac:dyDescent="0.25">
      <c r="A359">
        <f>IF(ISNUMBER(SEARCH(Request!$I$19,B359)),MAX($A$1:A358)+1,0)</f>
        <v>358</v>
      </c>
      <c r="B359" s="11" t="s">
        <v>4400</v>
      </c>
      <c r="D359" t="str">
        <f>IFERROR(VLOOKUP(ROWS($D$2:D359),A359:B1577,2,0),"")</f>
        <v>El Paso ELP</v>
      </c>
      <c r="F359">
        <f>IF(ISNUMBER(SEARCH(Request!$N$19,G359)),MAX(F$1:$F358)+1,0)</f>
        <v>358</v>
      </c>
      <c r="G359" s="11" t="s">
        <v>4400</v>
      </c>
      <c r="H359" t="str">
        <f>IFERROR(VLOOKUP(ROWS($H$2:H359),F359:G1577,2,0),"")</f>
        <v>El Paso ELP</v>
      </c>
    </row>
    <row r="360" spans="1:8" x14ac:dyDescent="0.25">
      <c r="A360">
        <f>IF(ISNUMBER(SEARCH(Request!$I$19,B360)),MAX($A$1:A359)+1,0)</f>
        <v>359</v>
      </c>
      <c r="B360" s="11" t="s">
        <v>4401</v>
      </c>
      <c r="D360" t="str">
        <f>IFERROR(VLOOKUP(ROWS($D$2:D360),A360:B1578,2,0),"")</f>
        <v>El Salvador Int´l SAL</v>
      </c>
      <c r="F360">
        <f>IF(ISNUMBER(SEARCH(Request!$N$19,G360)),MAX(F$1:$F359)+1,0)</f>
        <v>359</v>
      </c>
      <c r="G360" s="11" t="s">
        <v>4401</v>
      </c>
      <c r="H360" t="str">
        <f>IFERROR(VLOOKUP(ROWS($H$2:H360),F360:G1578,2,0),"")</f>
        <v>El Salvador Int´l SAL</v>
      </c>
    </row>
    <row r="361" spans="1:8" x14ac:dyDescent="0.25">
      <c r="A361">
        <f>IF(ISNUMBER(SEARCH(Request!$I$19,B361)),MAX($A$1:A360)+1,0)</f>
        <v>360</v>
      </c>
      <c r="B361" s="11" t="s">
        <v>4402</v>
      </c>
      <c r="D361" t="str">
        <f>IFERROR(VLOOKUP(ROWS($D$2:D361),A361:B1579,2,0),"")</f>
        <v>Elmira/Coring Regional ELM</v>
      </c>
      <c r="F361">
        <f>IF(ISNUMBER(SEARCH(Request!$N$19,G361)),MAX(F$1:$F360)+1,0)</f>
        <v>360</v>
      </c>
      <c r="G361" s="11" t="s">
        <v>4402</v>
      </c>
      <c r="H361" t="str">
        <f>IFERROR(VLOOKUP(ROWS($H$2:H361),F361:G1579,2,0),"")</f>
        <v>Elmira/Coring Regional ELM</v>
      </c>
    </row>
    <row r="362" spans="1:8" x14ac:dyDescent="0.25">
      <c r="A362">
        <f>IF(ISNUMBER(SEARCH(Request!$I$19,B362)),MAX($A$1:A361)+1,0)</f>
        <v>361</v>
      </c>
      <c r="B362" s="11" t="s">
        <v>4403</v>
      </c>
      <c r="D362" t="str">
        <f>IFERROR(VLOOKUP(ROWS($D$2:D362),A362:B1580,2,0),"")</f>
        <v>Enontekiö ENF</v>
      </c>
      <c r="F362">
        <f>IF(ISNUMBER(SEARCH(Request!$N$19,G362)),MAX(F$1:$F361)+1,0)</f>
        <v>361</v>
      </c>
      <c r="G362" s="11" t="s">
        <v>4403</v>
      </c>
      <c r="H362" t="str">
        <f>IFERROR(VLOOKUP(ROWS($H$2:H362),F362:G1580,2,0),"")</f>
        <v>Enontekiö ENF</v>
      </c>
    </row>
    <row r="363" spans="1:8" x14ac:dyDescent="0.25">
      <c r="A363">
        <f>IF(ISNUMBER(SEARCH(Request!$I$19,B363)),MAX($A$1:A362)+1,0)</f>
        <v>362</v>
      </c>
      <c r="B363" s="11" t="s">
        <v>4404</v>
      </c>
      <c r="D363" t="str">
        <f>IFERROR(VLOOKUP(ROWS($D$2:D363),A363:B1581,2,0),"")</f>
        <v>Enschede Twente ENS</v>
      </c>
      <c r="F363">
        <f>IF(ISNUMBER(SEARCH(Request!$N$19,G363)),MAX(F$1:$F362)+1,0)</f>
        <v>362</v>
      </c>
      <c r="G363" s="11" t="s">
        <v>4404</v>
      </c>
      <c r="H363" t="str">
        <f>IFERROR(VLOOKUP(ROWS($H$2:H363),F363:G1581,2,0),"")</f>
        <v>Enschede Twente ENS</v>
      </c>
    </row>
    <row r="364" spans="1:8" x14ac:dyDescent="0.25">
      <c r="A364">
        <f>IF(ISNUMBER(SEARCH(Request!$I$19,B364)),MAX($A$1:A363)+1,0)</f>
        <v>363</v>
      </c>
      <c r="B364" s="11" t="s">
        <v>4405</v>
      </c>
      <c r="D364" t="str">
        <f>IFERROR(VLOOKUP(ROWS($D$2:D364),A364:B1582,2,0),"")</f>
        <v>Entebbe EBB</v>
      </c>
      <c r="F364">
        <f>IF(ISNUMBER(SEARCH(Request!$N$19,G364)),MAX(F$1:$F363)+1,0)</f>
        <v>363</v>
      </c>
      <c r="G364" s="11" t="s">
        <v>4405</v>
      </c>
      <c r="H364" t="str">
        <f>IFERROR(VLOOKUP(ROWS($H$2:H364),F364:G1582,2,0),"")</f>
        <v>Entebbe EBB</v>
      </c>
    </row>
    <row r="365" spans="1:8" x14ac:dyDescent="0.25">
      <c r="A365">
        <f>IF(ISNUMBER(SEARCH(Request!$I$19,B365)),MAX($A$1:A364)+1,0)</f>
        <v>364</v>
      </c>
      <c r="B365" s="11" t="s">
        <v>4406</v>
      </c>
      <c r="D365" t="str">
        <f>IFERROR(VLOOKUP(ROWS($D$2:D365),A365:B1583,2,0),"")</f>
        <v>Epinal/Mirecourt EPL</v>
      </c>
      <c r="F365">
        <f>IF(ISNUMBER(SEARCH(Request!$N$19,G365)),MAX(F$1:$F364)+1,0)</f>
        <v>364</v>
      </c>
      <c r="G365" s="11" t="s">
        <v>4406</v>
      </c>
      <c r="H365" t="str">
        <f>IFERROR(VLOOKUP(ROWS($H$2:H365),F365:G1583,2,0),"")</f>
        <v>Epinal/Mirecourt EPL</v>
      </c>
    </row>
    <row r="366" spans="1:8" x14ac:dyDescent="0.25">
      <c r="A366">
        <f>IF(ISNUMBER(SEARCH(Request!$I$19,B366)),MAX($A$1:A365)+1,0)</f>
        <v>365</v>
      </c>
      <c r="B366" s="11" t="s">
        <v>4407</v>
      </c>
      <c r="D366" t="str">
        <f>IFERROR(VLOOKUP(ROWS($D$2:D366),A366:B1584,2,0),"")</f>
        <v>Erfurt ERF</v>
      </c>
      <c r="F366">
        <f>IF(ISNUMBER(SEARCH(Request!$N$19,G366)),MAX(F$1:$F365)+1,0)</f>
        <v>365</v>
      </c>
      <c r="G366" s="11" t="s">
        <v>4407</v>
      </c>
      <c r="H366" t="str">
        <f>IFERROR(VLOOKUP(ROWS($H$2:H366),F366:G1584,2,0),"")</f>
        <v>Erfurt ERF</v>
      </c>
    </row>
    <row r="367" spans="1:8" x14ac:dyDescent="0.25">
      <c r="A367">
        <f>IF(ISNUMBER(SEARCH(Request!$I$19,B367)),MAX($A$1:A366)+1,0)</f>
        <v>366</v>
      </c>
      <c r="B367" s="11" t="s">
        <v>4408</v>
      </c>
      <c r="D367" t="str">
        <f>IFERROR(VLOOKUP(ROWS($D$2:D367),A367:B1585,2,0),"")</f>
        <v>Erie ERI</v>
      </c>
      <c r="F367">
        <f>IF(ISNUMBER(SEARCH(Request!$N$19,G367)),MAX(F$1:$F366)+1,0)</f>
        <v>366</v>
      </c>
      <c r="G367" s="11" t="s">
        <v>4408</v>
      </c>
      <c r="H367" t="str">
        <f>IFERROR(VLOOKUP(ROWS($H$2:H367),F367:G1585,2,0),"")</f>
        <v>Erie ERI</v>
      </c>
    </row>
    <row r="368" spans="1:8" x14ac:dyDescent="0.25">
      <c r="A368">
        <f>IF(ISNUMBER(SEARCH(Request!$I$19,B368)),MAX($A$1:A367)+1,0)</f>
        <v>367</v>
      </c>
      <c r="B368" s="11" t="s">
        <v>4409</v>
      </c>
      <c r="D368" t="str">
        <f>IFERROR(VLOOKUP(ROWS($D$2:D368),A368:B1586,2,0),"")</f>
        <v>Esbjerg EBJ</v>
      </c>
      <c r="F368">
        <f>IF(ISNUMBER(SEARCH(Request!$N$19,G368)),MAX(F$1:$F367)+1,0)</f>
        <v>367</v>
      </c>
      <c r="G368" s="11" t="s">
        <v>4409</v>
      </c>
      <c r="H368" t="str">
        <f>IFERROR(VLOOKUP(ROWS($H$2:H368),F368:G1586,2,0),"")</f>
        <v>Esbjerg EBJ</v>
      </c>
    </row>
    <row r="369" spans="1:8" x14ac:dyDescent="0.25">
      <c r="A369">
        <f>IF(ISNUMBER(SEARCH(Request!$I$19,B369)),MAX($A$1:A368)+1,0)</f>
        <v>368</v>
      </c>
      <c r="B369" s="11" t="s">
        <v>4410</v>
      </c>
      <c r="D369" t="str">
        <f>IFERROR(VLOOKUP(ROWS($D$2:D369),A369:B1587,2,0),"")</f>
        <v>Essen/Mulheim ESS</v>
      </c>
      <c r="F369">
        <f>IF(ISNUMBER(SEARCH(Request!$N$19,G369)),MAX(F$1:$F368)+1,0)</f>
        <v>368</v>
      </c>
      <c r="G369" s="11" t="s">
        <v>4410</v>
      </c>
      <c r="H369" t="str">
        <f>IFERROR(VLOOKUP(ROWS($H$2:H369),F369:G1587,2,0),"")</f>
        <v>Essen/Mulheim ESS</v>
      </c>
    </row>
    <row r="370" spans="1:8" x14ac:dyDescent="0.25">
      <c r="A370">
        <f>IF(ISNUMBER(SEARCH(Request!$I$19,B370)),MAX($A$1:A369)+1,0)</f>
        <v>369</v>
      </c>
      <c r="B370" s="11" t="s">
        <v>4411</v>
      </c>
      <c r="D370" t="str">
        <f>IFERROR(VLOOKUP(ROWS($D$2:D370),A370:B1588,2,0),"")</f>
        <v>Essendon MEB</v>
      </c>
      <c r="F370">
        <f>IF(ISNUMBER(SEARCH(Request!$N$19,G370)),MAX(F$1:$F369)+1,0)</f>
        <v>369</v>
      </c>
      <c r="G370" s="11" t="s">
        <v>4411</v>
      </c>
      <c r="H370" t="str">
        <f>IFERROR(VLOOKUP(ROWS($H$2:H370),F370:G1588,2,0),"")</f>
        <v>Essendon MEB</v>
      </c>
    </row>
    <row r="371" spans="1:8" x14ac:dyDescent="0.25">
      <c r="A371">
        <f>IF(ISNUMBER(SEARCH(Request!$I$19,B371)),MAX($A$1:A370)+1,0)</f>
        <v>370</v>
      </c>
      <c r="B371" s="11" t="s">
        <v>4412</v>
      </c>
      <c r="D371" t="str">
        <f>IFERROR(VLOOKUP(ROWS($D$2:D371),A371:B1589,2,0),"")</f>
        <v>Evansville Regional EVV</v>
      </c>
      <c r="F371">
        <f>IF(ISNUMBER(SEARCH(Request!$N$19,G371)),MAX(F$1:$F370)+1,0)</f>
        <v>370</v>
      </c>
      <c r="G371" s="11" t="s">
        <v>4412</v>
      </c>
      <c r="H371" t="str">
        <f>IFERROR(VLOOKUP(ROWS($H$2:H371),F371:G1589,2,0),"")</f>
        <v>Evansville Regional EVV</v>
      </c>
    </row>
    <row r="372" spans="1:8" x14ac:dyDescent="0.25">
      <c r="A372">
        <f>IF(ISNUMBER(SEARCH(Request!$I$19,B372)),MAX($A$1:A371)+1,0)</f>
        <v>371</v>
      </c>
      <c r="B372" s="11" t="s">
        <v>4413</v>
      </c>
      <c r="D372" t="str">
        <f>IFERROR(VLOOKUP(ROWS($D$2:D372),A372:B1590,2,0),"")</f>
        <v>Exeter EXT</v>
      </c>
      <c r="F372">
        <f>IF(ISNUMBER(SEARCH(Request!$N$19,G372)),MAX(F$1:$F371)+1,0)</f>
        <v>371</v>
      </c>
      <c r="G372" s="11" t="s">
        <v>4413</v>
      </c>
      <c r="H372" t="str">
        <f>IFERROR(VLOOKUP(ROWS($H$2:H372),F372:G1590,2,0),"")</f>
        <v>Exeter EXT</v>
      </c>
    </row>
    <row r="373" spans="1:8" x14ac:dyDescent="0.25">
      <c r="A373">
        <f>IF(ISNUMBER(SEARCH(Request!$I$19,B373)),MAX($A$1:A372)+1,0)</f>
        <v>372</v>
      </c>
      <c r="B373" s="11" t="s">
        <v>4414</v>
      </c>
      <c r="D373" t="str">
        <f>IFERROR(VLOOKUP(ROWS($D$2:D373),A373:B1591,2,0),"")</f>
        <v>Fairbanks Int´l FAI</v>
      </c>
      <c r="F373">
        <f>IF(ISNUMBER(SEARCH(Request!$N$19,G373)),MAX(F$1:$F372)+1,0)</f>
        <v>372</v>
      </c>
      <c r="G373" s="11" t="s">
        <v>4414</v>
      </c>
      <c r="H373" t="str">
        <f>IFERROR(VLOOKUP(ROWS($H$2:H373),F373:G1591,2,0),"")</f>
        <v>Fairbanks Int´l FAI</v>
      </c>
    </row>
    <row r="374" spans="1:8" x14ac:dyDescent="0.25">
      <c r="A374">
        <f>IF(ISNUMBER(SEARCH(Request!$I$19,B374)),MAX($A$1:A373)+1,0)</f>
        <v>373</v>
      </c>
      <c r="B374" s="11" t="s">
        <v>4415</v>
      </c>
      <c r="D374" t="str">
        <f>IFERROR(VLOOKUP(ROWS($D$2:D374),A374:B1592,2,0),"")</f>
        <v>Faleolo APW</v>
      </c>
      <c r="F374">
        <f>IF(ISNUMBER(SEARCH(Request!$N$19,G374)),MAX(F$1:$F373)+1,0)</f>
        <v>373</v>
      </c>
      <c r="G374" s="11" t="s">
        <v>4415</v>
      </c>
      <c r="H374" t="str">
        <f>IFERROR(VLOOKUP(ROWS($H$2:H374),F374:G1592,2,0),"")</f>
        <v>Faleolo APW</v>
      </c>
    </row>
    <row r="375" spans="1:8" x14ac:dyDescent="0.25">
      <c r="A375">
        <f>IF(ISNUMBER(SEARCH(Request!$I$19,B375)),MAX($A$1:A374)+1,0)</f>
        <v>374</v>
      </c>
      <c r="B375" s="11" t="s">
        <v>4416</v>
      </c>
      <c r="D375" t="str">
        <f>IFERROR(VLOOKUP(ROWS($D$2:D375),A375:B1593,2,0),"")</f>
        <v>Fargo – Hector FAR</v>
      </c>
      <c r="F375">
        <f>IF(ISNUMBER(SEARCH(Request!$N$19,G375)),MAX(F$1:$F374)+1,0)</f>
        <v>374</v>
      </c>
      <c r="G375" s="11" t="s">
        <v>4416</v>
      </c>
      <c r="H375" t="str">
        <f>IFERROR(VLOOKUP(ROWS($H$2:H375),F375:G1593,2,0),"")</f>
        <v>Fargo – Hector FAR</v>
      </c>
    </row>
    <row r="376" spans="1:8" x14ac:dyDescent="0.25">
      <c r="A376">
        <f>IF(ISNUMBER(SEARCH(Request!$I$19,B376)),MAX($A$1:A375)+1,0)</f>
        <v>375</v>
      </c>
      <c r="B376" s="11" t="s">
        <v>4417</v>
      </c>
      <c r="D376" t="str">
        <f>IFERROR(VLOOKUP(ROWS($D$2:D376),A376:B1594,2,0),"")</f>
        <v>Farnborough FAB</v>
      </c>
      <c r="F376">
        <f>IF(ISNUMBER(SEARCH(Request!$N$19,G376)),MAX(F$1:$F375)+1,0)</f>
        <v>375</v>
      </c>
      <c r="G376" s="11" t="s">
        <v>4417</v>
      </c>
      <c r="H376" t="str">
        <f>IFERROR(VLOOKUP(ROWS($H$2:H376),F376:G1594,2,0),"")</f>
        <v>Farnborough FAB</v>
      </c>
    </row>
    <row r="377" spans="1:8" x14ac:dyDescent="0.25">
      <c r="A377">
        <f>IF(ISNUMBER(SEARCH(Request!$I$19,B377)),MAX($A$1:A376)+1,0)</f>
        <v>376</v>
      </c>
      <c r="B377" s="11" t="s">
        <v>4418</v>
      </c>
      <c r="D377" t="str">
        <f>IFERROR(VLOOKUP(ROWS($D$2:D377),A377:B1595,2,0),"")</f>
        <v>Faro FAO</v>
      </c>
      <c r="F377">
        <f>IF(ISNUMBER(SEARCH(Request!$N$19,G377)),MAX(F$1:$F376)+1,0)</f>
        <v>376</v>
      </c>
      <c r="G377" s="11" t="s">
        <v>4418</v>
      </c>
      <c r="H377" t="str">
        <f>IFERROR(VLOOKUP(ROWS($H$2:H377),F377:G1595,2,0),"")</f>
        <v>Faro FAO</v>
      </c>
    </row>
    <row r="378" spans="1:8" x14ac:dyDescent="0.25">
      <c r="A378">
        <f>IF(ISNUMBER(SEARCH(Request!$I$19,B378)),MAX($A$1:A377)+1,0)</f>
        <v>377</v>
      </c>
      <c r="B378" s="11" t="s">
        <v>4421</v>
      </c>
      <c r="D378" t="str">
        <f>IFERROR(VLOOKUP(ROWS($D$2:D378),A378:B1596,2,0),"")</f>
        <v>Fayetteville – Lincoln County Regional FYM</v>
      </c>
      <c r="F378">
        <f>IF(ISNUMBER(SEARCH(Request!$N$19,G378)),MAX(F$1:$F377)+1,0)</f>
        <v>377</v>
      </c>
      <c r="G378" s="11" t="s">
        <v>4421</v>
      </c>
      <c r="H378" t="str">
        <f>IFERROR(VLOOKUP(ROWS($H$2:H378),F378:G1596,2,0),"")</f>
        <v>Fayetteville – Lincoln County Regional FYM</v>
      </c>
    </row>
    <row r="379" spans="1:8" x14ac:dyDescent="0.25">
      <c r="A379">
        <f>IF(ISNUMBER(SEARCH(Request!$I$19,B379)),MAX($A$1:A378)+1,0)</f>
        <v>378</v>
      </c>
      <c r="B379" s="11" t="s">
        <v>4419</v>
      </c>
      <c r="D379" t="str">
        <f>IFERROR(VLOOKUP(ROWS($D$2:D379),A379:B1597,2,0),"")</f>
        <v>Fayetteville Municipal – Drake Field FYV</v>
      </c>
      <c r="F379">
        <f>IF(ISNUMBER(SEARCH(Request!$N$19,G379)),MAX(F$1:$F378)+1,0)</f>
        <v>378</v>
      </c>
      <c r="G379" s="11" t="s">
        <v>4419</v>
      </c>
      <c r="H379" t="str">
        <f>IFERROR(VLOOKUP(ROWS($H$2:H379),F379:G1597,2,0),"")</f>
        <v>Fayetteville Municipal – Drake Field FYV</v>
      </c>
    </row>
    <row r="380" spans="1:8" x14ac:dyDescent="0.25">
      <c r="A380">
        <f>IF(ISNUMBER(SEARCH(Request!$I$19,B380)),MAX($A$1:A379)+1,0)</f>
        <v>379</v>
      </c>
      <c r="B380" s="11" t="s">
        <v>4420</v>
      </c>
      <c r="D380" t="str">
        <f>IFERROR(VLOOKUP(ROWS($D$2:D380),A380:B1598,2,0),"")</f>
        <v>Fayetteville Regional FAY</v>
      </c>
      <c r="F380">
        <f>IF(ISNUMBER(SEARCH(Request!$N$19,G380)),MAX(F$1:$F379)+1,0)</f>
        <v>379</v>
      </c>
      <c r="G380" s="11" t="s">
        <v>4420</v>
      </c>
      <c r="H380" t="str">
        <f>IFERROR(VLOOKUP(ROWS($H$2:H380),F380:G1598,2,0),"")</f>
        <v>Fayetteville Regional FAY</v>
      </c>
    </row>
    <row r="381" spans="1:8" x14ac:dyDescent="0.25">
      <c r="A381">
        <f>IF(ISNUMBER(SEARCH(Request!$I$19,B381)),MAX($A$1:A380)+1,0)</f>
        <v>380</v>
      </c>
      <c r="B381" s="11" t="s">
        <v>4422</v>
      </c>
      <c r="D381" t="str">
        <f>IFERROR(VLOOKUP(ROWS($D$2:D381),A381:B1599,2,0),"")</f>
        <v>Fes Saiss FEZ</v>
      </c>
      <c r="F381">
        <f>IF(ISNUMBER(SEARCH(Request!$N$19,G381)),MAX(F$1:$F380)+1,0)</f>
        <v>380</v>
      </c>
      <c r="G381" s="11" t="s">
        <v>4422</v>
      </c>
      <c r="H381" t="str">
        <f>IFERROR(VLOOKUP(ROWS($H$2:H381),F381:G1599,2,0),"")</f>
        <v>Fes Saiss FEZ</v>
      </c>
    </row>
    <row r="382" spans="1:8" x14ac:dyDescent="0.25">
      <c r="A382">
        <f>IF(ISNUMBER(SEARCH(Request!$I$19,B382)),MAX($A$1:A381)+1,0)</f>
        <v>381</v>
      </c>
      <c r="B382" s="11" t="s">
        <v>4423</v>
      </c>
      <c r="D382" t="str">
        <f>IFERROR(VLOOKUP(ROWS($D$2:D382),A382:B1600,2,0),"")</f>
        <v>Fiji – Suva Nausori Int´l SUV</v>
      </c>
      <c r="F382">
        <f>IF(ISNUMBER(SEARCH(Request!$N$19,G382)),MAX(F$1:$F381)+1,0)</f>
        <v>381</v>
      </c>
      <c r="G382" s="11" t="s">
        <v>4423</v>
      </c>
      <c r="H382" t="str">
        <f>IFERROR(VLOOKUP(ROWS($H$2:H382),F382:G1600,2,0),"")</f>
        <v>Fiji – Suva Nausori Int´l SUV</v>
      </c>
    </row>
    <row r="383" spans="1:8" x14ac:dyDescent="0.25">
      <c r="A383">
        <f>IF(ISNUMBER(SEARCH(Request!$I$19,B383)),MAX($A$1:A382)+1,0)</f>
        <v>382</v>
      </c>
      <c r="B383" s="11" t="s">
        <v>4424</v>
      </c>
      <c r="D383" t="str">
        <f>IFERROR(VLOOKUP(ROWS($D$2:D383),A383:B1601,2,0),"")</f>
        <v>Fiji-Nadi NAN</v>
      </c>
      <c r="F383">
        <f>IF(ISNUMBER(SEARCH(Request!$N$19,G383)),MAX(F$1:$F382)+1,0)</f>
        <v>382</v>
      </c>
      <c r="G383" s="11" t="s">
        <v>4424</v>
      </c>
      <c r="H383" t="str">
        <f>IFERROR(VLOOKUP(ROWS($H$2:H383),F383:G1601,2,0),"")</f>
        <v>Fiji-Nadi NAN</v>
      </c>
    </row>
    <row r="384" spans="1:8" x14ac:dyDescent="0.25">
      <c r="A384">
        <f>IF(ISNUMBER(SEARCH(Request!$I$19,B384)),MAX($A$1:A383)+1,0)</f>
        <v>383</v>
      </c>
      <c r="B384" s="11" t="s">
        <v>4425</v>
      </c>
      <c r="D384" t="str">
        <f>IFERROR(VLOOKUP(ROWS($D$2:D384),A384:B1602,2,0),"")</f>
        <v>Flagstaff Pulliam FLG</v>
      </c>
      <c r="F384">
        <f>IF(ISNUMBER(SEARCH(Request!$N$19,G384)),MAX(F$1:$F383)+1,0)</f>
        <v>383</v>
      </c>
      <c r="G384" s="11" t="s">
        <v>4425</v>
      </c>
      <c r="H384" t="str">
        <f>IFERROR(VLOOKUP(ROWS($H$2:H384),F384:G1602,2,0),"")</f>
        <v>Flagstaff Pulliam FLG</v>
      </c>
    </row>
    <row r="385" spans="1:8" x14ac:dyDescent="0.25">
      <c r="A385">
        <f>IF(ISNUMBER(SEARCH(Request!$I$19,B385)),MAX($A$1:A384)+1,0)</f>
        <v>384</v>
      </c>
      <c r="B385" s="11" t="s">
        <v>4426</v>
      </c>
      <c r="D385" t="str">
        <f>IFERROR(VLOOKUP(ROWS($D$2:D385),A385:B1603,2,0),"")</f>
        <v>Flamingo BON</v>
      </c>
      <c r="F385">
        <f>IF(ISNUMBER(SEARCH(Request!$N$19,G385)),MAX(F$1:$F384)+1,0)</f>
        <v>384</v>
      </c>
      <c r="G385" s="11" t="s">
        <v>4426</v>
      </c>
      <c r="H385" t="str">
        <f>IFERROR(VLOOKUP(ROWS($H$2:H385),F385:G1603,2,0),"")</f>
        <v>Flamingo BON</v>
      </c>
    </row>
    <row r="386" spans="1:8" x14ac:dyDescent="0.25">
      <c r="A386">
        <f>IF(ISNUMBER(SEARCH(Request!$I$19,B386)),MAX($A$1:A385)+1,0)</f>
        <v>385</v>
      </c>
      <c r="B386" s="11" t="s">
        <v>4427</v>
      </c>
      <c r="D386" t="str">
        <f>IFERROR(VLOOKUP(ROWS($D$2:D386),A386:B1604,2,0),"")</f>
        <v>Flint – Bishop FNT</v>
      </c>
      <c r="F386">
        <f>IF(ISNUMBER(SEARCH(Request!$N$19,G386)),MAX(F$1:$F385)+1,0)</f>
        <v>385</v>
      </c>
      <c r="G386" s="11" t="s">
        <v>4427</v>
      </c>
      <c r="H386" t="str">
        <f>IFERROR(VLOOKUP(ROWS($H$2:H386),F386:G1604,2,0),"")</f>
        <v>Flint – Bishop FNT</v>
      </c>
    </row>
    <row r="387" spans="1:8" x14ac:dyDescent="0.25">
      <c r="A387">
        <f>IF(ISNUMBER(SEARCH(Request!$I$19,B387)),MAX($A$1:A386)+1,0)</f>
        <v>386</v>
      </c>
      <c r="B387" s="11" t="s">
        <v>4429</v>
      </c>
      <c r="D387" t="str">
        <f>IFERROR(VLOOKUP(ROWS($D$2:D387),A387:B1605,2,0),"")</f>
        <v>Florence – Amerigo Vespucci FLR</v>
      </c>
      <c r="F387">
        <f>IF(ISNUMBER(SEARCH(Request!$N$19,G387)),MAX(F$1:$F386)+1,0)</f>
        <v>386</v>
      </c>
      <c r="G387" s="11" t="s">
        <v>4429</v>
      </c>
      <c r="H387" t="str">
        <f>IFERROR(VLOOKUP(ROWS($H$2:H387),F387:G1605,2,0),"")</f>
        <v>Florence – Amerigo Vespucci FLR</v>
      </c>
    </row>
    <row r="388" spans="1:8" x14ac:dyDescent="0.25">
      <c r="A388">
        <f>IF(ISNUMBER(SEARCH(Request!$I$19,B388)),MAX($A$1:A387)+1,0)</f>
        <v>387</v>
      </c>
      <c r="B388" s="11" t="s">
        <v>4428</v>
      </c>
      <c r="D388" t="str">
        <f>IFERROR(VLOOKUP(ROWS($D$2:D388),A388:B1606,2,0),"")</f>
        <v>Florence Regional FLO</v>
      </c>
      <c r="F388">
        <f>IF(ISNUMBER(SEARCH(Request!$N$19,G388)),MAX(F$1:$F387)+1,0)</f>
        <v>387</v>
      </c>
      <c r="G388" s="11" t="s">
        <v>4428</v>
      </c>
      <c r="H388" t="str">
        <f>IFERROR(VLOOKUP(ROWS($H$2:H388),F388:G1606,2,0),"")</f>
        <v>Florence Regional FLO</v>
      </c>
    </row>
    <row r="389" spans="1:8" x14ac:dyDescent="0.25">
      <c r="A389">
        <f>IF(ISNUMBER(SEARCH(Request!$I$19,B389)),MAX($A$1:A388)+1,0)</f>
        <v>388</v>
      </c>
      <c r="B389" s="11" t="s">
        <v>4430</v>
      </c>
      <c r="D389" t="str">
        <f>IFERROR(VLOOKUP(ROWS($D$2:D389),A389:B1607,2,0),"")</f>
        <v>Flores FLW</v>
      </c>
      <c r="F389">
        <f>IF(ISNUMBER(SEARCH(Request!$N$19,G389)),MAX(F$1:$F388)+1,0)</f>
        <v>388</v>
      </c>
      <c r="G389" s="11" t="s">
        <v>4430</v>
      </c>
      <c r="H389" t="str">
        <f>IFERROR(VLOOKUP(ROWS($H$2:H389),F389:G1607,2,0),"")</f>
        <v>Flores FLW</v>
      </c>
    </row>
    <row r="390" spans="1:8" x14ac:dyDescent="0.25">
      <c r="A390">
        <f>IF(ISNUMBER(SEARCH(Request!$I$19,B390)),MAX($A$1:A389)+1,0)</f>
        <v>389</v>
      </c>
      <c r="B390" s="11" t="s">
        <v>4431</v>
      </c>
      <c r="D390" t="str">
        <f>IFERROR(VLOOKUP(ROWS($D$2:D390),A390:B1608,2,0),"")</f>
        <v>Forli FRL</v>
      </c>
      <c r="F390">
        <f>IF(ISNUMBER(SEARCH(Request!$N$19,G390)),MAX(F$1:$F389)+1,0)</f>
        <v>389</v>
      </c>
      <c r="G390" s="11" t="s">
        <v>4431</v>
      </c>
      <c r="H390" t="str">
        <f>IFERROR(VLOOKUP(ROWS($H$2:H390),F390:G1608,2,0),"")</f>
        <v>Forli FRL</v>
      </c>
    </row>
    <row r="391" spans="1:8" x14ac:dyDescent="0.25">
      <c r="A391">
        <f>IF(ISNUMBER(SEARCH(Request!$I$19,B391)),MAX($A$1:A390)+1,0)</f>
        <v>390</v>
      </c>
      <c r="B391" s="11" t="s">
        <v>4432</v>
      </c>
      <c r="D391" t="str">
        <f>IFERROR(VLOOKUP(ROWS($D$2:D391),A391:B1609,2,0),"")</f>
        <v>Fort Collins-Loveland Municipal FNL</v>
      </c>
      <c r="F391">
        <f>IF(ISNUMBER(SEARCH(Request!$N$19,G391)),MAX(F$1:$F390)+1,0)</f>
        <v>390</v>
      </c>
      <c r="G391" s="11" t="s">
        <v>4432</v>
      </c>
      <c r="H391" t="str">
        <f>IFERROR(VLOOKUP(ROWS($H$2:H391),F391:G1609,2,0),"")</f>
        <v>Fort Collins-Loveland Municipal FNL</v>
      </c>
    </row>
    <row r="392" spans="1:8" x14ac:dyDescent="0.25">
      <c r="A392">
        <f>IF(ISNUMBER(SEARCH(Request!$I$19,B392)),MAX($A$1:A391)+1,0)</f>
        <v>391</v>
      </c>
      <c r="B392" s="11" t="s">
        <v>4433</v>
      </c>
      <c r="D392" t="str">
        <f>IFERROR(VLOOKUP(ROWS($D$2:D392),A392:B1610,2,0),"")</f>
        <v>Fort Lauderdale-Hollywood Int´l FLL</v>
      </c>
      <c r="F392">
        <f>IF(ISNUMBER(SEARCH(Request!$N$19,G392)),MAX(F$1:$F391)+1,0)</f>
        <v>391</v>
      </c>
      <c r="G392" s="11" t="s">
        <v>4433</v>
      </c>
      <c r="H392" t="str">
        <f>IFERROR(VLOOKUP(ROWS($H$2:H392),F392:G1610,2,0),"")</f>
        <v>Fort Lauderdale-Hollywood Int´l FLL</v>
      </c>
    </row>
    <row r="393" spans="1:8" x14ac:dyDescent="0.25">
      <c r="A393">
        <f>IF(ISNUMBER(SEARCH(Request!$I$19,B393)),MAX($A$1:A392)+1,0)</f>
        <v>392</v>
      </c>
      <c r="B393" s="11" t="s">
        <v>4434</v>
      </c>
      <c r="D393" t="str">
        <f>IFERROR(VLOOKUP(ROWS($D$2:D393),A393:B1611,2,0),"")</f>
        <v>Fort McMurray YMM</v>
      </c>
      <c r="F393">
        <f>IF(ISNUMBER(SEARCH(Request!$N$19,G393)),MAX(F$1:$F392)+1,0)</f>
        <v>392</v>
      </c>
      <c r="G393" s="11" t="s">
        <v>4434</v>
      </c>
      <c r="H393" t="str">
        <f>IFERROR(VLOOKUP(ROWS($H$2:H393),F393:G1611,2,0),"")</f>
        <v>Fort McMurray YMM</v>
      </c>
    </row>
    <row r="394" spans="1:8" x14ac:dyDescent="0.25">
      <c r="A394">
        <f>IF(ISNUMBER(SEARCH(Request!$I$19,B394)),MAX($A$1:A393)+1,0)</f>
        <v>393</v>
      </c>
      <c r="B394" s="11" t="s">
        <v>4435</v>
      </c>
      <c r="D394" t="str">
        <f>IFERROR(VLOOKUP(ROWS($D$2:D394),A394:B1612,2,0),"")</f>
        <v>Fort Myers-SW Florida Int´l RSW</v>
      </c>
      <c r="F394">
        <f>IF(ISNUMBER(SEARCH(Request!$N$19,G394)),MAX(F$1:$F393)+1,0)</f>
        <v>393</v>
      </c>
      <c r="G394" s="11" t="s">
        <v>4435</v>
      </c>
      <c r="H394" t="str">
        <f>IFERROR(VLOOKUP(ROWS($H$2:H394),F394:G1612,2,0),"")</f>
        <v>Fort Myers-SW Florida Int´l RSW</v>
      </c>
    </row>
    <row r="395" spans="1:8" x14ac:dyDescent="0.25">
      <c r="A395">
        <f>IF(ISNUMBER(SEARCH(Request!$I$19,B395)),MAX($A$1:A394)+1,0)</f>
        <v>394</v>
      </c>
      <c r="B395" s="11" t="s">
        <v>4436</v>
      </c>
      <c r="D395" t="str">
        <f>IFERROR(VLOOKUP(ROWS($D$2:D395),A395:B1613,2,0),"")</f>
        <v>Fort Pierce – St Lucie County Int´l FPR</v>
      </c>
      <c r="F395">
        <f>IF(ISNUMBER(SEARCH(Request!$N$19,G395)),MAX(F$1:$F394)+1,0)</f>
        <v>394</v>
      </c>
      <c r="G395" s="11" t="s">
        <v>4436</v>
      </c>
      <c r="H395" t="str">
        <f>IFERROR(VLOOKUP(ROWS($H$2:H395),F395:G1613,2,0),"")</f>
        <v>Fort Pierce – St Lucie County Int´l FPR</v>
      </c>
    </row>
    <row r="396" spans="1:8" x14ac:dyDescent="0.25">
      <c r="A396">
        <f>IF(ISNUMBER(SEARCH(Request!$I$19,B396)),MAX($A$1:A395)+1,0)</f>
        <v>395</v>
      </c>
      <c r="B396" s="11" t="s">
        <v>4437</v>
      </c>
      <c r="D396" t="str">
        <f>IFERROR(VLOOKUP(ROWS($D$2:D396),A396:B1614,2,0),"")</f>
        <v>Fort Smith FSM</v>
      </c>
      <c r="F396">
        <f>IF(ISNUMBER(SEARCH(Request!$N$19,G396)),MAX(F$1:$F395)+1,0)</f>
        <v>395</v>
      </c>
      <c r="G396" s="11" t="s">
        <v>4437</v>
      </c>
      <c r="H396" t="str">
        <f>IFERROR(VLOOKUP(ROWS($H$2:H396),F396:G1614,2,0),"")</f>
        <v>Fort Smith FSM</v>
      </c>
    </row>
    <row r="397" spans="1:8" x14ac:dyDescent="0.25">
      <c r="A397">
        <f>IF(ISNUMBER(SEARCH(Request!$I$19,B397)),MAX($A$1:A396)+1,0)</f>
        <v>396</v>
      </c>
      <c r="B397" s="11" t="s">
        <v>4438</v>
      </c>
      <c r="D397" t="str">
        <f>IFERROR(VLOOKUP(ROWS($D$2:D397),A397:B1615,2,0),"")</f>
        <v>Fort Wayne FWA</v>
      </c>
      <c r="F397">
        <f>IF(ISNUMBER(SEARCH(Request!$N$19,G397)),MAX(F$1:$F396)+1,0)</f>
        <v>396</v>
      </c>
      <c r="G397" s="11" t="s">
        <v>4438</v>
      </c>
      <c r="H397" t="str">
        <f>IFERROR(VLOOKUP(ROWS($H$2:H397),F397:G1615,2,0),"")</f>
        <v>Fort Wayne FWA</v>
      </c>
    </row>
    <row r="398" spans="1:8" x14ac:dyDescent="0.25">
      <c r="A398">
        <f>IF(ISNUMBER(SEARCH(Request!$I$19,B398)),MAX($A$1:A397)+1,0)</f>
        <v>397</v>
      </c>
      <c r="B398" s="11" t="s">
        <v>4439</v>
      </c>
      <c r="D398" t="str">
        <f>IFERROR(VLOOKUP(ROWS($D$2:D398),A398:B1616,2,0),"")</f>
        <v>Fortaleza FOR</v>
      </c>
      <c r="F398">
        <f>IF(ISNUMBER(SEARCH(Request!$N$19,G398)),MAX(F$1:$F397)+1,0)</f>
        <v>397</v>
      </c>
      <c r="G398" s="11" t="s">
        <v>4439</v>
      </c>
      <c r="H398" t="str">
        <f>IFERROR(VLOOKUP(ROWS($H$2:H398),F398:G1616,2,0),"")</f>
        <v>Fortaleza FOR</v>
      </c>
    </row>
    <row r="399" spans="1:8" x14ac:dyDescent="0.25">
      <c r="A399">
        <f>IF(ISNUMBER(SEARCH(Request!$I$19,B399)),MAX($A$1:A398)+1,0)</f>
        <v>398</v>
      </c>
      <c r="B399" s="11" t="s">
        <v>4440</v>
      </c>
      <c r="D399" t="str">
        <f>IFERROR(VLOOKUP(ROWS($D$2:D399),A399:B1617,2,0),"")</f>
        <v>Foz do Iguaçu-Cataratas Int´l IGU</v>
      </c>
      <c r="F399">
        <f>IF(ISNUMBER(SEARCH(Request!$N$19,G399)),MAX(F$1:$F398)+1,0)</f>
        <v>398</v>
      </c>
      <c r="G399" s="11" t="s">
        <v>4440</v>
      </c>
      <c r="H399" t="str">
        <f>IFERROR(VLOOKUP(ROWS($H$2:H399),F399:G1617,2,0),"")</f>
        <v>Foz do Iguaçu-Cataratas Int´l IGU</v>
      </c>
    </row>
    <row r="400" spans="1:8" x14ac:dyDescent="0.25">
      <c r="A400">
        <f>IF(ISNUMBER(SEARCH(Request!$I$19,B400)),MAX($A$1:A399)+1,0)</f>
        <v>399</v>
      </c>
      <c r="B400" s="11" t="s">
        <v>4441</v>
      </c>
      <c r="D400" t="str">
        <f>IFERROR(VLOOKUP(ROWS($D$2:D400),A400:B1618,2,0),"")</f>
        <v>Franceville – Mvengue MVB</v>
      </c>
      <c r="F400">
        <f>IF(ISNUMBER(SEARCH(Request!$N$19,G400)),MAX(F$1:$F399)+1,0)</f>
        <v>399</v>
      </c>
      <c r="G400" s="11" t="s">
        <v>4441</v>
      </c>
      <c r="H400" t="str">
        <f>IFERROR(VLOOKUP(ROWS($H$2:H400),F400:G1618,2,0),"")</f>
        <v>Franceville – Mvengue MVB</v>
      </c>
    </row>
    <row r="401" spans="1:8" x14ac:dyDescent="0.25">
      <c r="A401">
        <f>IF(ISNUMBER(SEARCH(Request!$I$19,B401)),MAX($A$1:A400)+1,0)</f>
        <v>400</v>
      </c>
      <c r="B401" s="11" t="s">
        <v>4442</v>
      </c>
      <c r="D401" t="str">
        <f>IFERROR(VLOOKUP(ROWS($D$2:D401),A401:B1619,2,0),"")</f>
        <v>Francistown FRW</v>
      </c>
      <c r="F401">
        <f>IF(ISNUMBER(SEARCH(Request!$N$19,G401)),MAX(F$1:$F400)+1,0)</f>
        <v>400</v>
      </c>
      <c r="G401" s="11" t="s">
        <v>4442</v>
      </c>
      <c r="H401" t="str">
        <f>IFERROR(VLOOKUP(ROWS($H$2:H401),F401:G1619,2,0),"")</f>
        <v>Francistown FRW</v>
      </c>
    </row>
    <row r="402" spans="1:8" x14ac:dyDescent="0.25">
      <c r="A402">
        <f>IF(ISNUMBER(SEARCH(Request!$I$19,B402)),MAX($A$1:A401)+1,0)</f>
        <v>401</v>
      </c>
      <c r="B402" s="11" t="s">
        <v>4443</v>
      </c>
      <c r="D402" t="str">
        <f>IFERROR(VLOOKUP(ROWS($D$2:D402),A402:B1620,2,0),"")</f>
        <v>Frankfurt FRA</v>
      </c>
      <c r="F402">
        <f>IF(ISNUMBER(SEARCH(Request!$N$19,G402)),MAX(F$1:$F401)+1,0)</f>
        <v>401</v>
      </c>
      <c r="G402" s="11" t="s">
        <v>4443</v>
      </c>
      <c r="H402" t="str">
        <f>IFERROR(VLOOKUP(ROWS($H$2:H402),F402:G1620,2,0),"")</f>
        <v>Frankfurt FRA</v>
      </c>
    </row>
    <row r="403" spans="1:8" x14ac:dyDescent="0.25">
      <c r="A403">
        <f>IF(ISNUMBER(SEARCH(Request!$I$19,B403)),MAX($A$1:A402)+1,0)</f>
        <v>402</v>
      </c>
      <c r="B403" s="11" t="s">
        <v>4444</v>
      </c>
      <c r="D403" t="str">
        <f>IFERROR(VLOOKUP(ROWS($D$2:D403),A403:B1621,2,0),"")</f>
        <v>Frankfurt-Hahn HHN</v>
      </c>
      <c r="F403">
        <f>IF(ISNUMBER(SEARCH(Request!$N$19,G403)),MAX(F$1:$F402)+1,0)</f>
        <v>402</v>
      </c>
      <c r="G403" s="11" t="s">
        <v>4444</v>
      </c>
      <c r="H403" t="str">
        <f>IFERROR(VLOOKUP(ROWS($H$2:H403),F403:G1621,2,0),"")</f>
        <v>Frankfurt-Hahn HHN</v>
      </c>
    </row>
    <row r="404" spans="1:8" x14ac:dyDescent="0.25">
      <c r="A404">
        <f>IF(ISNUMBER(SEARCH(Request!$I$19,B404)),MAX($A$1:A403)+1,0)</f>
        <v>403</v>
      </c>
      <c r="B404" s="11" t="s">
        <v>4445</v>
      </c>
      <c r="D404" t="str">
        <f>IFERROR(VLOOKUP(ROWS($D$2:D404),A404:B1622,2,0),"")</f>
        <v>Freetown-Lunghi FNA</v>
      </c>
      <c r="F404">
        <f>IF(ISNUMBER(SEARCH(Request!$N$19,G404)),MAX(F$1:$F403)+1,0)</f>
        <v>403</v>
      </c>
      <c r="G404" s="11" t="s">
        <v>4445</v>
      </c>
      <c r="H404" t="str">
        <f>IFERROR(VLOOKUP(ROWS($H$2:H404),F404:G1622,2,0),"")</f>
        <v>Freetown-Lunghi FNA</v>
      </c>
    </row>
    <row r="405" spans="1:8" x14ac:dyDescent="0.25">
      <c r="A405">
        <f>IF(ISNUMBER(SEARCH(Request!$I$19,B405)),MAX($A$1:A404)+1,0)</f>
        <v>404</v>
      </c>
      <c r="B405" s="11" t="s">
        <v>4446</v>
      </c>
      <c r="D405" t="str">
        <f>IFERROR(VLOOKUP(ROWS($D$2:D405),A405:B1623,2,0),"")</f>
        <v>Fresno Yosemite FAT</v>
      </c>
      <c r="F405">
        <f>IF(ISNUMBER(SEARCH(Request!$N$19,G405)),MAX(F$1:$F404)+1,0)</f>
        <v>404</v>
      </c>
      <c r="G405" s="11" t="s">
        <v>4446</v>
      </c>
      <c r="H405" t="str">
        <f>IFERROR(VLOOKUP(ROWS($H$2:H405),F405:G1623,2,0),"")</f>
        <v>Fresno Yosemite FAT</v>
      </c>
    </row>
    <row r="406" spans="1:8" x14ac:dyDescent="0.25">
      <c r="A406">
        <f>IF(ISNUMBER(SEARCH(Request!$I$19,B406)),MAX($A$1:A405)+1,0)</f>
        <v>405</v>
      </c>
      <c r="B406" s="11" t="s">
        <v>4447</v>
      </c>
      <c r="D406" t="str">
        <f>IFERROR(VLOOKUP(ROWS($D$2:D406),A406:B1624,2,0),"")</f>
        <v>Friedrichshafen/Lowental FDH</v>
      </c>
      <c r="F406">
        <f>IF(ISNUMBER(SEARCH(Request!$N$19,G406)),MAX(F$1:$F405)+1,0)</f>
        <v>405</v>
      </c>
      <c r="G406" s="11" t="s">
        <v>4447</v>
      </c>
      <c r="H406" t="str">
        <f>IFERROR(VLOOKUP(ROWS($H$2:H406),F406:G1624,2,0),"")</f>
        <v>Friedrichshafen/Lowental FDH</v>
      </c>
    </row>
    <row r="407" spans="1:8" x14ac:dyDescent="0.25">
      <c r="A407">
        <f>IF(ISNUMBER(SEARCH(Request!$I$19,B407)),MAX($A$1:A406)+1,0)</f>
        <v>406</v>
      </c>
      <c r="B407" s="11" t="s">
        <v>4448</v>
      </c>
      <c r="D407" t="str">
        <f>IFERROR(VLOOKUP(ROWS($D$2:D407),A407:B1625,2,0),"")</f>
        <v>Fua´amotu Int´l TBU</v>
      </c>
      <c r="F407">
        <f>IF(ISNUMBER(SEARCH(Request!$N$19,G407)),MAX(F$1:$F406)+1,0)</f>
        <v>406</v>
      </c>
      <c r="G407" s="11" t="s">
        <v>4448</v>
      </c>
      <c r="H407" t="str">
        <f>IFERROR(VLOOKUP(ROWS($H$2:H407),F407:G1625,2,0),"")</f>
        <v>Fua´amotu Int´l TBU</v>
      </c>
    </row>
    <row r="408" spans="1:8" x14ac:dyDescent="0.25">
      <c r="A408">
        <f>IF(ISNUMBER(SEARCH(Request!$I$19,B408)),MAX($A$1:A407)+1,0)</f>
        <v>407</v>
      </c>
      <c r="B408" s="11" t="s">
        <v>4449</v>
      </c>
      <c r="D408" t="str">
        <f>IFERROR(VLOOKUP(ROWS($D$2:D408),A408:B1626,2,0),"")</f>
        <v>Fuerteventura FUE</v>
      </c>
      <c r="F408">
        <f>IF(ISNUMBER(SEARCH(Request!$N$19,G408)),MAX(F$1:$F407)+1,0)</f>
        <v>407</v>
      </c>
      <c r="G408" s="11" t="s">
        <v>4449</v>
      </c>
      <c r="H408" t="str">
        <f>IFERROR(VLOOKUP(ROWS($H$2:H408),F408:G1626,2,0),"")</f>
        <v>Fuerteventura FUE</v>
      </c>
    </row>
    <row r="409" spans="1:8" x14ac:dyDescent="0.25">
      <c r="A409">
        <f>IF(ISNUMBER(SEARCH(Request!$I$19,B409)),MAX($A$1:A408)+1,0)</f>
        <v>408</v>
      </c>
      <c r="B409" s="11" t="s">
        <v>4450</v>
      </c>
      <c r="D409" t="str">
        <f>IFERROR(VLOOKUP(ROWS($D$2:D409),A409:B1627,2,0),"")</f>
        <v>Fujairah FJR</v>
      </c>
      <c r="F409">
        <f>IF(ISNUMBER(SEARCH(Request!$N$19,G409)),MAX(F$1:$F408)+1,0)</f>
        <v>408</v>
      </c>
      <c r="G409" s="11" t="s">
        <v>4450</v>
      </c>
      <c r="H409" t="str">
        <f>IFERROR(VLOOKUP(ROWS($H$2:H409),F409:G1627,2,0),"")</f>
        <v>Fujairah FJR</v>
      </c>
    </row>
    <row r="410" spans="1:8" x14ac:dyDescent="0.25">
      <c r="A410">
        <f>IF(ISNUMBER(SEARCH(Request!$I$19,B410)),MAX($A$1:A409)+1,0)</f>
        <v>409</v>
      </c>
      <c r="B410" s="11" t="s">
        <v>4451</v>
      </c>
      <c r="D410" t="str">
        <f>IFERROR(VLOOKUP(ROWS($D$2:D410),A410:B1628,2,0),"")</f>
        <v>Fukui FKJ</v>
      </c>
      <c r="F410">
        <f>IF(ISNUMBER(SEARCH(Request!$N$19,G410)),MAX(F$1:$F409)+1,0)</f>
        <v>409</v>
      </c>
      <c r="G410" s="11" t="s">
        <v>4451</v>
      </c>
      <c r="H410" t="str">
        <f>IFERROR(VLOOKUP(ROWS($H$2:H410),F410:G1628,2,0),"")</f>
        <v>Fukui FKJ</v>
      </c>
    </row>
    <row r="411" spans="1:8" x14ac:dyDescent="0.25">
      <c r="A411">
        <f>IF(ISNUMBER(SEARCH(Request!$I$19,B411)),MAX($A$1:A410)+1,0)</f>
        <v>410</v>
      </c>
      <c r="B411" s="11" t="s">
        <v>4452</v>
      </c>
      <c r="D411" t="str">
        <f>IFERROR(VLOOKUP(ROWS($D$2:D411),A411:B1629,2,0),"")</f>
        <v>Funchal -o da Madeira FNC</v>
      </c>
      <c r="F411">
        <f>IF(ISNUMBER(SEARCH(Request!$N$19,G411)),MAX(F$1:$F410)+1,0)</f>
        <v>410</v>
      </c>
      <c r="G411" s="11" t="s">
        <v>4452</v>
      </c>
      <c r="H411" t="str">
        <f>IFERROR(VLOOKUP(ROWS($H$2:H411),F411:G1629,2,0),"")</f>
        <v>Funchal -o da Madeira FNC</v>
      </c>
    </row>
    <row r="412" spans="1:8" x14ac:dyDescent="0.25">
      <c r="A412">
        <f>IF(ISNUMBER(SEARCH(Request!$I$19,B412)),MAX($A$1:A411)+1,0)</f>
        <v>411</v>
      </c>
      <c r="B412" s="11" t="s">
        <v>4453</v>
      </c>
      <c r="D412" t="str">
        <f>IFERROR(VLOOKUP(ROWS($D$2:D412),A412:B1630,2,0),"")</f>
        <v>Gaborone-Seretse Khama GBE</v>
      </c>
      <c r="F412">
        <f>IF(ISNUMBER(SEARCH(Request!$N$19,G412)),MAX(F$1:$F411)+1,0)</f>
        <v>411</v>
      </c>
      <c r="G412" s="11" t="s">
        <v>4453</v>
      </c>
      <c r="H412" t="str">
        <f>IFERROR(VLOOKUP(ROWS($H$2:H412),F412:G1630,2,0),"")</f>
        <v>Gaborone-Seretse Khama GBE</v>
      </c>
    </row>
    <row r="413" spans="1:8" x14ac:dyDescent="0.25">
      <c r="A413">
        <f>IF(ISNUMBER(SEARCH(Request!$I$19,B413)),MAX($A$1:A412)+1,0)</f>
        <v>412</v>
      </c>
      <c r="B413" s="11" t="s">
        <v>4454</v>
      </c>
      <c r="D413" t="str">
        <f>IFERROR(VLOOKUP(ROWS($D$2:D413),A413:B1631,2,0),"")</f>
        <v>Gainesville Regional GLE</v>
      </c>
      <c r="F413">
        <f>IF(ISNUMBER(SEARCH(Request!$N$19,G413)),MAX(F$1:$F412)+1,0)</f>
        <v>412</v>
      </c>
      <c r="G413" s="11" t="s">
        <v>4454</v>
      </c>
      <c r="H413" t="str">
        <f>IFERROR(VLOOKUP(ROWS($H$2:H413),F413:G1631,2,0),"")</f>
        <v>Gainesville Regional GLE</v>
      </c>
    </row>
    <row r="414" spans="1:8" x14ac:dyDescent="0.25">
      <c r="A414">
        <f>IF(ISNUMBER(SEARCH(Request!$I$19,B414)),MAX($A$1:A413)+1,0)</f>
        <v>413</v>
      </c>
      <c r="B414" s="11" t="s">
        <v>4455</v>
      </c>
      <c r="D414" t="str">
        <f>IFERROR(VLOOKUP(ROWS($D$2:D414),A414:B1632,2,0),"")</f>
        <v>Galway GWY</v>
      </c>
      <c r="F414">
        <f>IF(ISNUMBER(SEARCH(Request!$N$19,G414)),MAX(F$1:$F413)+1,0)</f>
        <v>413</v>
      </c>
      <c r="G414" s="11" t="s">
        <v>4455</v>
      </c>
      <c r="H414" t="str">
        <f>IFERROR(VLOOKUP(ROWS($H$2:H414),F414:G1632,2,0),"")</f>
        <v>Galway GWY</v>
      </c>
    </row>
    <row r="415" spans="1:8" x14ac:dyDescent="0.25">
      <c r="A415">
        <f>IF(ISNUMBER(SEARCH(Request!$I$19,B415)),MAX($A$1:A414)+1,0)</f>
        <v>414</v>
      </c>
      <c r="B415" s="11" t="s">
        <v>4456</v>
      </c>
      <c r="D415" t="str">
        <f>IFERROR(VLOOKUP(ROWS($D$2:D415),A415:B1633,2,0),"")</f>
        <v>Garoua GOU</v>
      </c>
      <c r="F415">
        <f>IF(ISNUMBER(SEARCH(Request!$N$19,G415)),MAX(F$1:$F414)+1,0)</f>
        <v>414</v>
      </c>
      <c r="G415" s="11" t="s">
        <v>4456</v>
      </c>
      <c r="H415" t="str">
        <f>IFERROR(VLOOKUP(ROWS($H$2:H415),F415:G1633,2,0),"")</f>
        <v>Garoua GOU</v>
      </c>
    </row>
    <row r="416" spans="1:8" x14ac:dyDescent="0.25">
      <c r="A416">
        <f>IF(ISNUMBER(SEARCH(Request!$I$19,B416)),MAX($A$1:A415)+1,0)</f>
        <v>415</v>
      </c>
      <c r="B416" s="11" t="s">
        <v>4457</v>
      </c>
      <c r="D416" t="str">
        <f>IFERROR(VLOOKUP(ROWS($D$2:D416),A416:B1634,2,0),"")</f>
        <v>Gaya GAY</v>
      </c>
      <c r="F416">
        <f>IF(ISNUMBER(SEARCH(Request!$N$19,G416)),MAX(F$1:$F415)+1,0)</f>
        <v>415</v>
      </c>
      <c r="G416" s="11" t="s">
        <v>4457</v>
      </c>
      <c r="H416" t="str">
        <f>IFERROR(VLOOKUP(ROWS($H$2:H416),F416:G1634,2,0),"")</f>
        <v>Gaya GAY</v>
      </c>
    </row>
    <row r="417" spans="1:8" x14ac:dyDescent="0.25">
      <c r="A417">
        <f>IF(ISNUMBER(SEARCH(Request!$I$19,B417)),MAX($A$1:A416)+1,0)</f>
        <v>416</v>
      </c>
      <c r="B417" s="11" t="s">
        <v>4458</v>
      </c>
      <c r="D417" t="str">
        <f>IFERROR(VLOOKUP(ROWS($D$2:D417),A417:B1635,2,0),"")</f>
        <v>Gdansk-Trojmiasto Ltd GDN</v>
      </c>
      <c r="F417">
        <f>IF(ISNUMBER(SEARCH(Request!$N$19,G417)),MAX(F$1:$F416)+1,0)</f>
        <v>416</v>
      </c>
      <c r="G417" s="11" t="s">
        <v>4458</v>
      </c>
      <c r="H417" t="str">
        <f>IFERROR(VLOOKUP(ROWS($H$2:H417),F417:G1635,2,0),"")</f>
        <v>Gdansk-Trojmiasto Ltd GDN</v>
      </c>
    </row>
    <row r="418" spans="1:8" x14ac:dyDescent="0.25">
      <c r="A418">
        <f>IF(ISNUMBER(SEARCH(Request!$I$19,B418)),MAX($A$1:A417)+1,0)</f>
        <v>417</v>
      </c>
      <c r="B418" s="11" t="s">
        <v>4459</v>
      </c>
      <c r="D418" t="str">
        <f>IFERROR(VLOOKUP(ROWS($D$2:D418),A418:B1636,2,0),"")</f>
        <v>Geilo – Dagali DLD</v>
      </c>
      <c r="F418">
        <f>IF(ISNUMBER(SEARCH(Request!$N$19,G418)),MAX(F$1:$F417)+1,0)</f>
        <v>417</v>
      </c>
      <c r="G418" s="11" t="s">
        <v>4459</v>
      </c>
      <c r="H418" t="str">
        <f>IFERROR(VLOOKUP(ROWS($H$2:H418),F418:G1636,2,0),"")</f>
        <v>Geilo – Dagali DLD</v>
      </c>
    </row>
    <row r="419" spans="1:8" x14ac:dyDescent="0.25">
      <c r="A419">
        <f>IF(ISNUMBER(SEARCH(Request!$I$19,B419)),MAX($A$1:A418)+1,0)</f>
        <v>418</v>
      </c>
      <c r="B419" s="11" t="s">
        <v>4460</v>
      </c>
      <c r="D419" t="str">
        <f>IFERROR(VLOOKUP(ROWS($D$2:D419),A419:B1637,2,0),"")</f>
        <v>Geneva GVA</v>
      </c>
      <c r="F419">
        <f>IF(ISNUMBER(SEARCH(Request!$N$19,G419)),MAX(F$1:$F418)+1,0)</f>
        <v>418</v>
      </c>
      <c r="G419" s="11" t="s">
        <v>4460</v>
      </c>
      <c r="H419" t="str">
        <f>IFERROR(VLOOKUP(ROWS($H$2:H419),F419:G1637,2,0),"")</f>
        <v>Geneva GVA</v>
      </c>
    </row>
    <row r="420" spans="1:8" x14ac:dyDescent="0.25">
      <c r="A420">
        <f>IF(ISNUMBER(SEARCH(Request!$I$19,B420)),MAX($A$1:A419)+1,0)</f>
        <v>419</v>
      </c>
      <c r="B420" s="11" t="s">
        <v>4461</v>
      </c>
      <c r="D420" t="str">
        <f>IFERROR(VLOOKUP(ROWS($D$2:D420),A420:B1638,2,0),"")</f>
        <v>Genoa GOA</v>
      </c>
      <c r="F420">
        <f>IF(ISNUMBER(SEARCH(Request!$N$19,G420)),MAX(F$1:$F419)+1,0)</f>
        <v>419</v>
      </c>
      <c r="G420" s="11" t="s">
        <v>4461</v>
      </c>
      <c r="H420" t="str">
        <f>IFERROR(VLOOKUP(ROWS($H$2:H420),F420:G1638,2,0),"")</f>
        <v>Genoa GOA</v>
      </c>
    </row>
    <row r="421" spans="1:8" x14ac:dyDescent="0.25">
      <c r="A421">
        <f>IF(ISNUMBER(SEARCH(Request!$I$19,B421)),MAX($A$1:A420)+1,0)</f>
        <v>420</v>
      </c>
      <c r="B421" s="11" t="s">
        <v>4462</v>
      </c>
      <c r="D421" t="str">
        <f>IFERROR(VLOOKUP(ROWS($D$2:D421),A421:B1639,2,0),"")</f>
        <v>George GRJ</v>
      </c>
      <c r="F421">
        <f>IF(ISNUMBER(SEARCH(Request!$N$19,G421)),MAX(F$1:$F420)+1,0)</f>
        <v>420</v>
      </c>
      <c r="G421" s="11" t="s">
        <v>4462</v>
      </c>
      <c r="H421" t="str">
        <f>IFERROR(VLOOKUP(ROWS($H$2:H421),F421:G1639,2,0),"")</f>
        <v>George GRJ</v>
      </c>
    </row>
    <row r="422" spans="1:8" x14ac:dyDescent="0.25">
      <c r="A422">
        <f>IF(ISNUMBER(SEARCH(Request!$I$19,B422)),MAX($A$1:A421)+1,0)</f>
        <v>421</v>
      </c>
      <c r="B422" s="11" t="s">
        <v>4463</v>
      </c>
      <c r="D422" t="str">
        <f>IFERROR(VLOOKUP(ROWS($D$2:D422),A422:B1640,2,0),"")</f>
        <v>Georgetown – Cheddi Jagan Int´l GEO</v>
      </c>
      <c r="F422">
        <f>IF(ISNUMBER(SEARCH(Request!$N$19,G422)),MAX(F$1:$F421)+1,0)</f>
        <v>421</v>
      </c>
      <c r="G422" s="11" t="s">
        <v>4463</v>
      </c>
      <c r="H422" t="str">
        <f>IFERROR(VLOOKUP(ROWS($H$2:H422),F422:G1640,2,0),"")</f>
        <v>Georgetown – Cheddi Jagan Int´l GEO</v>
      </c>
    </row>
    <row r="423" spans="1:8" x14ac:dyDescent="0.25">
      <c r="A423">
        <f>IF(ISNUMBER(SEARCH(Request!$I$19,B423)),MAX($A$1:A422)+1,0)</f>
        <v>422</v>
      </c>
      <c r="B423" s="11" t="s">
        <v>4464</v>
      </c>
      <c r="D423" t="str">
        <f>IFERROR(VLOOKUP(ROWS($D$2:D423),A423:B1641,2,0),"")</f>
        <v>Gerona-Costa Brava GRO</v>
      </c>
      <c r="F423">
        <f>IF(ISNUMBER(SEARCH(Request!$N$19,G423)),MAX(F$1:$F422)+1,0)</f>
        <v>422</v>
      </c>
      <c r="G423" s="11" t="s">
        <v>4464</v>
      </c>
      <c r="H423" t="str">
        <f>IFERROR(VLOOKUP(ROWS($H$2:H423),F423:G1641,2,0),"")</f>
        <v>Gerona-Costa Brava GRO</v>
      </c>
    </row>
    <row r="424" spans="1:8" x14ac:dyDescent="0.25">
      <c r="A424">
        <f>IF(ISNUMBER(SEARCH(Request!$I$19,B424)),MAX($A$1:A423)+1,0)</f>
        <v>423</v>
      </c>
      <c r="B424" s="11" t="s">
        <v>4465</v>
      </c>
      <c r="D424" t="str">
        <f>IFERROR(VLOOKUP(ROWS($D$2:D424),A424:B1642,2,0),"")</f>
        <v>Gibraltar GIB</v>
      </c>
      <c r="F424">
        <f>IF(ISNUMBER(SEARCH(Request!$N$19,G424)),MAX(F$1:$F423)+1,0)</f>
        <v>423</v>
      </c>
      <c r="G424" s="11" t="s">
        <v>4465</v>
      </c>
      <c r="H424" t="str">
        <f>IFERROR(VLOOKUP(ROWS($H$2:H424),F424:G1642,2,0),"")</f>
        <v>Gibraltar GIB</v>
      </c>
    </row>
    <row r="425" spans="1:8" x14ac:dyDescent="0.25">
      <c r="A425">
        <f>IF(ISNUMBER(SEARCH(Request!$I$19,B425)),MAX($A$1:A424)+1,0)</f>
        <v>424</v>
      </c>
      <c r="B425" s="11" t="s">
        <v>4467</v>
      </c>
      <c r="D425" t="str">
        <f>IFERROR(VLOOKUP(ROWS($D$2:D425),A425:B1643,2,0),"")</f>
        <v>Glasgow – Prestwick PIK</v>
      </c>
      <c r="F425">
        <f>IF(ISNUMBER(SEARCH(Request!$N$19,G425)),MAX(F$1:$F424)+1,0)</f>
        <v>424</v>
      </c>
      <c r="G425" s="11" t="s">
        <v>4467</v>
      </c>
      <c r="H425" t="str">
        <f>IFERROR(VLOOKUP(ROWS($H$2:H425),F425:G1643,2,0),"")</f>
        <v>Glasgow – Prestwick PIK</v>
      </c>
    </row>
    <row r="426" spans="1:8" x14ac:dyDescent="0.25">
      <c r="A426">
        <f>IF(ISNUMBER(SEARCH(Request!$I$19,B426)),MAX($A$1:A425)+1,0)</f>
        <v>425</v>
      </c>
      <c r="B426" s="11" t="s">
        <v>4466</v>
      </c>
      <c r="D426" t="str">
        <f>IFERROR(VLOOKUP(ROWS($D$2:D426),A426:B1644,2,0),"")</f>
        <v>Glasgow Ltd GLA</v>
      </c>
      <c r="F426">
        <f>IF(ISNUMBER(SEARCH(Request!$N$19,G426)),MAX(F$1:$F425)+1,0)</f>
        <v>425</v>
      </c>
      <c r="G426" s="11" t="s">
        <v>4466</v>
      </c>
      <c r="H426" t="str">
        <f>IFERROR(VLOOKUP(ROWS($H$2:H426),F426:G1644,2,0),"")</f>
        <v>Glasgow Ltd GLA</v>
      </c>
    </row>
    <row r="427" spans="1:8" x14ac:dyDescent="0.25">
      <c r="A427">
        <f>IF(ISNUMBER(SEARCH(Request!$I$19,B427)),MAX($A$1:A426)+1,0)</f>
        <v>426</v>
      </c>
      <c r="B427" s="11" t="s">
        <v>4468</v>
      </c>
      <c r="D427" t="str">
        <f>IFERROR(VLOOKUP(ROWS($D$2:D427),A427:B1645,2,0),"")</f>
        <v>Gloucestershire GLO</v>
      </c>
      <c r="F427">
        <f>IF(ISNUMBER(SEARCH(Request!$N$19,G427)),MAX(F$1:$F426)+1,0)</f>
        <v>426</v>
      </c>
      <c r="G427" s="11" t="s">
        <v>4468</v>
      </c>
      <c r="H427" t="str">
        <f>IFERROR(VLOOKUP(ROWS($H$2:H427),F427:G1645,2,0),"")</f>
        <v>Gloucestershire GLO</v>
      </c>
    </row>
    <row r="428" spans="1:8" x14ac:dyDescent="0.25">
      <c r="A428">
        <f>IF(ISNUMBER(SEARCH(Request!$I$19,B428)),MAX($A$1:A427)+1,0)</f>
        <v>427</v>
      </c>
      <c r="B428" s="11" t="s">
        <v>4469</v>
      </c>
      <c r="D428" t="str">
        <f>IFERROR(VLOOKUP(ROWS($D$2:D428),A428:B1646,2,0),"")</f>
        <v>Goa – Dabolim GOI</v>
      </c>
      <c r="F428">
        <f>IF(ISNUMBER(SEARCH(Request!$N$19,G428)),MAX(F$1:$F427)+1,0)</f>
        <v>427</v>
      </c>
      <c r="G428" s="11" t="s">
        <v>4469</v>
      </c>
      <c r="H428" t="str">
        <f>IFERROR(VLOOKUP(ROWS($H$2:H428),F428:G1646,2,0),"")</f>
        <v>Goa – Dabolim GOI</v>
      </c>
    </row>
    <row r="429" spans="1:8" x14ac:dyDescent="0.25">
      <c r="A429">
        <f>IF(ISNUMBER(SEARCH(Request!$I$19,B429)),MAX($A$1:A428)+1,0)</f>
        <v>428</v>
      </c>
      <c r="B429" s="11" t="s">
        <v>4470</v>
      </c>
      <c r="D429" t="str">
        <f>IFERROR(VLOOKUP(ROWS($D$2:D429),A429:B1647,2,0),"")</f>
        <v>Gomel (Pokalubichi) GME</v>
      </c>
      <c r="F429">
        <f>IF(ISNUMBER(SEARCH(Request!$N$19,G429)),MAX(F$1:$F428)+1,0)</f>
        <v>428</v>
      </c>
      <c r="G429" s="11" t="s">
        <v>4470</v>
      </c>
      <c r="H429" t="str">
        <f>IFERROR(VLOOKUP(ROWS($H$2:H429),F429:G1647,2,0),"")</f>
        <v>Gomel (Pokalubichi) GME</v>
      </c>
    </row>
    <row r="430" spans="1:8" x14ac:dyDescent="0.25">
      <c r="A430">
        <f>IF(ISNUMBER(SEARCH(Request!$I$19,B430)),MAX($A$1:A429)+1,0)</f>
        <v>429</v>
      </c>
      <c r="B430" s="11" t="s">
        <v>4471</v>
      </c>
      <c r="D430" t="str">
        <f>IFERROR(VLOOKUP(ROWS($D$2:D430),A430:B1648,2,0),"")</f>
        <v>Gorna Orjahovica GOZ</v>
      </c>
      <c r="F430">
        <f>IF(ISNUMBER(SEARCH(Request!$N$19,G430)),MAX(F$1:$F429)+1,0)</f>
        <v>429</v>
      </c>
      <c r="G430" s="11" t="s">
        <v>4471</v>
      </c>
      <c r="H430" t="str">
        <f>IFERROR(VLOOKUP(ROWS($H$2:H430),F430:G1648,2,0),"")</f>
        <v>Gorna Orjahovica GOZ</v>
      </c>
    </row>
    <row r="431" spans="1:8" x14ac:dyDescent="0.25">
      <c r="A431">
        <f>IF(ISNUMBER(SEARCH(Request!$I$19,B431)),MAX($A$1:A430)+1,0)</f>
        <v>430</v>
      </c>
      <c r="B431" s="11" t="s">
        <v>4498</v>
      </c>
      <c r="D431" t="str">
        <f>IFERROR(VLOOKUP(ROWS($D$2:D431),A431:B1649,2,0),"")</f>
        <v>Göteborg City GSE</v>
      </c>
      <c r="F431">
        <f>IF(ISNUMBER(SEARCH(Request!$N$19,G431)),MAX(F$1:$F430)+1,0)</f>
        <v>430</v>
      </c>
      <c r="G431" s="11" t="s">
        <v>4498</v>
      </c>
      <c r="H431" t="str">
        <f>IFERROR(VLOOKUP(ROWS($H$2:H431),F431:G1649,2,0),"")</f>
        <v>Göteborg City GSE</v>
      </c>
    </row>
    <row r="432" spans="1:8" x14ac:dyDescent="0.25">
      <c r="A432">
        <f>IF(ISNUMBER(SEARCH(Request!$I$19,B432)),MAX($A$1:A431)+1,0)</f>
        <v>431</v>
      </c>
      <c r="B432" s="11" t="s">
        <v>4499</v>
      </c>
      <c r="D432" t="str">
        <f>IFERROR(VLOOKUP(ROWS($D$2:D432),A432:B1650,2,0),"")</f>
        <v>Göteborg-Landvetter GOT</v>
      </c>
      <c r="F432">
        <f>IF(ISNUMBER(SEARCH(Request!$N$19,G432)),MAX(F$1:$F431)+1,0)</f>
        <v>431</v>
      </c>
      <c r="G432" s="11" t="s">
        <v>4499</v>
      </c>
      <c r="H432" t="str">
        <f>IFERROR(VLOOKUP(ROWS($H$2:H432),F432:G1650,2,0),"")</f>
        <v>Göteborg-Landvetter GOT</v>
      </c>
    </row>
    <row r="433" spans="1:8" x14ac:dyDescent="0.25">
      <c r="A433">
        <f>IF(ISNUMBER(SEARCH(Request!$I$19,B433)),MAX($A$1:A432)+1,0)</f>
        <v>432</v>
      </c>
      <c r="B433" s="11" t="s">
        <v>4472</v>
      </c>
      <c r="D433" t="str">
        <f>IFERROR(VLOOKUP(ROWS($D$2:D433),A433:B1651,2,0),"")</f>
        <v>Gran Canaria LPA</v>
      </c>
      <c r="F433">
        <f>IF(ISNUMBER(SEARCH(Request!$N$19,G433)),MAX(F$1:$F432)+1,0)</f>
        <v>432</v>
      </c>
      <c r="G433" s="11" t="s">
        <v>4472</v>
      </c>
      <c r="H433" t="str">
        <f>IFERROR(VLOOKUP(ROWS($H$2:H433),F433:G1651,2,0),"")</f>
        <v>Gran Canaria LPA</v>
      </c>
    </row>
    <row r="434" spans="1:8" x14ac:dyDescent="0.25">
      <c r="A434">
        <f>IF(ISNUMBER(SEARCH(Request!$I$19,B434)),MAX($A$1:A433)+1,0)</f>
        <v>433</v>
      </c>
      <c r="B434" s="11" t="s">
        <v>4473</v>
      </c>
      <c r="D434" t="str">
        <f>IFERROR(VLOOKUP(ROWS($D$2:D434),A434:B1652,2,0),"")</f>
        <v>Granada GRX</v>
      </c>
      <c r="F434">
        <f>IF(ISNUMBER(SEARCH(Request!$N$19,G434)),MAX(F$1:$F433)+1,0)</f>
        <v>433</v>
      </c>
      <c r="G434" s="11" t="s">
        <v>4473</v>
      </c>
      <c r="H434" t="str">
        <f>IFERROR(VLOOKUP(ROWS($H$2:H434),F434:G1652,2,0),"")</f>
        <v>Granada GRX</v>
      </c>
    </row>
    <row r="435" spans="1:8" x14ac:dyDescent="0.25">
      <c r="A435">
        <f>IF(ISNUMBER(SEARCH(Request!$I$19,B435)),MAX($A$1:A434)+1,0)</f>
        <v>434</v>
      </c>
      <c r="B435" s="11" t="s">
        <v>4474</v>
      </c>
      <c r="D435" t="str">
        <f>IFERROR(VLOOKUP(ROWS($D$2:D435),A435:B1653,2,0),"")</f>
        <v>Grand Bahama FPO</v>
      </c>
      <c r="F435">
        <f>IF(ISNUMBER(SEARCH(Request!$N$19,G435)),MAX(F$1:$F434)+1,0)</f>
        <v>434</v>
      </c>
      <c r="G435" s="11" t="s">
        <v>4474</v>
      </c>
      <c r="H435" t="str">
        <f>IFERROR(VLOOKUP(ROWS($H$2:H435),F435:G1653,2,0),"")</f>
        <v>Grand Bahama FPO</v>
      </c>
    </row>
    <row r="436" spans="1:8" x14ac:dyDescent="0.25">
      <c r="A436">
        <f>IF(ISNUMBER(SEARCH(Request!$I$19,B436)),MAX($A$1:A435)+1,0)</f>
        <v>435</v>
      </c>
      <c r="B436" s="11" t="s">
        <v>4475</v>
      </c>
      <c r="D436" t="str">
        <f>IFERROR(VLOOKUP(ROWS($D$2:D436),A436:B1654,2,0),"")</f>
        <v>Grand Cayman-Owen Roberts Int´l GCM</v>
      </c>
      <c r="F436">
        <f>IF(ISNUMBER(SEARCH(Request!$N$19,G436)),MAX(F$1:$F435)+1,0)</f>
        <v>435</v>
      </c>
      <c r="G436" s="11" t="s">
        <v>4475</v>
      </c>
      <c r="H436" t="str">
        <f>IFERROR(VLOOKUP(ROWS($H$2:H436),F436:G1654,2,0),"")</f>
        <v>Grand Cayman-Owen Roberts Int´l GCM</v>
      </c>
    </row>
    <row r="437" spans="1:8" x14ac:dyDescent="0.25">
      <c r="A437">
        <f>IF(ISNUMBER(SEARCH(Request!$I$19,B437)),MAX($A$1:A436)+1,0)</f>
        <v>436</v>
      </c>
      <c r="B437" s="11" t="s">
        <v>4476</v>
      </c>
      <c r="D437" t="str">
        <f>IFERROR(VLOOKUP(ROWS($D$2:D437),A437:B1655,2,0),"")</f>
        <v>Grand Forks Int´l GFK</v>
      </c>
      <c r="F437">
        <f>IF(ISNUMBER(SEARCH(Request!$N$19,G437)),MAX(F$1:$F436)+1,0)</f>
        <v>436</v>
      </c>
      <c r="G437" s="11" t="s">
        <v>4476</v>
      </c>
      <c r="H437" t="str">
        <f>IFERROR(VLOOKUP(ROWS($H$2:H437),F437:G1655,2,0),"")</f>
        <v>Grand Forks Int´l GFK</v>
      </c>
    </row>
    <row r="438" spans="1:8" x14ac:dyDescent="0.25">
      <c r="A438">
        <f>IF(ISNUMBER(SEARCH(Request!$I$19,B438)),MAX($A$1:A437)+1,0)</f>
        <v>437</v>
      </c>
      <c r="B438" s="11" t="s">
        <v>4477</v>
      </c>
      <c r="D438" t="str">
        <f>IFERROR(VLOOKUP(ROWS($D$2:D438),A438:B1656,2,0),"")</f>
        <v>Grand Junction – Walker Field GJT</v>
      </c>
      <c r="F438">
        <f>IF(ISNUMBER(SEARCH(Request!$N$19,G438)),MAX(F$1:$F437)+1,0)</f>
        <v>437</v>
      </c>
      <c r="G438" s="11" t="s">
        <v>4477</v>
      </c>
      <c r="H438" t="str">
        <f>IFERROR(VLOOKUP(ROWS($H$2:H438),F438:G1656,2,0),"")</f>
        <v>Grand Junction – Walker Field GJT</v>
      </c>
    </row>
    <row r="439" spans="1:8" x14ac:dyDescent="0.25">
      <c r="A439">
        <f>IF(ISNUMBER(SEARCH(Request!$I$19,B439)),MAX($A$1:A438)+1,0)</f>
        <v>438</v>
      </c>
      <c r="B439" s="11" t="s">
        <v>4478</v>
      </c>
      <c r="D439" t="str">
        <f>IFERROR(VLOOKUP(ROWS($D$2:D439),A439:B1657,2,0),"")</f>
        <v>Grand Rapids/Kent County Int´l GPZ</v>
      </c>
      <c r="F439">
        <f>IF(ISNUMBER(SEARCH(Request!$N$19,G439)),MAX(F$1:$F438)+1,0)</f>
        <v>438</v>
      </c>
      <c r="G439" s="11" t="s">
        <v>4478</v>
      </c>
      <c r="H439" t="str">
        <f>IFERROR(VLOOKUP(ROWS($H$2:H439),F439:G1657,2,0),"")</f>
        <v>Grand Rapids/Kent County Int´l GPZ</v>
      </c>
    </row>
    <row r="440" spans="1:8" x14ac:dyDescent="0.25">
      <c r="A440">
        <f>IF(ISNUMBER(SEARCH(Request!$I$19,B440)),MAX($A$1:A439)+1,0)</f>
        <v>439</v>
      </c>
      <c r="B440" s="11" t="s">
        <v>4479</v>
      </c>
      <c r="D440" t="str">
        <f>IFERROR(VLOOKUP(ROWS($D$2:D440),A440:B1658,2,0),"")</f>
        <v>Grand Turk GDT</v>
      </c>
      <c r="F440">
        <f>IF(ISNUMBER(SEARCH(Request!$N$19,G440)),MAX(F$1:$F439)+1,0)</f>
        <v>439</v>
      </c>
      <c r="G440" s="11" t="s">
        <v>4479</v>
      </c>
      <c r="H440" t="str">
        <f>IFERROR(VLOOKUP(ROWS($H$2:H440),F440:G1658,2,0),"")</f>
        <v>Grand Turk GDT</v>
      </c>
    </row>
    <row r="441" spans="1:8" x14ac:dyDescent="0.25">
      <c r="A441">
        <f>IF(ISNUMBER(SEARCH(Request!$I$19,B441)),MAX($A$1:A440)+1,0)</f>
        <v>440</v>
      </c>
      <c r="B441" s="11" t="s">
        <v>4480</v>
      </c>
      <c r="D441" t="str">
        <f>IFERROR(VLOOKUP(ROWS($D$2:D441),A441:B1659,2,0),"")</f>
        <v>Grande Case – L´Esperance SFG</v>
      </c>
      <c r="F441">
        <f>IF(ISNUMBER(SEARCH(Request!$N$19,G441)),MAX(F$1:$F440)+1,0)</f>
        <v>440</v>
      </c>
      <c r="G441" s="11" t="s">
        <v>4480</v>
      </c>
      <c r="H441" t="str">
        <f>IFERROR(VLOOKUP(ROWS($H$2:H441),F441:G1659,2,0),"")</f>
        <v>Grande Case – L´Esperance SFG</v>
      </c>
    </row>
    <row r="442" spans="1:8" x14ac:dyDescent="0.25">
      <c r="A442">
        <f>IF(ISNUMBER(SEARCH(Request!$I$19,B442)),MAX($A$1:A441)+1,0)</f>
        <v>441</v>
      </c>
      <c r="B442" s="11" t="s">
        <v>4481</v>
      </c>
      <c r="D442" t="str">
        <f>IFERROR(VLOOKUP(ROWS($D$2:D442),A442:B1660,2,0),"")</f>
        <v>Grant County MWH</v>
      </c>
      <c r="F442">
        <f>IF(ISNUMBER(SEARCH(Request!$N$19,G442)),MAX(F$1:$F441)+1,0)</f>
        <v>441</v>
      </c>
      <c r="G442" s="11" t="s">
        <v>4481</v>
      </c>
      <c r="H442" t="str">
        <f>IFERROR(VLOOKUP(ROWS($H$2:H442),F442:G1660,2,0),"")</f>
        <v>Grant County MWH</v>
      </c>
    </row>
    <row r="443" spans="1:8" x14ac:dyDescent="0.25">
      <c r="A443">
        <f>IF(ISNUMBER(SEARCH(Request!$I$19,B443)),MAX($A$1:A442)+1,0)</f>
        <v>442</v>
      </c>
      <c r="B443" s="11" t="s">
        <v>4482</v>
      </c>
      <c r="D443" t="str">
        <f>IFERROR(VLOOKUP(ROWS($D$2:D443),A443:B1661,2,0),"")</f>
        <v>Grantley Adams Int´l BGI</v>
      </c>
      <c r="F443">
        <f>IF(ISNUMBER(SEARCH(Request!$N$19,G443)),MAX(F$1:$F442)+1,0)</f>
        <v>442</v>
      </c>
      <c r="G443" s="11" t="s">
        <v>4482</v>
      </c>
      <c r="H443" t="str">
        <f>IFERROR(VLOOKUP(ROWS($H$2:H443),F443:G1661,2,0),"")</f>
        <v>Grantley Adams Int´l BGI</v>
      </c>
    </row>
    <row r="444" spans="1:8" x14ac:dyDescent="0.25">
      <c r="A444">
        <f>IF(ISNUMBER(SEARCH(Request!$I$19,B444)),MAX($A$1:A443)+1,0)</f>
        <v>443</v>
      </c>
      <c r="B444" s="11" t="s">
        <v>4483</v>
      </c>
      <c r="D444" t="str">
        <f>IFERROR(VLOOKUP(ROWS($D$2:D444),A444:B1662,2,0),"")</f>
        <v>Graz GRZ</v>
      </c>
      <c r="F444">
        <f>IF(ISNUMBER(SEARCH(Request!$N$19,G444)),MAX(F$1:$F443)+1,0)</f>
        <v>443</v>
      </c>
      <c r="G444" s="11" t="s">
        <v>4483</v>
      </c>
      <c r="H444" t="str">
        <f>IFERROR(VLOOKUP(ROWS($H$2:H444),F444:G1662,2,0),"")</f>
        <v>Graz GRZ</v>
      </c>
    </row>
    <row r="445" spans="1:8" x14ac:dyDescent="0.25">
      <c r="A445">
        <f>IF(ISNUMBER(SEARCH(Request!$I$19,B445)),MAX($A$1:A444)+1,0)</f>
        <v>444</v>
      </c>
      <c r="B445" s="11" t="s">
        <v>4484</v>
      </c>
      <c r="D445" t="str">
        <f>IFERROR(VLOOKUP(ROWS($D$2:D445),A445:B1663,2,0),"")</f>
        <v>Great Falls GTF</v>
      </c>
      <c r="F445">
        <f>IF(ISNUMBER(SEARCH(Request!$N$19,G445)),MAX(F$1:$F444)+1,0)</f>
        <v>444</v>
      </c>
      <c r="G445" s="11" t="s">
        <v>4484</v>
      </c>
      <c r="H445" t="str">
        <f>IFERROR(VLOOKUP(ROWS($H$2:H445),F445:G1663,2,0),"")</f>
        <v>Great Falls GTF</v>
      </c>
    </row>
    <row r="446" spans="1:8" x14ac:dyDescent="0.25">
      <c r="A446">
        <f>IF(ISNUMBER(SEARCH(Request!$I$19,B446)),MAX($A$1:A445)+1,0)</f>
        <v>445</v>
      </c>
      <c r="B446" s="11" t="s">
        <v>4485</v>
      </c>
      <c r="D446" t="str">
        <f>IFERROR(VLOOKUP(ROWS($D$2:D446),A446:B1664,2,0),"")</f>
        <v>Greater Los Angeles/March GlobalPort RIV</v>
      </c>
      <c r="F446">
        <f>IF(ISNUMBER(SEARCH(Request!$N$19,G446)),MAX(F$1:$F445)+1,0)</f>
        <v>445</v>
      </c>
      <c r="G446" s="11" t="s">
        <v>4485</v>
      </c>
      <c r="H446" t="str">
        <f>IFERROR(VLOOKUP(ROWS($H$2:H446),F446:G1664,2,0),"")</f>
        <v>Greater Los Angeles/March GlobalPort RIV</v>
      </c>
    </row>
    <row r="447" spans="1:8" x14ac:dyDescent="0.25">
      <c r="A447">
        <f>IF(ISNUMBER(SEARCH(Request!$I$19,B447)),MAX($A$1:A446)+1,0)</f>
        <v>446</v>
      </c>
      <c r="B447" s="11" t="s">
        <v>4486</v>
      </c>
      <c r="D447" t="str">
        <f>IFERROR(VLOOKUP(ROWS($D$2:D447),A447:B1665,2,0),"")</f>
        <v>Greater Rochester Int´l ROC</v>
      </c>
      <c r="F447">
        <f>IF(ISNUMBER(SEARCH(Request!$N$19,G447)),MAX(F$1:$F446)+1,0)</f>
        <v>446</v>
      </c>
      <c r="G447" s="11" t="s">
        <v>4486</v>
      </c>
      <c r="H447" t="str">
        <f>IFERROR(VLOOKUP(ROWS($H$2:H447),F447:G1665,2,0),"")</f>
        <v>Greater Rochester Int´l ROC</v>
      </c>
    </row>
    <row r="448" spans="1:8" x14ac:dyDescent="0.25">
      <c r="A448">
        <f>IF(ISNUMBER(SEARCH(Request!$I$19,B448)),MAX($A$1:A447)+1,0)</f>
        <v>447</v>
      </c>
      <c r="B448" s="11" t="s">
        <v>4487</v>
      </c>
      <c r="D448" t="str">
        <f>IFERROR(VLOOKUP(ROWS($D$2:D448),A448:B1666,2,0),"")</f>
        <v>Greenville Spartanburg GSP</v>
      </c>
      <c r="F448">
        <f>IF(ISNUMBER(SEARCH(Request!$N$19,G448)),MAX(F$1:$F447)+1,0)</f>
        <v>447</v>
      </c>
      <c r="G448" s="11" t="s">
        <v>4487</v>
      </c>
      <c r="H448" t="str">
        <f>IFERROR(VLOOKUP(ROWS($H$2:H448),F448:G1666,2,0),"")</f>
        <v>Greenville Spartanburg GSP</v>
      </c>
    </row>
    <row r="449" spans="1:8" x14ac:dyDescent="0.25">
      <c r="A449">
        <f>IF(ISNUMBER(SEARCH(Request!$I$19,B449)),MAX($A$1:A448)+1,0)</f>
        <v>448</v>
      </c>
      <c r="B449" s="11" t="s">
        <v>4488</v>
      </c>
      <c r="D449" t="str">
        <f>IFERROR(VLOOKUP(ROWS($D$2:D449),A449:B1667,2,0),"")</f>
        <v>Grenada-Point Salines Int´l GND</v>
      </c>
      <c r="F449">
        <f>IF(ISNUMBER(SEARCH(Request!$N$19,G449)),MAX(F$1:$F448)+1,0)</f>
        <v>448</v>
      </c>
      <c r="G449" s="11" t="s">
        <v>4488</v>
      </c>
      <c r="H449" t="str">
        <f>IFERROR(VLOOKUP(ROWS($H$2:H449),F449:G1667,2,0),"")</f>
        <v>Grenada-Point Salines Int´l GND</v>
      </c>
    </row>
    <row r="450" spans="1:8" x14ac:dyDescent="0.25">
      <c r="A450">
        <f>IF(ISNUMBER(SEARCH(Request!$I$19,B450)),MAX($A$1:A449)+1,0)</f>
        <v>449</v>
      </c>
      <c r="B450" s="11" t="s">
        <v>4489</v>
      </c>
      <c r="D450" t="str">
        <f>IFERROR(VLOOKUP(ROWS($D$2:D450),A450:B1668,2,0),"")</f>
        <v>Grenoble/Saint-Geoirs GNB</v>
      </c>
      <c r="F450">
        <f>IF(ISNUMBER(SEARCH(Request!$N$19,G450)),MAX(F$1:$F449)+1,0)</f>
        <v>449</v>
      </c>
      <c r="G450" s="11" t="s">
        <v>4489</v>
      </c>
      <c r="H450" t="str">
        <f>IFERROR(VLOOKUP(ROWS($H$2:H450),F450:G1668,2,0),"")</f>
        <v>Grenoble/Saint-Geoirs GNB</v>
      </c>
    </row>
    <row r="451" spans="1:8" x14ac:dyDescent="0.25">
      <c r="A451">
        <f>IF(ISNUMBER(SEARCH(Request!$I$19,B451)),MAX($A$1:A450)+1,0)</f>
        <v>450</v>
      </c>
      <c r="B451" s="11" t="s">
        <v>4490</v>
      </c>
      <c r="D451" t="str">
        <f>IFERROR(VLOOKUP(ROWS($D$2:D451),A451:B1669,2,0),"")</f>
        <v>Groningen Eelde GRQ</v>
      </c>
      <c r="F451">
        <f>IF(ISNUMBER(SEARCH(Request!$N$19,G451)),MAX(F$1:$F450)+1,0)</f>
        <v>450</v>
      </c>
      <c r="G451" s="11" t="s">
        <v>4490</v>
      </c>
      <c r="H451" t="str">
        <f>IFERROR(VLOOKUP(ROWS($H$2:H451),F451:G1669,2,0),"")</f>
        <v>Groningen Eelde GRQ</v>
      </c>
    </row>
    <row r="452" spans="1:8" x14ac:dyDescent="0.25">
      <c r="A452">
        <f>IF(ISNUMBER(SEARCH(Request!$I$19,B452)),MAX($A$1:A451)+1,0)</f>
        <v>451</v>
      </c>
      <c r="B452" s="11" t="s">
        <v>4491</v>
      </c>
      <c r="D452" t="str">
        <f>IFERROR(VLOOKUP(ROWS($D$2:D452),A452:B1670,2,0),"")</f>
        <v>Guadalajarra-Don Miguel Hidalgo GDL</v>
      </c>
      <c r="F452">
        <f>IF(ISNUMBER(SEARCH(Request!$N$19,G452)),MAX(F$1:$F451)+1,0)</f>
        <v>451</v>
      </c>
      <c r="G452" s="11" t="s">
        <v>4491</v>
      </c>
      <c r="H452" t="str">
        <f>IFERROR(VLOOKUP(ROWS($H$2:H452),F452:G1670,2,0),"")</f>
        <v>Guadalajarra-Don Miguel Hidalgo GDL</v>
      </c>
    </row>
    <row r="453" spans="1:8" x14ac:dyDescent="0.25">
      <c r="A453">
        <f>IF(ISNUMBER(SEARCH(Request!$I$19,B453)),MAX($A$1:A452)+1,0)</f>
        <v>452</v>
      </c>
      <c r="B453" s="11" t="s">
        <v>4492</v>
      </c>
      <c r="D453" t="str">
        <f>IFERROR(VLOOKUP(ROWS($D$2:D453),A453:B1671,2,0),"")</f>
        <v>Guam-Antonio BWon Pat Int´l GUM</v>
      </c>
      <c r="F453">
        <f>IF(ISNUMBER(SEARCH(Request!$N$19,G453)),MAX(F$1:$F452)+1,0)</f>
        <v>452</v>
      </c>
      <c r="G453" s="11" t="s">
        <v>4492</v>
      </c>
      <c r="H453" t="str">
        <f>IFERROR(VLOOKUP(ROWS($H$2:H453),F453:G1671,2,0),"")</f>
        <v>Guam-Antonio BWon Pat Int´l GUM</v>
      </c>
    </row>
    <row r="454" spans="1:8" x14ac:dyDescent="0.25">
      <c r="A454">
        <f>IF(ISNUMBER(SEARCH(Request!$I$19,B454)),MAX($A$1:A453)+1,0)</f>
        <v>453</v>
      </c>
      <c r="B454" s="11" t="s">
        <v>4493</v>
      </c>
      <c r="D454" t="str">
        <f>IFERROR(VLOOKUP(ROWS($D$2:D454),A454:B1672,2,0),"")</f>
        <v>Guangzhou Baiyun CAN</v>
      </c>
      <c r="F454">
        <f>IF(ISNUMBER(SEARCH(Request!$N$19,G454)),MAX(F$1:$F453)+1,0)</f>
        <v>453</v>
      </c>
      <c r="G454" s="11" t="s">
        <v>4493</v>
      </c>
      <c r="H454" t="str">
        <f>IFERROR(VLOOKUP(ROWS($H$2:H454),F454:G1672,2,0),"")</f>
        <v>Guangzhou Baiyun CAN</v>
      </c>
    </row>
    <row r="455" spans="1:8" x14ac:dyDescent="0.25">
      <c r="A455">
        <f>IF(ISNUMBER(SEARCH(Request!$I$19,B455)),MAX($A$1:A454)+1,0)</f>
        <v>454</v>
      </c>
      <c r="B455" s="11" t="s">
        <v>4494</v>
      </c>
      <c r="D455" t="str">
        <f>IFERROR(VLOOKUP(ROWS($D$2:D455),A455:B1673,2,0),"")</f>
        <v>Guatemala City – La Aurora GUA</v>
      </c>
      <c r="F455">
        <f>IF(ISNUMBER(SEARCH(Request!$N$19,G455)),MAX(F$1:$F454)+1,0)</f>
        <v>454</v>
      </c>
      <c r="G455" s="11" t="s">
        <v>4494</v>
      </c>
      <c r="H455" t="str">
        <f>IFERROR(VLOOKUP(ROWS($H$2:H455),F455:G1673,2,0),"")</f>
        <v>Guatemala City – La Aurora GUA</v>
      </c>
    </row>
    <row r="456" spans="1:8" x14ac:dyDescent="0.25">
      <c r="A456">
        <f>IF(ISNUMBER(SEARCH(Request!$I$19,B456)),MAX($A$1:A455)+1,0)</f>
        <v>455</v>
      </c>
      <c r="B456" s="11" t="s">
        <v>4495</v>
      </c>
      <c r="D456" t="str">
        <f>IFERROR(VLOOKUP(ROWS($D$2:D456),A456:B1674,2,0),"")</f>
        <v>Guayaquil-Simon Bolivar GYE</v>
      </c>
      <c r="F456">
        <f>IF(ISNUMBER(SEARCH(Request!$N$19,G456)),MAX(F$1:$F455)+1,0)</f>
        <v>455</v>
      </c>
      <c r="G456" s="11" t="s">
        <v>4495</v>
      </c>
      <c r="H456" t="str">
        <f>IFERROR(VLOOKUP(ROWS($H$2:H456),F456:G1674,2,0),"")</f>
        <v>Guayaquil-Simon Bolivar GYE</v>
      </c>
    </row>
    <row r="457" spans="1:8" x14ac:dyDescent="0.25">
      <c r="A457">
        <f>IF(ISNUMBER(SEARCH(Request!$I$19,B457)),MAX($A$1:A456)+1,0)</f>
        <v>456</v>
      </c>
      <c r="B457" s="11" t="s">
        <v>4496</v>
      </c>
      <c r="D457" t="str">
        <f>IFERROR(VLOOKUP(ROWS($D$2:D457),A457:B1675,2,0),"")</f>
        <v>Guaymas – General Jose Maria Yanez Intl GYM</v>
      </c>
      <c r="F457">
        <f>IF(ISNUMBER(SEARCH(Request!$N$19,G457)),MAX(F$1:$F456)+1,0)</f>
        <v>456</v>
      </c>
      <c r="G457" s="11" t="s">
        <v>4496</v>
      </c>
      <c r="H457" t="str">
        <f>IFERROR(VLOOKUP(ROWS($H$2:H457),F457:G1675,2,0),"")</f>
        <v>Guaymas – General Jose Maria Yanez Intl GYM</v>
      </c>
    </row>
    <row r="458" spans="1:8" x14ac:dyDescent="0.25">
      <c r="A458">
        <f>IF(ISNUMBER(SEARCH(Request!$I$19,B458)),MAX($A$1:A457)+1,0)</f>
        <v>457</v>
      </c>
      <c r="B458" s="11" t="s">
        <v>4497</v>
      </c>
      <c r="D458" t="str">
        <f>IFERROR(VLOOKUP(ROWS($D$2:D458),A458:B1676,2,0),"")</f>
        <v>Gulfport – Biloxi GPT</v>
      </c>
      <c r="F458">
        <f>IF(ISNUMBER(SEARCH(Request!$N$19,G458)),MAX(F$1:$F457)+1,0)</f>
        <v>457</v>
      </c>
      <c r="G458" s="11" t="s">
        <v>4497</v>
      </c>
      <c r="H458" t="str">
        <f>IFERROR(VLOOKUP(ROWS($H$2:H458),F458:G1676,2,0),"")</f>
        <v>Gulfport – Biloxi GPT</v>
      </c>
    </row>
    <row r="459" spans="1:8" x14ac:dyDescent="0.25">
      <c r="A459">
        <f>IF(ISNUMBER(SEARCH(Request!$I$19,B459)),MAX($A$1:A458)+1,0)</f>
        <v>458</v>
      </c>
      <c r="B459" s="11" t="s">
        <v>4500</v>
      </c>
      <c r="D459" t="str">
        <f>IFERROR(VLOOKUP(ROWS($D$2:D459),A459:B1677,2,0),"")</f>
        <v>Hagerstown Regional HGR</v>
      </c>
      <c r="F459">
        <f>IF(ISNUMBER(SEARCH(Request!$N$19,G459)),MAX(F$1:$F458)+1,0)</f>
        <v>458</v>
      </c>
      <c r="G459" s="11" t="s">
        <v>4500</v>
      </c>
      <c r="H459" t="str">
        <f>IFERROR(VLOOKUP(ROWS($H$2:H459),F459:G1677,2,0),"")</f>
        <v>Hagerstown Regional HGR</v>
      </c>
    </row>
    <row r="460" spans="1:8" x14ac:dyDescent="0.25">
      <c r="A460">
        <f>IF(ISNUMBER(SEARCH(Request!$I$19,B460)),MAX($A$1:A459)+1,0)</f>
        <v>459</v>
      </c>
      <c r="B460" s="11" t="s">
        <v>4501</v>
      </c>
      <c r="D460" t="str">
        <f>IFERROR(VLOOKUP(ROWS($D$2:D460),A460:B1678,2,0),"")</f>
        <v>Haifa – U Michaeli HFA</v>
      </c>
      <c r="F460">
        <f>IF(ISNUMBER(SEARCH(Request!$N$19,G460)),MAX(F$1:$F459)+1,0)</f>
        <v>459</v>
      </c>
      <c r="G460" s="11" t="s">
        <v>4501</v>
      </c>
      <c r="H460" t="str">
        <f>IFERROR(VLOOKUP(ROWS($H$2:H460),F460:G1678,2,0),"")</f>
        <v>Haifa – U Michaeli HFA</v>
      </c>
    </row>
    <row r="461" spans="1:8" x14ac:dyDescent="0.25">
      <c r="A461">
        <f>IF(ISNUMBER(SEARCH(Request!$I$19,B461)),MAX($A$1:A460)+1,0)</f>
        <v>460</v>
      </c>
      <c r="B461" s="11" t="s">
        <v>4502</v>
      </c>
      <c r="D461" t="str">
        <f>IFERROR(VLOOKUP(ROWS($D$2:D461),A461:B1679,2,0),"")</f>
        <v>Halifax Stanfield YHZ</v>
      </c>
      <c r="F461">
        <f>IF(ISNUMBER(SEARCH(Request!$N$19,G461)),MAX(F$1:$F460)+1,0)</f>
        <v>460</v>
      </c>
      <c r="G461" s="11" t="s">
        <v>4502</v>
      </c>
      <c r="H461" t="str">
        <f>IFERROR(VLOOKUP(ROWS($H$2:H461),F461:G1679,2,0),"")</f>
        <v>Halifax Stanfield YHZ</v>
      </c>
    </row>
    <row r="462" spans="1:8" x14ac:dyDescent="0.25">
      <c r="A462">
        <f>IF(ISNUMBER(SEARCH(Request!$I$19,B462)),MAX($A$1:A461)+1,0)</f>
        <v>461</v>
      </c>
      <c r="B462" s="11" t="s">
        <v>4503</v>
      </c>
      <c r="D462" t="str">
        <f>IFERROR(VLOOKUP(ROWS($D$2:D462),A462:B1680,2,0),"")</f>
        <v>Hamburg HAM</v>
      </c>
      <c r="F462">
        <f>IF(ISNUMBER(SEARCH(Request!$N$19,G462)),MAX(F$1:$F461)+1,0)</f>
        <v>461</v>
      </c>
      <c r="G462" s="11" t="s">
        <v>4503</v>
      </c>
      <c r="H462" t="str">
        <f>IFERROR(VLOOKUP(ROWS($H$2:H462),F462:G1680,2,0),"")</f>
        <v>Hamburg HAM</v>
      </c>
    </row>
    <row r="463" spans="1:8" x14ac:dyDescent="0.25">
      <c r="A463">
        <f>IF(ISNUMBER(SEARCH(Request!$I$19,B463)),MAX($A$1:A462)+1,0)</f>
        <v>462</v>
      </c>
      <c r="B463" s="11" t="s">
        <v>4504</v>
      </c>
      <c r="D463" t="str">
        <f>IFERROR(VLOOKUP(ROWS($D$2:D463),A463:B1681,2,0),"")</f>
        <v>Hamilton YHM</v>
      </c>
      <c r="F463">
        <f>IF(ISNUMBER(SEARCH(Request!$N$19,G463)),MAX(F$1:$F462)+1,0)</f>
        <v>462</v>
      </c>
      <c r="G463" s="11" t="s">
        <v>4504</v>
      </c>
      <c r="H463" t="str">
        <f>IFERROR(VLOOKUP(ROWS($H$2:H463),F463:G1681,2,0),"")</f>
        <v>Hamilton YHM</v>
      </c>
    </row>
    <row r="464" spans="1:8" x14ac:dyDescent="0.25">
      <c r="A464">
        <f>IF(ISNUMBER(SEARCH(Request!$I$19,B464)),MAX($A$1:A463)+1,0)</f>
        <v>463</v>
      </c>
      <c r="B464" s="11" t="s">
        <v>4505</v>
      </c>
      <c r="D464" t="str">
        <f>IFERROR(VLOOKUP(ROWS($D$2:D464),A464:B1682,2,0),"")</f>
        <v>Hannover HAJ</v>
      </c>
      <c r="F464">
        <f>IF(ISNUMBER(SEARCH(Request!$N$19,G464)),MAX(F$1:$F463)+1,0)</f>
        <v>463</v>
      </c>
      <c r="G464" s="11" t="s">
        <v>4505</v>
      </c>
      <c r="H464" t="str">
        <f>IFERROR(VLOOKUP(ROWS($H$2:H464),F464:G1682,2,0),"")</f>
        <v>Hannover HAJ</v>
      </c>
    </row>
    <row r="465" spans="1:8" x14ac:dyDescent="0.25">
      <c r="A465">
        <f>IF(ISNUMBER(SEARCH(Request!$I$19,B465)),MAX($A$1:A464)+1,0)</f>
        <v>464</v>
      </c>
      <c r="B465" s="11" t="s">
        <v>4506</v>
      </c>
      <c r="D465" t="str">
        <f>IFERROR(VLOOKUP(ROWS($D$2:D465),A465:B1683,2,0),"")</f>
        <v>Hanoi – Noi Bai HAN</v>
      </c>
      <c r="F465">
        <f>IF(ISNUMBER(SEARCH(Request!$N$19,G465)),MAX(F$1:$F464)+1,0)</f>
        <v>464</v>
      </c>
      <c r="G465" s="11" t="s">
        <v>4506</v>
      </c>
      <c r="H465" t="str">
        <f>IFERROR(VLOOKUP(ROWS($H$2:H465),F465:G1683,2,0),"")</f>
        <v>Hanoi – Noi Bai HAN</v>
      </c>
    </row>
    <row r="466" spans="1:8" x14ac:dyDescent="0.25">
      <c r="A466">
        <f>IF(ISNUMBER(SEARCH(Request!$I$19,B466)),MAX($A$1:A465)+1,0)</f>
        <v>465</v>
      </c>
      <c r="B466" s="11" t="s">
        <v>4507</v>
      </c>
      <c r="D466" t="str">
        <f>IFERROR(VLOOKUP(ROWS($D$2:D466),A466:B1684,2,0),"")</f>
        <v>Harare HRE</v>
      </c>
      <c r="F466">
        <f>IF(ISNUMBER(SEARCH(Request!$N$19,G466)),MAX(F$1:$F465)+1,0)</f>
        <v>465</v>
      </c>
      <c r="G466" s="11" t="s">
        <v>4507</v>
      </c>
      <c r="H466" t="str">
        <f>IFERROR(VLOOKUP(ROWS($H$2:H466),F466:G1684,2,0),"")</f>
        <v>Harare HRE</v>
      </c>
    </row>
    <row r="467" spans="1:8" x14ac:dyDescent="0.25">
      <c r="A467">
        <f>IF(ISNUMBER(SEARCH(Request!$I$19,B467)),MAX($A$1:A466)+1,0)</f>
        <v>466</v>
      </c>
      <c r="B467" s="11" t="s">
        <v>4508</v>
      </c>
      <c r="D467" t="str">
        <f>IFERROR(VLOOKUP(ROWS($D$2:D467),A467:B1685,2,0),"")</f>
        <v>Harbin – Taiping HRB</v>
      </c>
      <c r="F467">
        <f>IF(ISNUMBER(SEARCH(Request!$N$19,G467)),MAX(F$1:$F466)+1,0)</f>
        <v>466</v>
      </c>
      <c r="G467" s="11" t="s">
        <v>4508</v>
      </c>
      <c r="H467" t="str">
        <f>IFERROR(VLOOKUP(ROWS($H$2:H467),F467:G1685,2,0),"")</f>
        <v>Harbin – Taiping HRB</v>
      </c>
    </row>
    <row r="468" spans="1:8" x14ac:dyDescent="0.25">
      <c r="A468">
        <f>IF(ISNUMBER(SEARCH(Request!$I$19,B468)),MAX($A$1:A467)+1,0)</f>
        <v>467</v>
      </c>
      <c r="B468" s="11" t="s">
        <v>4509</v>
      </c>
      <c r="D468" t="str">
        <f>IFERROR(VLOOKUP(ROWS($D$2:D468),A468:B1686,2,0),"")</f>
        <v>Harrisburg HAR</v>
      </c>
      <c r="F468">
        <f>IF(ISNUMBER(SEARCH(Request!$N$19,G468)),MAX(F$1:$F467)+1,0)</f>
        <v>467</v>
      </c>
      <c r="G468" s="11" t="s">
        <v>4509</v>
      </c>
      <c r="H468" t="str">
        <f>IFERROR(VLOOKUP(ROWS($H$2:H468),F468:G1686,2,0),"")</f>
        <v>Harrisburg HAR</v>
      </c>
    </row>
    <row r="469" spans="1:8" x14ac:dyDescent="0.25">
      <c r="A469">
        <f>IF(ISNUMBER(SEARCH(Request!$I$19,B469)),MAX($A$1:A468)+1,0)</f>
        <v>468</v>
      </c>
      <c r="B469" s="11" t="s">
        <v>4510</v>
      </c>
      <c r="D469" t="str">
        <f>IFERROR(VLOOKUP(ROWS($D$2:D469),A469:B1687,2,0),"")</f>
        <v>Harstad/Narvik – Evenes EVE</v>
      </c>
      <c r="F469">
        <f>IF(ISNUMBER(SEARCH(Request!$N$19,G469)),MAX(F$1:$F468)+1,0)</f>
        <v>468</v>
      </c>
      <c r="G469" s="11" t="s">
        <v>4510</v>
      </c>
      <c r="H469" t="str">
        <f>IFERROR(VLOOKUP(ROWS($H$2:H469),F469:G1687,2,0),"")</f>
        <v>Harstad/Narvik – Evenes EVE</v>
      </c>
    </row>
    <row r="470" spans="1:8" x14ac:dyDescent="0.25">
      <c r="A470">
        <f>IF(ISNUMBER(SEARCH(Request!$I$19,B470)),MAX($A$1:A469)+1,0)</f>
        <v>469</v>
      </c>
      <c r="B470" s="11" t="s">
        <v>4511</v>
      </c>
      <c r="D470" t="str">
        <f>IFERROR(VLOOKUP(ROWS($D$2:D470),A470:B1688,2,0),"")</f>
        <v>Hartford – Springfield – Bradley BDL</v>
      </c>
      <c r="F470">
        <f>IF(ISNUMBER(SEARCH(Request!$N$19,G470)),MAX(F$1:$F469)+1,0)</f>
        <v>469</v>
      </c>
      <c r="G470" s="11" t="s">
        <v>4511</v>
      </c>
      <c r="H470" t="str">
        <f>IFERROR(VLOOKUP(ROWS($H$2:H470),F470:G1688,2,0),"")</f>
        <v>Hartford – Springfield – Bradley BDL</v>
      </c>
    </row>
    <row r="471" spans="1:8" x14ac:dyDescent="0.25">
      <c r="A471">
        <f>IF(ISNUMBER(SEARCH(Request!$I$19,B471)),MAX($A$1:A470)+1,0)</f>
        <v>470</v>
      </c>
      <c r="B471" s="11" t="s">
        <v>4512</v>
      </c>
      <c r="D471" t="str">
        <f>IFERROR(VLOOKUP(ROWS($D$2:D471),A471:B1689,2,0),"")</f>
        <v>Hastings Municipal HSI</v>
      </c>
      <c r="F471">
        <f>IF(ISNUMBER(SEARCH(Request!$N$19,G471)),MAX(F$1:$F470)+1,0)</f>
        <v>470</v>
      </c>
      <c r="G471" s="11" t="s">
        <v>4512</v>
      </c>
      <c r="H471" t="str">
        <f>IFERROR(VLOOKUP(ROWS($H$2:H471),F471:G1689,2,0),"")</f>
        <v>Hastings Municipal HSI</v>
      </c>
    </row>
    <row r="472" spans="1:8" x14ac:dyDescent="0.25">
      <c r="A472">
        <f>IF(ISNUMBER(SEARCH(Request!$I$19,B472)),MAX($A$1:A471)+1,0)</f>
        <v>471</v>
      </c>
      <c r="B472" s="11" t="s">
        <v>4513</v>
      </c>
      <c r="D472" t="str">
        <f>IFERROR(VLOOKUP(ROWS($D$2:D472),A472:B1690,2,0),"")</f>
        <v>Hat Yai Int´l HDY</v>
      </c>
      <c r="F472">
        <f>IF(ISNUMBER(SEARCH(Request!$N$19,G472)),MAX(F$1:$F471)+1,0)</f>
        <v>471</v>
      </c>
      <c r="G472" s="11" t="s">
        <v>4513</v>
      </c>
      <c r="H472" t="str">
        <f>IFERROR(VLOOKUP(ROWS($H$2:H472),F472:G1690,2,0),"")</f>
        <v>Hat Yai Int´l HDY</v>
      </c>
    </row>
    <row r="473" spans="1:8" x14ac:dyDescent="0.25">
      <c r="A473">
        <f>IF(ISNUMBER(SEARCH(Request!$I$19,B473)),MAX($A$1:A472)+1,0)</f>
        <v>472</v>
      </c>
      <c r="B473" s="11" t="s">
        <v>4514</v>
      </c>
      <c r="D473" t="str">
        <f>IFERROR(VLOOKUP(ROWS($D$2:D473),A473:B1691,2,0),"")</f>
        <v>Haugesund HAU</v>
      </c>
      <c r="F473">
        <f>IF(ISNUMBER(SEARCH(Request!$N$19,G473)),MAX(F$1:$F472)+1,0)</f>
        <v>472</v>
      </c>
      <c r="G473" s="11" t="s">
        <v>4514</v>
      </c>
      <c r="H473" t="str">
        <f>IFERROR(VLOOKUP(ROWS($H$2:H473),F473:G1691,2,0),"")</f>
        <v>Haugesund HAU</v>
      </c>
    </row>
    <row r="474" spans="1:8" x14ac:dyDescent="0.25">
      <c r="A474">
        <f>IF(ISNUMBER(SEARCH(Request!$I$19,B474)),MAX($A$1:A473)+1,0)</f>
        <v>473</v>
      </c>
      <c r="B474" s="11" t="s">
        <v>4515</v>
      </c>
      <c r="D474" t="str">
        <f>IFERROR(VLOOKUP(ROWS($D$2:D474),A474:B1692,2,0),"")</f>
        <v>Haverfordwest HAW</v>
      </c>
      <c r="F474">
        <f>IF(ISNUMBER(SEARCH(Request!$N$19,G474)),MAX(F$1:$F473)+1,0)</f>
        <v>473</v>
      </c>
      <c r="G474" s="11" t="s">
        <v>4515</v>
      </c>
      <c r="H474" t="str">
        <f>IFERROR(VLOOKUP(ROWS($H$2:H474),F474:G1692,2,0),"")</f>
        <v>Haverfordwest HAW</v>
      </c>
    </row>
    <row r="475" spans="1:8" x14ac:dyDescent="0.25">
      <c r="A475">
        <f>IF(ISNUMBER(SEARCH(Request!$I$19,B475)),MAX($A$1:A474)+1,0)</f>
        <v>474</v>
      </c>
      <c r="B475" s="11" t="s">
        <v>4516</v>
      </c>
      <c r="D475" t="str">
        <f>IFERROR(VLOOKUP(ROWS($D$2:D475),A475:B1693,2,0),"")</f>
        <v>Helsinki – Malmi HEM</v>
      </c>
      <c r="F475">
        <f>IF(ISNUMBER(SEARCH(Request!$N$19,G475)),MAX(F$1:$F474)+1,0)</f>
        <v>474</v>
      </c>
      <c r="G475" s="11" t="s">
        <v>4516</v>
      </c>
      <c r="H475" t="str">
        <f>IFERROR(VLOOKUP(ROWS($H$2:H475),F475:G1693,2,0),"")</f>
        <v>Helsinki – Malmi HEM</v>
      </c>
    </row>
    <row r="476" spans="1:8" x14ac:dyDescent="0.25">
      <c r="A476">
        <f>IF(ISNUMBER(SEARCH(Request!$I$19,B476)),MAX($A$1:A475)+1,0)</f>
        <v>475</v>
      </c>
      <c r="B476" s="11" t="s">
        <v>4517</v>
      </c>
      <c r="D476" t="str">
        <f>IFERROR(VLOOKUP(ROWS($D$2:D476),A476:B1694,2,0),"")</f>
        <v>Helsinki – Vantaa HEL</v>
      </c>
      <c r="F476">
        <f>IF(ISNUMBER(SEARCH(Request!$N$19,G476)),MAX(F$1:$F475)+1,0)</f>
        <v>475</v>
      </c>
      <c r="G476" s="11" t="s">
        <v>4517</v>
      </c>
      <c r="H476" t="str">
        <f>IFERROR(VLOOKUP(ROWS($H$2:H476),F476:G1694,2,0),"")</f>
        <v>Helsinki – Vantaa HEL</v>
      </c>
    </row>
    <row r="477" spans="1:8" x14ac:dyDescent="0.25">
      <c r="A477">
        <f>IF(ISNUMBER(SEARCH(Request!$I$19,B477)),MAX($A$1:A476)+1,0)</f>
        <v>476</v>
      </c>
      <c r="B477" s="11" t="s">
        <v>4518</v>
      </c>
      <c r="D477" t="str">
        <f>IFERROR(VLOOKUP(ROWS($D$2:D477),A477:B1695,2,0),"")</f>
        <v>Henderson HIR</v>
      </c>
      <c r="F477">
        <f>IF(ISNUMBER(SEARCH(Request!$N$19,G477)),MAX(F$1:$F476)+1,0)</f>
        <v>476</v>
      </c>
      <c r="G477" s="11" t="s">
        <v>4518</v>
      </c>
      <c r="H477" t="str">
        <f>IFERROR(VLOOKUP(ROWS($H$2:H477),F477:G1695,2,0),"")</f>
        <v>Henderson HIR</v>
      </c>
    </row>
    <row r="478" spans="1:8" x14ac:dyDescent="0.25">
      <c r="A478">
        <f>IF(ISNUMBER(SEARCH(Request!$I$19,B478)),MAX($A$1:A477)+1,0)</f>
        <v>477</v>
      </c>
      <c r="B478" s="11" t="s">
        <v>4519</v>
      </c>
      <c r="D478" t="str">
        <f>IFERROR(VLOOKUP(ROWS($D$2:D478),A478:B1696,2,0),"")</f>
        <v>Heraklion – Nikos Kazantzakis HER</v>
      </c>
      <c r="F478">
        <f>IF(ISNUMBER(SEARCH(Request!$N$19,G478)),MAX(F$1:$F477)+1,0)</f>
        <v>477</v>
      </c>
      <c r="G478" s="11" t="s">
        <v>4519</v>
      </c>
      <c r="H478" t="str">
        <f>IFERROR(VLOOKUP(ROWS($H$2:H478),F478:G1696,2,0),"")</f>
        <v>Heraklion – Nikos Kazantzakis HER</v>
      </c>
    </row>
    <row r="479" spans="1:8" x14ac:dyDescent="0.25">
      <c r="A479">
        <f>IF(ISNUMBER(SEARCH(Request!$I$19,B479)),MAX($A$1:A478)+1,0)</f>
        <v>478</v>
      </c>
      <c r="B479" s="11" t="s">
        <v>4520</v>
      </c>
      <c r="D479" t="str">
        <f>IFERROR(VLOOKUP(ROWS($D$2:D479),A479:B1697,2,0),"")</f>
        <v>Hickory Regional HKY</v>
      </c>
      <c r="F479">
        <f>IF(ISNUMBER(SEARCH(Request!$N$19,G479)),MAX(F$1:$F478)+1,0)</f>
        <v>478</v>
      </c>
      <c r="G479" s="11" t="s">
        <v>4520</v>
      </c>
      <c r="H479" t="str">
        <f>IFERROR(VLOOKUP(ROWS($H$2:H479),F479:G1697,2,0),"")</f>
        <v>Hickory Regional HKY</v>
      </c>
    </row>
    <row r="480" spans="1:8" x14ac:dyDescent="0.25">
      <c r="A480">
        <f>IF(ISNUMBER(SEARCH(Request!$I$19,B480)),MAX($A$1:A479)+1,0)</f>
        <v>479</v>
      </c>
      <c r="B480" s="11" t="s">
        <v>4521</v>
      </c>
      <c r="D480" t="str">
        <f>IFERROR(VLOOKUP(ROWS($D$2:D480),A480:B1698,2,0),"")</f>
        <v>Hierro VDE</v>
      </c>
      <c r="F480">
        <f>IF(ISNUMBER(SEARCH(Request!$N$19,G480)),MAX(F$1:$F479)+1,0)</f>
        <v>479</v>
      </c>
      <c r="G480" s="11" t="s">
        <v>4521</v>
      </c>
      <c r="H480" t="str">
        <f>IFERROR(VLOOKUP(ROWS($H$2:H480),F480:G1698,2,0),"")</f>
        <v>Hierro VDE</v>
      </c>
    </row>
    <row r="481" spans="1:8" x14ac:dyDescent="0.25">
      <c r="A481">
        <f>IF(ISNUMBER(SEARCH(Request!$I$19,B481)),MAX($A$1:A480)+1,0)</f>
        <v>480</v>
      </c>
      <c r="B481" s="11" t="s">
        <v>4522</v>
      </c>
      <c r="D481" t="str">
        <f>IFERROR(VLOOKUP(ROWS($D$2:D481),A481:B1699,2,0),"")</f>
        <v>Hilton Head Island HXD</v>
      </c>
      <c r="F481">
        <f>IF(ISNUMBER(SEARCH(Request!$N$19,G481)),MAX(F$1:$F480)+1,0)</f>
        <v>480</v>
      </c>
      <c r="G481" s="11" t="s">
        <v>4522</v>
      </c>
      <c r="H481" t="str">
        <f>IFERROR(VLOOKUP(ROWS($H$2:H481),F481:G1699,2,0),"")</f>
        <v>Hilton Head Island HXD</v>
      </c>
    </row>
    <row r="482" spans="1:8" x14ac:dyDescent="0.25">
      <c r="A482">
        <f>IF(ISNUMBER(SEARCH(Request!$I$19,B482)),MAX($A$1:A481)+1,0)</f>
        <v>481</v>
      </c>
      <c r="B482" s="11" t="s">
        <v>4523</v>
      </c>
      <c r="D482" t="str">
        <f>IFERROR(VLOOKUP(ROWS($D$2:D482),A482:B1700,2,0),"")</f>
        <v>Hiroshima HIJ</v>
      </c>
      <c r="F482">
        <f>IF(ISNUMBER(SEARCH(Request!$N$19,G482)),MAX(F$1:$F481)+1,0)</f>
        <v>481</v>
      </c>
      <c r="G482" s="11" t="s">
        <v>4523</v>
      </c>
      <c r="H482" t="str">
        <f>IFERROR(VLOOKUP(ROWS($H$2:H482),F482:G1700,2,0),"")</f>
        <v>Hiroshima HIJ</v>
      </c>
    </row>
    <row r="483" spans="1:8" x14ac:dyDescent="0.25">
      <c r="A483">
        <f>IF(ISNUMBER(SEARCH(Request!$I$19,B483)),MAX($A$1:A482)+1,0)</f>
        <v>482</v>
      </c>
      <c r="B483" s="11" t="s">
        <v>4524</v>
      </c>
      <c r="D483" t="str">
        <f>IFERROR(VLOOKUP(ROWS($D$2:D483),A483:B1701,2,0),"")</f>
        <v>Ho Chi Minh City – Tan Son Nhat Int´l SGN</v>
      </c>
      <c r="F483">
        <f>IF(ISNUMBER(SEARCH(Request!$N$19,G483)),MAX(F$1:$F482)+1,0)</f>
        <v>482</v>
      </c>
      <c r="G483" s="11" t="s">
        <v>4524</v>
      </c>
      <c r="H483" t="str">
        <f>IFERROR(VLOOKUP(ROWS($H$2:H483),F483:G1701,2,0),"")</f>
        <v>Ho Chi Minh City – Tan Son Nhat Int´l SGN</v>
      </c>
    </row>
    <row r="484" spans="1:8" x14ac:dyDescent="0.25">
      <c r="A484">
        <f>IF(ISNUMBER(SEARCH(Request!$I$19,B484)),MAX($A$1:A483)+1,0)</f>
        <v>483</v>
      </c>
      <c r="B484" s="11" t="s">
        <v>4525</v>
      </c>
      <c r="D484" t="str">
        <f>IFERROR(VLOOKUP(ROWS($D$2:D484),A484:B1702,2,0),"")</f>
        <v>Hobart HBA</v>
      </c>
      <c r="F484">
        <f>IF(ISNUMBER(SEARCH(Request!$N$19,G484)),MAX(F$1:$F483)+1,0)</f>
        <v>483</v>
      </c>
      <c r="G484" s="11" t="s">
        <v>4525</v>
      </c>
      <c r="H484" t="str">
        <f>IFERROR(VLOOKUP(ROWS($H$2:H484),F484:G1702,2,0),"")</f>
        <v>Hobart HBA</v>
      </c>
    </row>
    <row r="485" spans="1:8" x14ac:dyDescent="0.25">
      <c r="A485">
        <f>IF(ISNUMBER(SEARCH(Request!$I$19,B485)),MAX($A$1:A484)+1,0)</f>
        <v>484</v>
      </c>
      <c r="B485" s="11" t="s">
        <v>4526</v>
      </c>
      <c r="D485" t="str">
        <f>IFERROR(VLOOKUP(ROWS($D$2:D485),A485:B1703,2,0),"")</f>
        <v>Holguin-Frank Pais Int´l HOG</v>
      </c>
      <c r="F485">
        <f>IF(ISNUMBER(SEARCH(Request!$N$19,G485)),MAX(F$1:$F484)+1,0)</f>
        <v>484</v>
      </c>
      <c r="G485" s="11" t="s">
        <v>4526</v>
      </c>
      <c r="H485" t="str">
        <f>IFERROR(VLOOKUP(ROWS($H$2:H485),F485:G1703,2,0),"")</f>
        <v>Holguin-Frank Pais Int´l HOG</v>
      </c>
    </row>
    <row r="486" spans="1:8" x14ac:dyDescent="0.25">
      <c r="A486">
        <f>IF(ISNUMBER(SEARCH(Request!$I$19,B486)),MAX($A$1:A485)+1,0)</f>
        <v>485</v>
      </c>
      <c r="B486" s="11" t="s">
        <v>4527</v>
      </c>
      <c r="D486" t="str">
        <f>IFERROR(VLOOKUP(ROWS($D$2:D486),A486:B1704,2,0),"")</f>
        <v>Hong Kong (HKG) HKG</v>
      </c>
      <c r="F486">
        <f>IF(ISNUMBER(SEARCH(Request!$N$19,G486)),MAX(F$1:$F485)+1,0)</f>
        <v>485</v>
      </c>
      <c r="G486" s="11" t="s">
        <v>4527</v>
      </c>
      <c r="H486" t="str">
        <f>IFERROR(VLOOKUP(ROWS($H$2:H486),F486:G1704,2,0),"")</f>
        <v>Hong Kong (HKG) HKG</v>
      </c>
    </row>
    <row r="487" spans="1:8" x14ac:dyDescent="0.25">
      <c r="A487">
        <f>IF(ISNUMBER(SEARCH(Request!$I$19,B487)),MAX($A$1:A486)+1,0)</f>
        <v>486</v>
      </c>
      <c r="B487" s="11" t="s">
        <v>4528</v>
      </c>
      <c r="D487" t="str">
        <f>IFERROR(VLOOKUP(ROWS($D$2:D487),A487:B1705,2,0),"")</f>
        <v>Honolulu HNL</v>
      </c>
      <c r="F487">
        <f>IF(ISNUMBER(SEARCH(Request!$N$19,G487)),MAX(F$1:$F486)+1,0)</f>
        <v>486</v>
      </c>
      <c r="G487" s="11" t="s">
        <v>4528</v>
      </c>
      <c r="H487" t="str">
        <f>IFERROR(VLOOKUP(ROWS($H$2:H487),F487:G1705,2,0),"")</f>
        <v>Honolulu HNL</v>
      </c>
    </row>
    <row r="488" spans="1:8" x14ac:dyDescent="0.25">
      <c r="A488">
        <f>IF(ISNUMBER(SEARCH(Request!$I$19,B488)),MAX($A$1:A487)+1,0)</f>
        <v>487</v>
      </c>
      <c r="B488" s="11" t="s">
        <v>4529</v>
      </c>
      <c r="D488" t="str">
        <f>IFERROR(VLOOKUP(ROWS($D$2:D488),A488:B1706,2,0),"")</f>
        <v>Horta HOR</v>
      </c>
      <c r="F488">
        <f>IF(ISNUMBER(SEARCH(Request!$N$19,G488)),MAX(F$1:$F487)+1,0)</f>
        <v>487</v>
      </c>
      <c r="G488" s="11" t="s">
        <v>4529</v>
      </c>
      <c r="H488" t="str">
        <f>IFERROR(VLOOKUP(ROWS($H$2:H488),F488:G1706,2,0),"")</f>
        <v>Horta HOR</v>
      </c>
    </row>
    <row r="489" spans="1:8" x14ac:dyDescent="0.25">
      <c r="A489">
        <f>IF(ISNUMBER(SEARCH(Request!$I$19,B489)),MAX($A$1:A488)+1,0)</f>
        <v>488</v>
      </c>
      <c r="B489" s="11" t="s">
        <v>4530</v>
      </c>
      <c r="D489" t="str">
        <f>IFERROR(VLOOKUP(ROWS($D$2:D489),A489:B1707,2,0),"")</f>
        <v>Houston – George Bush Intercontinental IAH</v>
      </c>
      <c r="F489">
        <f>IF(ISNUMBER(SEARCH(Request!$N$19,G489)),MAX(F$1:$F488)+1,0)</f>
        <v>488</v>
      </c>
      <c r="G489" s="11" t="s">
        <v>4530</v>
      </c>
      <c r="H489" t="str">
        <f>IFERROR(VLOOKUP(ROWS($H$2:H489),F489:G1707,2,0),"")</f>
        <v>Houston – George Bush Intercontinental IAH</v>
      </c>
    </row>
    <row r="490" spans="1:8" x14ac:dyDescent="0.25">
      <c r="A490">
        <f>IF(ISNUMBER(SEARCH(Request!$I$19,B490)),MAX($A$1:A489)+1,0)</f>
        <v>489</v>
      </c>
      <c r="B490" s="11" t="s">
        <v>4531</v>
      </c>
      <c r="D490" t="str">
        <f>IFERROR(VLOOKUP(ROWS($D$2:D490),A490:B1708,2,0),"")</f>
        <v>Houston – William P Hobby HOU</v>
      </c>
      <c r="F490">
        <f>IF(ISNUMBER(SEARCH(Request!$N$19,G490)),MAX(F$1:$F489)+1,0)</f>
        <v>489</v>
      </c>
      <c r="G490" s="11" t="s">
        <v>4531</v>
      </c>
      <c r="H490" t="str">
        <f>IFERROR(VLOOKUP(ROWS($H$2:H490),F490:G1708,2,0),"")</f>
        <v>Houston – William P Hobby HOU</v>
      </c>
    </row>
    <row r="491" spans="1:8" x14ac:dyDescent="0.25">
      <c r="A491">
        <f>IF(ISNUMBER(SEARCH(Request!$I$19,B491)),MAX($A$1:A490)+1,0)</f>
        <v>490</v>
      </c>
      <c r="B491" s="11" t="s">
        <v>4532</v>
      </c>
      <c r="D491" t="str">
        <f>IFERROR(VLOOKUP(ROWS($D$2:D491),A491:B1709,2,0),"")</f>
        <v>Humberside Ltd HUY</v>
      </c>
      <c r="F491">
        <f>IF(ISNUMBER(SEARCH(Request!$N$19,G491)),MAX(F$1:$F490)+1,0)</f>
        <v>490</v>
      </c>
      <c r="G491" s="11" t="s">
        <v>4532</v>
      </c>
      <c r="H491" t="str">
        <f>IFERROR(VLOOKUP(ROWS($H$2:H491),F491:G1709,2,0),"")</f>
        <v>Humberside Ltd HUY</v>
      </c>
    </row>
    <row r="492" spans="1:8" x14ac:dyDescent="0.25">
      <c r="A492">
        <f>IF(ISNUMBER(SEARCH(Request!$I$19,B492)),MAX($A$1:A491)+1,0)</f>
        <v>491</v>
      </c>
      <c r="B492" s="11" t="s">
        <v>4533</v>
      </c>
      <c r="D492" t="str">
        <f>IFERROR(VLOOKUP(ROWS($D$2:D492),A492:B1710,2,0),"")</f>
        <v>Huntington Tri-State HTS</v>
      </c>
      <c r="F492">
        <f>IF(ISNUMBER(SEARCH(Request!$N$19,G492)),MAX(F$1:$F491)+1,0)</f>
        <v>491</v>
      </c>
      <c r="G492" s="11" t="s">
        <v>4533</v>
      </c>
      <c r="H492" t="str">
        <f>IFERROR(VLOOKUP(ROWS($H$2:H492),F492:G1710,2,0),"")</f>
        <v>Huntington Tri-State HTS</v>
      </c>
    </row>
    <row r="493" spans="1:8" x14ac:dyDescent="0.25">
      <c r="A493">
        <f>IF(ISNUMBER(SEARCH(Request!$I$19,B493)),MAX($A$1:A492)+1,0)</f>
        <v>492</v>
      </c>
      <c r="B493" s="11" t="s">
        <v>4534</v>
      </c>
      <c r="D493" t="str">
        <f>IFERROR(VLOOKUP(ROWS($D$2:D493),A493:B1711,2,0),"")</f>
        <v>Huntsville HSV</v>
      </c>
      <c r="F493">
        <f>IF(ISNUMBER(SEARCH(Request!$N$19,G493)),MAX(F$1:$F492)+1,0)</f>
        <v>492</v>
      </c>
      <c r="G493" s="11" t="s">
        <v>4534</v>
      </c>
      <c r="H493" t="str">
        <f>IFERROR(VLOOKUP(ROWS($H$2:H493),F493:G1711,2,0),"")</f>
        <v>Huntsville HSV</v>
      </c>
    </row>
    <row r="494" spans="1:8" x14ac:dyDescent="0.25">
      <c r="A494">
        <f>IF(ISNUMBER(SEARCH(Request!$I$19,B494)),MAX($A$1:A493)+1,0)</f>
        <v>493</v>
      </c>
      <c r="B494" s="11" t="s">
        <v>4535</v>
      </c>
      <c r="D494" t="str">
        <f>IFERROR(VLOOKUP(ROWS($D$2:D494),A494:B1712,2,0),"")</f>
        <v>Hurgadah HRG</v>
      </c>
      <c r="F494">
        <f>IF(ISNUMBER(SEARCH(Request!$N$19,G494)),MAX(F$1:$F493)+1,0)</f>
        <v>493</v>
      </c>
      <c r="G494" s="11" t="s">
        <v>4535</v>
      </c>
      <c r="H494" t="str">
        <f>IFERROR(VLOOKUP(ROWS($H$2:H494),F494:G1712,2,0),"")</f>
        <v>Hurgadah HRG</v>
      </c>
    </row>
    <row r="495" spans="1:8" x14ac:dyDescent="0.25">
      <c r="A495">
        <f>IF(ISNUMBER(SEARCH(Request!$I$19,B495)),MAX($A$1:A494)+1,0)</f>
        <v>494</v>
      </c>
      <c r="B495" s="11" t="s">
        <v>4536</v>
      </c>
      <c r="D495" t="str">
        <f>IFERROR(VLOOKUP(ROWS($D$2:D495),A495:B1713,2,0),"")</f>
        <v>Hyderabad HYD</v>
      </c>
      <c r="F495">
        <f>IF(ISNUMBER(SEARCH(Request!$N$19,G495)),MAX(F$1:$F494)+1,0)</f>
        <v>494</v>
      </c>
      <c r="G495" s="11" t="s">
        <v>4536</v>
      </c>
      <c r="H495" t="str">
        <f>IFERROR(VLOOKUP(ROWS($H$2:H495),F495:G1713,2,0),"")</f>
        <v>Hyderabad HYD</v>
      </c>
    </row>
    <row r="496" spans="1:8" x14ac:dyDescent="0.25">
      <c r="A496">
        <f>IF(ISNUMBER(SEARCH(Request!$I$19,B496)),MAX($A$1:A495)+1,0)</f>
        <v>495</v>
      </c>
      <c r="B496" s="11" t="s">
        <v>4537</v>
      </c>
      <c r="D496" t="str">
        <f>IFERROR(VLOOKUP(ROWS($D$2:D496),A496:B1714,2,0),"")</f>
        <v>Ibiza IBZ</v>
      </c>
      <c r="F496">
        <f>IF(ISNUMBER(SEARCH(Request!$N$19,G496)),MAX(F$1:$F495)+1,0)</f>
        <v>495</v>
      </c>
      <c r="G496" s="11" t="s">
        <v>4537</v>
      </c>
      <c r="H496" t="str">
        <f>IFERROR(VLOOKUP(ROWS($H$2:H496),F496:G1714,2,0),"")</f>
        <v>Ibiza IBZ</v>
      </c>
    </row>
    <row r="497" spans="1:8" x14ac:dyDescent="0.25">
      <c r="A497">
        <f>IF(ISNUMBER(SEARCH(Request!$I$19,B497)),MAX($A$1:A496)+1,0)</f>
        <v>496</v>
      </c>
      <c r="B497" s="11" t="s">
        <v>4538</v>
      </c>
      <c r="D497" t="str">
        <f>IFERROR(VLOOKUP(ROWS($D$2:D497),A497:B1715,2,0),"")</f>
        <v>Ile d´Yeu – Grand Phare IDY</v>
      </c>
      <c r="F497">
        <f>IF(ISNUMBER(SEARCH(Request!$N$19,G497)),MAX(F$1:$F496)+1,0)</f>
        <v>496</v>
      </c>
      <c r="G497" s="11" t="s">
        <v>4538</v>
      </c>
      <c r="H497" t="str">
        <f>IFERROR(VLOOKUP(ROWS($H$2:H497),F497:G1715,2,0),"")</f>
        <v>Ile d´Yeu – Grand Phare IDY</v>
      </c>
    </row>
    <row r="498" spans="1:8" x14ac:dyDescent="0.25">
      <c r="A498">
        <f>IF(ISNUMBER(SEARCH(Request!$I$19,B498)),MAX($A$1:A497)+1,0)</f>
        <v>497</v>
      </c>
      <c r="B498" s="11" t="s">
        <v>4539</v>
      </c>
      <c r="D498" t="str">
        <f>IFERROR(VLOOKUP(ROWS($D$2:D498),A498:B1716,2,0),"")</f>
        <v>Indianapolis IND</v>
      </c>
      <c r="F498">
        <f>IF(ISNUMBER(SEARCH(Request!$N$19,G498)),MAX(F$1:$F497)+1,0)</f>
        <v>497</v>
      </c>
      <c r="G498" s="11" t="s">
        <v>4539</v>
      </c>
      <c r="H498" t="str">
        <f>IFERROR(VLOOKUP(ROWS($H$2:H498),F498:G1716,2,0),"")</f>
        <v>Indianapolis IND</v>
      </c>
    </row>
    <row r="499" spans="1:8" x14ac:dyDescent="0.25">
      <c r="A499">
        <f>IF(ISNUMBER(SEARCH(Request!$I$19,B499)),MAX($A$1:A498)+1,0)</f>
        <v>498</v>
      </c>
      <c r="B499" s="11" t="s">
        <v>4540</v>
      </c>
      <c r="D499" t="str">
        <f>IFERROR(VLOOKUP(ROWS($D$2:D499),A499:B1717,2,0),"")</f>
        <v>Innsbruck INN</v>
      </c>
      <c r="F499">
        <f>IF(ISNUMBER(SEARCH(Request!$N$19,G499)),MAX(F$1:$F498)+1,0)</f>
        <v>498</v>
      </c>
      <c r="G499" s="11" t="s">
        <v>4540</v>
      </c>
      <c r="H499" t="str">
        <f>IFERROR(VLOOKUP(ROWS($H$2:H499),F499:G1717,2,0),"")</f>
        <v>Innsbruck INN</v>
      </c>
    </row>
    <row r="500" spans="1:8" x14ac:dyDescent="0.25">
      <c r="A500">
        <f>IF(ISNUMBER(SEARCH(Request!$I$19,B500)),MAX($A$1:A499)+1,0)</f>
        <v>499</v>
      </c>
      <c r="B500" s="11" t="s">
        <v>4541</v>
      </c>
      <c r="D500" t="str">
        <f>IFERROR(VLOOKUP(ROWS($D$2:D500),A500:B1718,2,0),"")</f>
        <v>Inverness-Dalcross INV</v>
      </c>
      <c r="F500">
        <f>IF(ISNUMBER(SEARCH(Request!$N$19,G500)),MAX(F$1:$F499)+1,0)</f>
        <v>499</v>
      </c>
      <c r="G500" s="11" t="s">
        <v>4541</v>
      </c>
      <c r="H500" t="str">
        <f>IFERROR(VLOOKUP(ROWS($H$2:H500),F500:G1718,2,0),"")</f>
        <v>Inverness-Dalcross INV</v>
      </c>
    </row>
    <row r="501" spans="1:8" x14ac:dyDescent="0.25">
      <c r="A501">
        <f>IF(ISNUMBER(SEARCH(Request!$I$19,B501)),MAX($A$1:A500)+1,0)</f>
        <v>500</v>
      </c>
      <c r="B501" s="11" t="s">
        <v>4542</v>
      </c>
      <c r="D501" t="str">
        <f>IFERROR(VLOOKUP(ROWS($D$2:D501),A501:B1719,2,0),"")</f>
        <v>Inyokern – Kern County IYK</v>
      </c>
      <c r="F501">
        <f>IF(ISNUMBER(SEARCH(Request!$N$19,G501)),MAX(F$1:$F500)+1,0)</f>
        <v>500</v>
      </c>
      <c r="G501" s="11" t="s">
        <v>4542</v>
      </c>
      <c r="H501" t="str">
        <f>IFERROR(VLOOKUP(ROWS($H$2:H501),F501:G1719,2,0),"")</f>
        <v>Inyokern – Kern County IYK</v>
      </c>
    </row>
    <row r="502" spans="1:8" x14ac:dyDescent="0.25">
      <c r="A502">
        <f>IF(ISNUMBER(SEARCH(Request!$I$19,B502)),MAX($A$1:A501)+1,0)</f>
        <v>501</v>
      </c>
      <c r="B502" s="11" t="s">
        <v>4543</v>
      </c>
      <c r="D502" t="str">
        <f>IFERROR(VLOOKUP(ROWS($D$2:D502),A502:B1720,2,0),"")</f>
        <v>Ioannina National IOA</v>
      </c>
      <c r="F502">
        <f>IF(ISNUMBER(SEARCH(Request!$N$19,G502)),MAX(F$1:$F501)+1,0)</f>
        <v>501</v>
      </c>
      <c r="G502" s="11" t="s">
        <v>4543</v>
      </c>
      <c r="H502" t="str">
        <f>IFERROR(VLOOKUP(ROWS($H$2:H502),F502:G1720,2,0),"")</f>
        <v>Ioannina National IOA</v>
      </c>
    </row>
    <row r="503" spans="1:8" x14ac:dyDescent="0.25">
      <c r="A503">
        <f>IF(ISNUMBER(SEARCH(Request!$I$19,B503)),MAX($A$1:A502)+1,0)</f>
        <v>502</v>
      </c>
      <c r="B503" s="11" t="s">
        <v>4544</v>
      </c>
      <c r="D503" t="str">
        <f>IFERROR(VLOOKUP(ROWS($D$2:D503),A503:B1721,2,0),"")</f>
        <v>Ipoh – Sultan Azlan Shah IPH</v>
      </c>
      <c r="F503">
        <f>IF(ISNUMBER(SEARCH(Request!$N$19,G503)),MAX(F$1:$F502)+1,0)</f>
        <v>502</v>
      </c>
      <c r="G503" s="11" t="s">
        <v>4544</v>
      </c>
      <c r="H503" t="str">
        <f>IFERROR(VLOOKUP(ROWS($H$2:H503),F503:G1721,2,0),"")</f>
        <v>Ipoh – Sultan Azlan Shah IPH</v>
      </c>
    </row>
    <row r="504" spans="1:8" x14ac:dyDescent="0.25">
      <c r="A504">
        <f>IF(ISNUMBER(SEARCH(Request!$I$19,B504)),MAX($A$1:A503)+1,0)</f>
        <v>503</v>
      </c>
      <c r="B504" s="11" t="s">
        <v>4545</v>
      </c>
      <c r="D504" t="str">
        <f>IFERROR(VLOOKUP(ROWS($D$2:D504),A504:B1722,2,0),"")</f>
        <v>Iquitos IQT</v>
      </c>
      <c r="F504">
        <f>IF(ISNUMBER(SEARCH(Request!$N$19,G504)),MAX(F$1:$F503)+1,0)</f>
        <v>503</v>
      </c>
      <c r="G504" s="11" t="s">
        <v>4545</v>
      </c>
      <c r="H504" t="str">
        <f>IFERROR(VLOOKUP(ROWS($H$2:H504),F504:G1722,2,0),"")</f>
        <v>Iquitos IQT</v>
      </c>
    </row>
    <row r="505" spans="1:8" x14ac:dyDescent="0.25">
      <c r="A505">
        <f>IF(ISNUMBER(SEARCH(Request!$I$19,B505)),MAX($A$1:A504)+1,0)</f>
        <v>504</v>
      </c>
      <c r="B505" s="11" t="s">
        <v>4546</v>
      </c>
      <c r="D505" t="str">
        <f>IFERROR(VLOOKUP(ROWS($D$2:D505),A505:B1723,2,0),"")</f>
        <v>Irkutsk IKT</v>
      </c>
      <c r="F505">
        <f>IF(ISNUMBER(SEARCH(Request!$N$19,G505)),MAX(F$1:$F504)+1,0)</f>
        <v>504</v>
      </c>
      <c r="G505" s="11" t="s">
        <v>4546</v>
      </c>
      <c r="H505" t="str">
        <f>IFERROR(VLOOKUP(ROWS($H$2:H505),F505:G1723,2,0),"")</f>
        <v>Irkutsk IKT</v>
      </c>
    </row>
    <row r="506" spans="1:8" x14ac:dyDescent="0.25">
      <c r="A506">
        <f>IF(ISNUMBER(SEARCH(Request!$I$19,B506)),MAX($A$1:A505)+1,0)</f>
        <v>505</v>
      </c>
      <c r="B506" s="11" t="s">
        <v>4547</v>
      </c>
      <c r="D506" t="str">
        <f>IFERROR(VLOOKUP(ROWS($D$2:D506),A506:B1724,2,0),"")</f>
        <v>Islamabad ISB</v>
      </c>
      <c r="F506">
        <f>IF(ISNUMBER(SEARCH(Request!$N$19,G506)),MAX(F$1:$F505)+1,0)</f>
        <v>505</v>
      </c>
      <c r="G506" s="11" t="s">
        <v>4547</v>
      </c>
      <c r="H506" t="str">
        <f>IFERROR(VLOOKUP(ROWS($H$2:H506),F506:G1724,2,0),"")</f>
        <v>Islamabad ISB</v>
      </c>
    </row>
    <row r="507" spans="1:8" x14ac:dyDescent="0.25">
      <c r="A507">
        <f>IF(ISNUMBER(SEARCH(Request!$I$19,B507)),MAX($A$1:A506)+1,0)</f>
        <v>506</v>
      </c>
      <c r="B507" s="11" t="s">
        <v>4548</v>
      </c>
      <c r="D507" t="str">
        <f>IFERROR(VLOOKUP(ROWS($D$2:D507),A507:B1725,2,0),"")</f>
        <v>Islay ILY</v>
      </c>
      <c r="F507">
        <f>IF(ISNUMBER(SEARCH(Request!$N$19,G507)),MAX(F$1:$F506)+1,0)</f>
        <v>506</v>
      </c>
      <c r="G507" s="11" t="s">
        <v>4548</v>
      </c>
      <c r="H507" t="str">
        <f>IFERROR(VLOOKUP(ROWS($H$2:H507),F507:G1725,2,0),"")</f>
        <v>Islay ILY</v>
      </c>
    </row>
    <row r="508" spans="1:8" x14ac:dyDescent="0.25">
      <c r="A508">
        <f>IF(ISNUMBER(SEARCH(Request!$I$19,B508)),MAX($A$1:A507)+1,0)</f>
        <v>507</v>
      </c>
      <c r="B508" s="11" t="s">
        <v>4549</v>
      </c>
      <c r="D508" t="str">
        <f>IFERROR(VLOOKUP(ROWS($D$2:D508),A508:B1726,2,0),"")</f>
        <v>Isle of Man IOM</v>
      </c>
      <c r="F508">
        <f>IF(ISNUMBER(SEARCH(Request!$N$19,G508)),MAX(F$1:$F507)+1,0)</f>
        <v>507</v>
      </c>
      <c r="G508" s="11" t="s">
        <v>4549</v>
      </c>
      <c r="H508" t="str">
        <f>IFERROR(VLOOKUP(ROWS($H$2:H508),F508:G1726,2,0),"")</f>
        <v>Isle of Man IOM</v>
      </c>
    </row>
    <row r="509" spans="1:8" x14ac:dyDescent="0.25">
      <c r="A509">
        <f>IF(ISNUMBER(SEARCH(Request!$I$19,B509)),MAX($A$1:A508)+1,0)</f>
        <v>508</v>
      </c>
      <c r="B509" s="11" t="s">
        <v>4550</v>
      </c>
      <c r="D509" t="str">
        <f>IFERROR(VLOOKUP(ROWS($D$2:D509),A509:B1727,2,0),"")</f>
        <v>Isles of Scilly-St Mary´s ISC</v>
      </c>
      <c r="F509">
        <f>IF(ISNUMBER(SEARCH(Request!$N$19,G509)),MAX(F$1:$F508)+1,0)</f>
        <v>508</v>
      </c>
      <c r="G509" s="11" t="s">
        <v>4550</v>
      </c>
      <c r="H509" t="str">
        <f>IFERROR(VLOOKUP(ROWS($H$2:H509),F509:G1727,2,0),"")</f>
        <v>Isles of Scilly-St Mary´s ISC</v>
      </c>
    </row>
    <row r="510" spans="1:8" x14ac:dyDescent="0.25">
      <c r="A510">
        <f>IF(ISNUMBER(SEARCH(Request!$I$19,B510)),MAX($A$1:A509)+1,0)</f>
        <v>509</v>
      </c>
      <c r="B510" s="11" t="s">
        <v>4551</v>
      </c>
      <c r="D510" t="str">
        <f>IFERROR(VLOOKUP(ROWS($D$2:D510),A510:B1728,2,0),"")</f>
        <v>Istanbul – Atatürk IST</v>
      </c>
      <c r="F510">
        <f>IF(ISNUMBER(SEARCH(Request!$N$19,G510)),MAX(F$1:$F509)+1,0)</f>
        <v>509</v>
      </c>
      <c r="G510" s="11" t="s">
        <v>4551</v>
      </c>
      <c r="H510" t="str">
        <f>IFERROR(VLOOKUP(ROWS($H$2:H510),F510:G1728,2,0),"")</f>
        <v>Istanbul – Atatürk IST</v>
      </c>
    </row>
    <row r="511" spans="1:8" x14ac:dyDescent="0.25">
      <c r="A511">
        <f>IF(ISNUMBER(SEARCH(Request!$I$19,B511)),MAX($A$1:A510)+1,0)</f>
        <v>510</v>
      </c>
      <c r="B511" s="11" t="s">
        <v>4552</v>
      </c>
      <c r="D511" t="str">
        <f>IFERROR(VLOOKUP(ROWS($D$2:D511),A511:B1729,2,0),"")</f>
        <v>Ithaca – Tompkins County ITH</v>
      </c>
      <c r="F511">
        <f>IF(ISNUMBER(SEARCH(Request!$N$19,G511)),MAX(F$1:$F510)+1,0)</f>
        <v>510</v>
      </c>
      <c r="G511" s="11" t="s">
        <v>4552</v>
      </c>
      <c r="H511" t="str">
        <f>IFERROR(VLOOKUP(ROWS($H$2:H511),F511:G1729,2,0),"")</f>
        <v>Ithaca – Tompkins County ITH</v>
      </c>
    </row>
    <row r="512" spans="1:8" x14ac:dyDescent="0.25">
      <c r="A512">
        <f>IF(ISNUMBER(SEARCH(Request!$I$19,B512)),MAX($A$1:A511)+1,0)</f>
        <v>511</v>
      </c>
      <c r="B512" s="11" t="s">
        <v>4553</v>
      </c>
      <c r="D512" t="str">
        <f>IFERROR(VLOOKUP(ROWS($D$2:D512),A512:B1730,2,0),"")</f>
        <v>Ivalo Int´l IVL</v>
      </c>
      <c r="F512">
        <f>IF(ISNUMBER(SEARCH(Request!$N$19,G512)),MAX(F$1:$F511)+1,0)</f>
        <v>511</v>
      </c>
      <c r="G512" s="11" t="s">
        <v>4553</v>
      </c>
      <c r="H512" t="str">
        <f>IFERROR(VLOOKUP(ROWS($H$2:H512),F512:G1730,2,0),"")</f>
        <v>Ivalo Int´l IVL</v>
      </c>
    </row>
    <row r="513" spans="1:8" x14ac:dyDescent="0.25">
      <c r="A513">
        <f>IF(ISNUMBER(SEARCH(Request!$I$19,B513)),MAX($A$1:A512)+1,0)</f>
        <v>512</v>
      </c>
      <c r="B513" s="11" t="s">
        <v>4554</v>
      </c>
      <c r="D513" t="str">
        <f>IFERROR(VLOOKUP(ROWS($D$2:D513),A513:B1731,2,0),"")</f>
        <v>Izmir – Adnan Menderes ADB</v>
      </c>
      <c r="F513">
        <f>IF(ISNUMBER(SEARCH(Request!$N$19,G513)),MAX(F$1:$F512)+1,0)</f>
        <v>512</v>
      </c>
      <c r="G513" s="11" t="s">
        <v>4554</v>
      </c>
      <c r="H513" t="str">
        <f>IFERROR(VLOOKUP(ROWS($H$2:H513),F513:G1731,2,0),"")</f>
        <v>Izmir – Adnan Menderes ADB</v>
      </c>
    </row>
    <row r="514" spans="1:8" x14ac:dyDescent="0.25">
      <c r="A514">
        <f>IF(ISNUMBER(SEARCH(Request!$I$19,B514)),MAX($A$1:A513)+1,0)</f>
        <v>513</v>
      </c>
      <c r="B514" s="11" t="s">
        <v>4555</v>
      </c>
      <c r="D514" t="str">
        <f>IFERROR(VLOOKUP(ROWS($D$2:D514),A514:B1732,2,0),"")</f>
        <v>Jackson Hole JAC</v>
      </c>
      <c r="F514">
        <f>IF(ISNUMBER(SEARCH(Request!$N$19,G514)),MAX(F$1:$F513)+1,0)</f>
        <v>513</v>
      </c>
      <c r="G514" s="11" t="s">
        <v>4555</v>
      </c>
      <c r="H514" t="str">
        <f>IFERROR(VLOOKUP(ROWS($H$2:H514),F514:G1732,2,0),"")</f>
        <v>Jackson Hole JAC</v>
      </c>
    </row>
    <row r="515" spans="1:8" x14ac:dyDescent="0.25">
      <c r="A515">
        <f>IF(ISNUMBER(SEARCH(Request!$I$19,B515)),MAX($A$1:A514)+1,0)</f>
        <v>514</v>
      </c>
      <c r="B515" s="11" t="s">
        <v>4556</v>
      </c>
      <c r="D515" t="str">
        <f>IFERROR(VLOOKUP(ROWS($D$2:D515),A515:B1733,2,0),"")</f>
        <v>Jackson Int´l JAN</v>
      </c>
      <c r="F515">
        <f>IF(ISNUMBER(SEARCH(Request!$N$19,G515)),MAX(F$1:$F514)+1,0)</f>
        <v>514</v>
      </c>
      <c r="G515" s="11" t="s">
        <v>4556</v>
      </c>
      <c r="H515" t="str">
        <f>IFERROR(VLOOKUP(ROWS($H$2:H515),F515:G1733,2,0),"")</f>
        <v>Jackson Int´l JAN</v>
      </c>
    </row>
    <row r="516" spans="1:8" x14ac:dyDescent="0.25">
      <c r="A516">
        <f>IF(ISNUMBER(SEARCH(Request!$I$19,B516)),MAX($A$1:A515)+1,0)</f>
        <v>515</v>
      </c>
      <c r="B516" s="11" t="s">
        <v>4557</v>
      </c>
      <c r="D516" t="str">
        <f>IFERROR(VLOOKUP(ROWS($D$2:D516),A516:B1734,2,0),"")</f>
        <v>Jacksonville JAX</v>
      </c>
      <c r="F516">
        <f>IF(ISNUMBER(SEARCH(Request!$N$19,G516)),MAX(F$1:$F515)+1,0)</f>
        <v>515</v>
      </c>
      <c r="G516" s="11" t="s">
        <v>4557</v>
      </c>
      <c r="H516" t="str">
        <f>IFERROR(VLOOKUP(ROWS($H$2:H516),F516:G1734,2,0),"")</f>
        <v>Jacksonville JAX</v>
      </c>
    </row>
    <row r="517" spans="1:8" x14ac:dyDescent="0.25">
      <c r="A517">
        <f>IF(ISNUMBER(SEARCH(Request!$I$19,B517)),MAX($A$1:A516)+1,0)</f>
        <v>516</v>
      </c>
      <c r="B517" s="11" t="s">
        <v>4558</v>
      </c>
      <c r="D517" t="str">
        <f>IFERROR(VLOOKUP(ROWS($D$2:D517),A517:B1735,2,0),"")</f>
        <v>Jaipur – Sanganeer JAI</v>
      </c>
      <c r="F517">
        <f>IF(ISNUMBER(SEARCH(Request!$N$19,G517)),MAX(F$1:$F516)+1,0)</f>
        <v>516</v>
      </c>
      <c r="G517" s="11" t="s">
        <v>4558</v>
      </c>
      <c r="H517" t="str">
        <f>IFERROR(VLOOKUP(ROWS($H$2:H517),F517:G1735,2,0),"")</f>
        <v>Jaipur – Sanganeer JAI</v>
      </c>
    </row>
    <row r="518" spans="1:8" x14ac:dyDescent="0.25">
      <c r="A518">
        <f>IF(ISNUMBER(SEARCH(Request!$I$19,B518)),MAX($A$1:A517)+1,0)</f>
        <v>517</v>
      </c>
      <c r="B518" s="11" t="s">
        <v>4559</v>
      </c>
      <c r="D518" t="str">
        <f>IFERROR(VLOOKUP(ROWS($D$2:D518),A518:B1736,2,0),"")</f>
        <v>Jakarta – Halim Perdanakusuma Int´l HLP</v>
      </c>
      <c r="F518">
        <f>IF(ISNUMBER(SEARCH(Request!$N$19,G518)),MAX(F$1:$F517)+1,0)</f>
        <v>517</v>
      </c>
      <c r="G518" s="11" t="s">
        <v>4559</v>
      </c>
      <c r="H518" t="str">
        <f>IFERROR(VLOOKUP(ROWS($H$2:H518),F518:G1736,2,0),"")</f>
        <v>Jakarta – Halim Perdanakusuma Int´l HLP</v>
      </c>
    </row>
    <row r="519" spans="1:8" x14ac:dyDescent="0.25">
      <c r="A519">
        <f>IF(ISNUMBER(SEARCH(Request!$I$19,B519)),MAX($A$1:A518)+1,0)</f>
        <v>518</v>
      </c>
      <c r="B519" s="11" t="s">
        <v>4560</v>
      </c>
      <c r="D519" t="str">
        <f>IFERROR(VLOOKUP(ROWS($D$2:D519),A519:B1737,2,0),"")</f>
        <v>Jakarta – Soekarno Hatta JKT</v>
      </c>
      <c r="F519">
        <f>IF(ISNUMBER(SEARCH(Request!$N$19,G519)),MAX(F$1:$F518)+1,0)</f>
        <v>518</v>
      </c>
      <c r="G519" s="11" t="s">
        <v>4560</v>
      </c>
      <c r="H519" t="str">
        <f>IFERROR(VLOOKUP(ROWS($H$2:H519),F519:G1737,2,0),"")</f>
        <v>Jakarta – Soekarno Hatta JKT</v>
      </c>
    </row>
    <row r="520" spans="1:8" x14ac:dyDescent="0.25">
      <c r="A520">
        <f>IF(ISNUMBER(SEARCH(Request!$I$19,B520)),MAX($A$1:A519)+1,0)</f>
        <v>519</v>
      </c>
      <c r="B520" s="11" t="s">
        <v>4561</v>
      </c>
      <c r="D520" t="str">
        <f>IFERROR(VLOOKUP(ROWS($D$2:D520),A520:B1738,2,0),"")</f>
        <v>Jeddah – King Abdulaziz JED</v>
      </c>
      <c r="F520">
        <f>IF(ISNUMBER(SEARCH(Request!$N$19,G520)),MAX(F$1:$F519)+1,0)</f>
        <v>519</v>
      </c>
      <c r="G520" s="11" t="s">
        <v>4561</v>
      </c>
      <c r="H520" t="str">
        <f>IFERROR(VLOOKUP(ROWS($H$2:H520),F520:G1738,2,0),"")</f>
        <v>Jeddah – King Abdulaziz JED</v>
      </c>
    </row>
    <row r="521" spans="1:8" x14ac:dyDescent="0.25">
      <c r="A521">
        <f>IF(ISNUMBER(SEARCH(Request!$I$19,B521)),MAX($A$1:A520)+1,0)</f>
        <v>520</v>
      </c>
      <c r="B521" s="11" t="s">
        <v>4562</v>
      </c>
      <c r="D521" t="str">
        <f>IFERROR(VLOOKUP(ROWS($D$2:D521),A521:B1739,2,0),"")</f>
        <v>Joe Foss Field-Sioux Falls FSD</v>
      </c>
      <c r="F521">
        <f>IF(ISNUMBER(SEARCH(Request!$N$19,G521)),MAX(F$1:$F520)+1,0)</f>
        <v>520</v>
      </c>
      <c r="G521" s="11" t="s">
        <v>4562</v>
      </c>
      <c r="H521" t="str">
        <f>IFERROR(VLOOKUP(ROWS($H$2:H521),F521:G1739,2,0),"")</f>
        <v>Joe Foss Field-Sioux Falls FSD</v>
      </c>
    </row>
    <row r="522" spans="1:8" x14ac:dyDescent="0.25">
      <c r="A522">
        <f>IF(ISNUMBER(SEARCH(Request!$I$19,B522)),MAX($A$1:A521)+1,0)</f>
        <v>521</v>
      </c>
      <c r="B522" s="11" t="s">
        <v>4563</v>
      </c>
      <c r="D522" t="str">
        <f>IFERROR(VLOOKUP(ROWS($D$2:D522),A522:B1740,2,0),"")</f>
        <v>Joensuu JOE</v>
      </c>
      <c r="F522">
        <f>IF(ISNUMBER(SEARCH(Request!$N$19,G522)),MAX(F$1:$F521)+1,0)</f>
        <v>521</v>
      </c>
      <c r="G522" s="11" t="s">
        <v>4563</v>
      </c>
      <c r="H522" t="str">
        <f>IFERROR(VLOOKUP(ROWS($H$2:H522),F522:G1740,2,0),"")</f>
        <v>Joensuu JOE</v>
      </c>
    </row>
    <row r="523" spans="1:8" x14ac:dyDescent="0.25">
      <c r="A523">
        <f>IF(ISNUMBER(SEARCH(Request!$I$19,B523)),MAX($A$1:A522)+1,0)</f>
        <v>522</v>
      </c>
      <c r="B523" s="11" t="s">
        <v>4564</v>
      </c>
      <c r="D523" t="str">
        <f>IFERROR(VLOOKUP(ROWS($D$2:D523),A523:B1741,2,0),"")</f>
        <v>Johannesburg JNB</v>
      </c>
      <c r="F523">
        <f>IF(ISNUMBER(SEARCH(Request!$N$19,G523)),MAX(F$1:$F522)+1,0)</f>
        <v>522</v>
      </c>
      <c r="G523" s="11" t="s">
        <v>4564</v>
      </c>
      <c r="H523" t="str">
        <f>IFERROR(VLOOKUP(ROWS($H$2:H523),F523:G1741,2,0),"")</f>
        <v>Johannesburg JNB</v>
      </c>
    </row>
    <row r="524" spans="1:8" x14ac:dyDescent="0.25">
      <c r="A524">
        <f>IF(ISNUMBER(SEARCH(Request!$I$19,B524)),MAX($A$1:A523)+1,0)</f>
        <v>523</v>
      </c>
      <c r="B524" s="11" t="s">
        <v>4565</v>
      </c>
      <c r="D524" t="str">
        <f>IFERROR(VLOOKUP(ROWS($D$2:D524),A524:B1742,2,0),"")</f>
        <v>Johnstown – Cambria County JST</v>
      </c>
      <c r="F524">
        <f>IF(ISNUMBER(SEARCH(Request!$N$19,G524)),MAX(F$1:$F523)+1,0)</f>
        <v>523</v>
      </c>
      <c r="G524" s="11" t="s">
        <v>4565</v>
      </c>
      <c r="H524" t="str">
        <f>IFERROR(VLOOKUP(ROWS($H$2:H524),F524:G1742,2,0),"")</f>
        <v>Johnstown – Cambria County JST</v>
      </c>
    </row>
    <row r="525" spans="1:8" x14ac:dyDescent="0.25">
      <c r="A525">
        <f>IF(ISNUMBER(SEARCH(Request!$I$19,B525)),MAX($A$1:A524)+1,0)</f>
        <v>524</v>
      </c>
      <c r="B525" s="11" t="s">
        <v>4566</v>
      </c>
      <c r="D525" t="str">
        <f>IFERROR(VLOOKUP(ROWS($D$2:D525),A525:B1743,2,0),"")</f>
        <v>Johor Bahru – Sultan Ismail JHB</v>
      </c>
      <c r="F525">
        <f>IF(ISNUMBER(SEARCH(Request!$N$19,G525)),MAX(F$1:$F524)+1,0)</f>
        <v>524</v>
      </c>
      <c r="G525" s="11" t="s">
        <v>4566</v>
      </c>
      <c r="H525" t="str">
        <f>IFERROR(VLOOKUP(ROWS($H$2:H525),F525:G1743,2,0),"")</f>
        <v>Johor Bahru – Sultan Ismail JHB</v>
      </c>
    </row>
    <row r="526" spans="1:8" x14ac:dyDescent="0.25">
      <c r="A526">
        <f>IF(ISNUMBER(SEARCH(Request!$I$19,B526)),MAX($A$1:A525)+1,0)</f>
        <v>525</v>
      </c>
      <c r="B526" s="11" t="s">
        <v>4568</v>
      </c>
      <c r="D526" t="str">
        <f>IFERROR(VLOOKUP(ROWS($D$2:D526),A526:B1744,2,0),"")</f>
        <v>Jönköping JKJ</v>
      </c>
      <c r="F526">
        <f>IF(ISNUMBER(SEARCH(Request!$N$19,G526)),MAX(F$1:$F525)+1,0)</f>
        <v>525</v>
      </c>
      <c r="G526" s="11" t="s">
        <v>4568</v>
      </c>
      <c r="H526" t="str">
        <f>IFERROR(VLOOKUP(ROWS($H$2:H526),F526:G1744,2,0),"")</f>
        <v>Jönköping JKJ</v>
      </c>
    </row>
    <row r="527" spans="1:8" x14ac:dyDescent="0.25">
      <c r="A527">
        <f>IF(ISNUMBER(SEARCH(Request!$I$19,B527)),MAX($A$1:A526)+1,0)</f>
        <v>526</v>
      </c>
      <c r="B527" s="11" t="s">
        <v>4567</v>
      </c>
      <c r="D527" t="str">
        <f>IFERROR(VLOOKUP(ROWS($D$2:D527),A527:B1745,2,0),"")</f>
        <v>Jyvaskyla JYV</v>
      </c>
      <c r="F527">
        <f>IF(ISNUMBER(SEARCH(Request!$N$19,G527)),MAX(F$1:$F526)+1,0)</f>
        <v>526</v>
      </c>
      <c r="G527" s="11" t="s">
        <v>4567</v>
      </c>
      <c r="H527" t="str">
        <f>IFERROR(VLOOKUP(ROWS($H$2:H527),F527:G1745,2,0),"")</f>
        <v>Jyvaskyla JYV</v>
      </c>
    </row>
    <row r="528" spans="1:8" x14ac:dyDescent="0.25">
      <c r="A528">
        <f>IF(ISNUMBER(SEARCH(Request!$I$19,B528)),MAX($A$1:A527)+1,0)</f>
        <v>527</v>
      </c>
      <c r="B528" s="11" t="s">
        <v>4569</v>
      </c>
      <c r="D528" t="str">
        <f>IFERROR(VLOOKUP(ROWS($D$2:D528),A528:B1746,2,0),"")</f>
        <v>Kabul-Khwaja Rawash KBL</v>
      </c>
      <c r="F528">
        <f>IF(ISNUMBER(SEARCH(Request!$N$19,G528)),MAX(F$1:$F527)+1,0)</f>
        <v>527</v>
      </c>
      <c r="G528" s="11" t="s">
        <v>4569</v>
      </c>
      <c r="H528" t="str">
        <f>IFERROR(VLOOKUP(ROWS($H$2:H528),F528:G1746,2,0),"")</f>
        <v>Kabul-Khwaja Rawash KBL</v>
      </c>
    </row>
    <row r="529" spans="1:8" x14ac:dyDescent="0.25">
      <c r="A529">
        <f>IF(ISNUMBER(SEARCH(Request!$I$19,B529)),MAX($A$1:A528)+1,0)</f>
        <v>528</v>
      </c>
      <c r="B529" s="11" t="s">
        <v>4570</v>
      </c>
      <c r="D529" t="str">
        <f>IFERROR(VLOOKUP(ROWS($D$2:D529),A529:B1747,2,0),"")</f>
        <v>Kajaani KAJ</v>
      </c>
      <c r="F529">
        <f>IF(ISNUMBER(SEARCH(Request!$N$19,G529)),MAX(F$1:$F528)+1,0)</f>
        <v>528</v>
      </c>
      <c r="G529" s="11" t="s">
        <v>4570</v>
      </c>
      <c r="H529" t="str">
        <f>IFERROR(VLOOKUP(ROWS($H$2:H529),F529:G1747,2,0),"")</f>
        <v>Kajaani KAJ</v>
      </c>
    </row>
    <row r="530" spans="1:8" x14ac:dyDescent="0.25">
      <c r="A530">
        <f>IF(ISNUMBER(SEARCH(Request!$I$19,B530)),MAX($A$1:A529)+1,0)</f>
        <v>529</v>
      </c>
      <c r="B530" s="11" t="s">
        <v>4571</v>
      </c>
      <c r="D530" t="str">
        <f>IFERROR(VLOOKUP(ROWS($D$2:D530),A530:B1748,2,0),"")</f>
        <v>Kalamazoo/Battle Creek Int´l AZO</v>
      </c>
      <c r="F530">
        <f>IF(ISNUMBER(SEARCH(Request!$N$19,G530)),MAX(F$1:$F529)+1,0)</f>
        <v>529</v>
      </c>
      <c r="G530" s="11" t="s">
        <v>4571</v>
      </c>
      <c r="H530" t="str">
        <f>IFERROR(VLOOKUP(ROWS($H$2:H530),F530:G1748,2,0),"")</f>
        <v>Kalamazoo/Battle Creek Int´l AZO</v>
      </c>
    </row>
    <row r="531" spans="1:8" x14ac:dyDescent="0.25">
      <c r="A531">
        <f>IF(ISNUMBER(SEARCH(Request!$I$19,B531)),MAX($A$1:A530)+1,0)</f>
        <v>530</v>
      </c>
      <c r="B531" s="11" t="s">
        <v>4572</v>
      </c>
      <c r="D531" t="str">
        <f>IFERROR(VLOOKUP(ROWS($D$2:D531),A531:B1749,2,0),"")</f>
        <v>Kalmar KLR</v>
      </c>
      <c r="F531">
        <f>IF(ISNUMBER(SEARCH(Request!$N$19,G531)),MAX(F$1:$F530)+1,0)</f>
        <v>530</v>
      </c>
      <c r="G531" s="11" t="s">
        <v>4572</v>
      </c>
      <c r="H531" t="str">
        <f>IFERROR(VLOOKUP(ROWS($H$2:H531),F531:G1749,2,0),"")</f>
        <v>Kalmar KLR</v>
      </c>
    </row>
    <row r="532" spans="1:8" x14ac:dyDescent="0.25">
      <c r="A532">
        <f>IF(ISNUMBER(SEARCH(Request!$I$19,B532)),MAX($A$1:A531)+1,0)</f>
        <v>531</v>
      </c>
      <c r="B532" s="11" t="s">
        <v>4573</v>
      </c>
      <c r="D532" t="str">
        <f>IFERROR(VLOOKUP(ROWS($D$2:D532),A532:B1750,2,0),"")</f>
        <v>Kano – Mallam Aminu Kano KAN</v>
      </c>
      <c r="F532">
        <f>IF(ISNUMBER(SEARCH(Request!$N$19,G532)),MAX(F$1:$F531)+1,0)</f>
        <v>531</v>
      </c>
      <c r="G532" s="11" t="s">
        <v>4573</v>
      </c>
      <c r="H532" t="str">
        <f>IFERROR(VLOOKUP(ROWS($H$2:H532),F532:G1750,2,0),"")</f>
        <v>Kano – Mallam Aminu Kano KAN</v>
      </c>
    </row>
    <row r="533" spans="1:8" x14ac:dyDescent="0.25">
      <c r="A533">
        <f>IF(ISNUMBER(SEARCH(Request!$I$19,B533)),MAX($A$1:A532)+1,0)</f>
        <v>532</v>
      </c>
      <c r="B533" s="11" t="s">
        <v>4575</v>
      </c>
      <c r="D533" t="str">
        <f>IFERROR(VLOOKUP(ROWS($D$2:D533),A533:B1751,2,0),"")</f>
        <v>Kansas City Downtown MKC</v>
      </c>
      <c r="F533">
        <f>IF(ISNUMBER(SEARCH(Request!$N$19,G533)),MAX(F$1:$F532)+1,0)</f>
        <v>532</v>
      </c>
      <c r="G533" s="11" t="s">
        <v>4575</v>
      </c>
      <c r="H533" t="str">
        <f>IFERROR(VLOOKUP(ROWS($H$2:H533),F533:G1751,2,0),"")</f>
        <v>Kansas City Downtown MKC</v>
      </c>
    </row>
    <row r="534" spans="1:8" x14ac:dyDescent="0.25">
      <c r="A534">
        <f>IF(ISNUMBER(SEARCH(Request!$I$19,B534)),MAX($A$1:A533)+1,0)</f>
        <v>533</v>
      </c>
      <c r="B534" s="11" t="s">
        <v>4574</v>
      </c>
      <c r="D534" t="str">
        <f>IFERROR(VLOOKUP(ROWS($D$2:D534),A534:B1752,2,0),"")</f>
        <v>Kansas City MCI</v>
      </c>
      <c r="F534">
        <f>IF(ISNUMBER(SEARCH(Request!$N$19,G534)),MAX(F$1:$F533)+1,0)</f>
        <v>533</v>
      </c>
      <c r="G534" s="11" t="s">
        <v>4574</v>
      </c>
      <c r="H534" t="str">
        <f>IFERROR(VLOOKUP(ROWS($H$2:H534),F534:G1752,2,0),"")</f>
        <v>Kansas City MCI</v>
      </c>
    </row>
    <row r="535" spans="1:8" x14ac:dyDescent="0.25">
      <c r="A535">
        <f>IF(ISNUMBER(SEARCH(Request!$I$19,B535)),MAX($A$1:A534)+1,0)</f>
        <v>534</v>
      </c>
      <c r="B535" s="11" t="s">
        <v>4576</v>
      </c>
      <c r="D535" t="str">
        <f>IFERROR(VLOOKUP(ROWS($D$2:D535),A535:B1753,2,0),"")</f>
        <v>Kaohsiung Int´l KHH</v>
      </c>
      <c r="F535">
        <f>IF(ISNUMBER(SEARCH(Request!$N$19,G535)),MAX(F$1:$F534)+1,0)</f>
        <v>534</v>
      </c>
      <c r="G535" s="11" t="s">
        <v>4576</v>
      </c>
      <c r="H535" t="str">
        <f>IFERROR(VLOOKUP(ROWS($H$2:H535),F535:G1753,2,0),"")</f>
        <v>Kaohsiung Int´l KHH</v>
      </c>
    </row>
    <row r="536" spans="1:8" x14ac:dyDescent="0.25">
      <c r="A536">
        <f>IF(ISNUMBER(SEARCH(Request!$I$19,B536)),MAX($A$1:A535)+1,0)</f>
        <v>535</v>
      </c>
      <c r="B536" s="11" t="s">
        <v>4577</v>
      </c>
      <c r="D536" t="str">
        <f>IFERROR(VLOOKUP(ROWS($D$2:D536),A536:B1754,2,0),"")</f>
        <v>Karachi KHI</v>
      </c>
      <c r="F536">
        <f>IF(ISNUMBER(SEARCH(Request!$N$19,G536)),MAX(F$1:$F535)+1,0)</f>
        <v>535</v>
      </c>
      <c r="G536" s="11" t="s">
        <v>4577</v>
      </c>
      <c r="H536" t="str">
        <f>IFERROR(VLOOKUP(ROWS($H$2:H536),F536:G1754,2,0),"")</f>
        <v>Karachi KHI</v>
      </c>
    </row>
    <row r="537" spans="1:8" x14ac:dyDescent="0.25">
      <c r="A537">
        <f>IF(ISNUMBER(SEARCH(Request!$I$19,B537)),MAX($A$1:A536)+1,0)</f>
        <v>536</v>
      </c>
      <c r="B537" s="11" t="s">
        <v>4578</v>
      </c>
      <c r="D537" t="str">
        <f>IFERROR(VLOOKUP(ROWS($D$2:D537),A537:B1755,2,0),"")</f>
        <v>Karaganda – Sary Arka KGF</v>
      </c>
      <c r="F537">
        <f>IF(ISNUMBER(SEARCH(Request!$N$19,G537)),MAX(F$1:$F536)+1,0)</f>
        <v>536</v>
      </c>
      <c r="G537" s="11" t="s">
        <v>4578</v>
      </c>
      <c r="H537" t="str">
        <f>IFERROR(VLOOKUP(ROWS($H$2:H537),F537:G1755,2,0),"")</f>
        <v>Karaganda – Sary Arka KGF</v>
      </c>
    </row>
    <row r="538" spans="1:8" x14ac:dyDescent="0.25">
      <c r="A538">
        <f>IF(ISNUMBER(SEARCH(Request!$I$19,B538)),MAX($A$1:A537)+1,0)</f>
        <v>537</v>
      </c>
      <c r="B538" s="11" t="s">
        <v>4640</v>
      </c>
      <c r="D538" t="str">
        <f>IFERROR(VLOOKUP(ROWS($D$2:D538),A538:B1756,2,0),"")</f>
        <v>Kärdla KDL</v>
      </c>
      <c r="F538">
        <f>IF(ISNUMBER(SEARCH(Request!$N$19,G538)),MAX(F$1:$F537)+1,0)</f>
        <v>537</v>
      </c>
      <c r="G538" s="11" t="s">
        <v>4640</v>
      </c>
      <c r="H538" t="str">
        <f>IFERROR(VLOOKUP(ROWS($H$2:H538),F538:G1756,2,0),"")</f>
        <v>Kärdla KDL</v>
      </c>
    </row>
    <row r="539" spans="1:8" x14ac:dyDescent="0.25">
      <c r="A539">
        <f>IF(ISNUMBER(SEARCH(Request!$I$19,B539)),MAX($A$1:A538)+1,0)</f>
        <v>538</v>
      </c>
      <c r="B539" s="11" t="s">
        <v>4579</v>
      </c>
      <c r="D539" t="str">
        <f>IFERROR(VLOOKUP(ROWS($D$2:D539),A539:B1757,2,0),"")</f>
        <v>Kariba KAB</v>
      </c>
      <c r="F539">
        <f>IF(ISNUMBER(SEARCH(Request!$N$19,G539)),MAX(F$1:$F538)+1,0)</f>
        <v>538</v>
      </c>
      <c r="G539" s="11" t="s">
        <v>4579</v>
      </c>
      <c r="H539" t="str">
        <f>IFERROR(VLOOKUP(ROWS($H$2:H539),F539:G1757,2,0),"")</f>
        <v>Kariba KAB</v>
      </c>
    </row>
    <row r="540" spans="1:8" x14ac:dyDescent="0.25">
      <c r="A540">
        <f>IF(ISNUMBER(SEARCH(Request!$I$19,B540)),MAX($A$1:A539)+1,0)</f>
        <v>539</v>
      </c>
      <c r="B540" s="11" t="s">
        <v>4580</v>
      </c>
      <c r="D540" t="str">
        <f>IFERROR(VLOOKUP(ROWS($D$2:D540),A540:B1758,2,0),"")</f>
        <v>Karlovy Vary KLV</v>
      </c>
      <c r="F540">
        <f>IF(ISNUMBER(SEARCH(Request!$N$19,G540)),MAX(F$1:$F539)+1,0)</f>
        <v>539</v>
      </c>
      <c r="G540" s="11" t="s">
        <v>4580</v>
      </c>
      <c r="H540" t="str">
        <f>IFERROR(VLOOKUP(ROWS($H$2:H540),F540:G1758,2,0),"")</f>
        <v>Karlovy Vary KLV</v>
      </c>
    </row>
    <row r="541" spans="1:8" x14ac:dyDescent="0.25">
      <c r="A541">
        <f>IF(ISNUMBER(SEARCH(Request!$I$19,B541)),MAX($A$1:A540)+1,0)</f>
        <v>540</v>
      </c>
      <c r="B541" s="11" t="s">
        <v>4581</v>
      </c>
      <c r="D541" t="str">
        <f>IFERROR(VLOOKUP(ROWS($D$2:D541),A541:B1759,2,0),"")</f>
        <v>Karonga KGJ</v>
      </c>
      <c r="F541">
        <f>IF(ISNUMBER(SEARCH(Request!$N$19,G541)),MAX(F$1:$F540)+1,0)</f>
        <v>540</v>
      </c>
      <c r="G541" s="11" t="s">
        <v>4581</v>
      </c>
      <c r="H541" t="str">
        <f>IFERROR(VLOOKUP(ROWS($H$2:H541),F541:G1759,2,0),"")</f>
        <v>Karonga KGJ</v>
      </c>
    </row>
    <row r="542" spans="1:8" x14ac:dyDescent="0.25">
      <c r="A542">
        <f>IF(ISNUMBER(SEARCH(Request!$I$19,B542)),MAX($A$1:A541)+1,0)</f>
        <v>541</v>
      </c>
      <c r="B542" s="11" t="s">
        <v>4582</v>
      </c>
      <c r="D542" t="str">
        <f>IFERROR(VLOOKUP(ROWS($D$2:D542),A542:B1760,2,0),"")</f>
        <v>Karup KRP</v>
      </c>
      <c r="F542">
        <f>IF(ISNUMBER(SEARCH(Request!$N$19,G542)),MAX(F$1:$F541)+1,0)</f>
        <v>541</v>
      </c>
      <c r="G542" s="11" t="s">
        <v>4582</v>
      </c>
      <c r="H542" t="str">
        <f>IFERROR(VLOOKUP(ROWS($H$2:H542),F542:G1760,2,0),"")</f>
        <v>Karup KRP</v>
      </c>
    </row>
    <row r="543" spans="1:8" x14ac:dyDescent="0.25">
      <c r="A543">
        <f>IF(ISNUMBER(SEARCH(Request!$I$19,B543)),MAX($A$1:A542)+1,0)</f>
        <v>542</v>
      </c>
      <c r="B543" s="11" t="s">
        <v>4583</v>
      </c>
      <c r="D543" t="str">
        <f>IFERROR(VLOOKUP(ROWS($D$2:D543),A543:B1761,2,0),"")</f>
        <v>Kasane BBK</v>
      </c>
      <c r="F543">
        <f>IF(ISNUMBER(SEARCH(Request!$N$19,G543)),MAX(F$1:$F542)+1,0)</f>
        <v>542</v>
      </c>
      <c r="G543" s="11" t="s">
        <v>4583</v>
      </c>
      <c r="H543" t="str">
        <f>IFERROR(VLOOKUP(ROWS($H$2:H543),F543:G1761,2,0),"")</f>
        <v>Kasane BBK</v>
      </c>
    </row>
    <row r="544" spans="1:8" x14ac:dyDescent="0.25">
      <c r="A544">
        <f>IF(ISNUMBER(SEARCH(Request!$I$19,B544)),MAX($A$1:A543)+1,0)</f>
        <v>543</v>
      </c>
      <c r="B544" s="11" t="s">
        <v>4584</v>
      </c>
      <c r="D544" t="str">
        <f>IFERROR(VLOOKUP(ROWS($D$2:D544),A544:B1762,2,0),"")</f>
        <v>Kassel KSF</v>
      </c>
      <c r="F544">
        <f>IF(ISNUMBER(SEARCH(Request!$N$19,G544)),MAX(F$1:$F543)+1,0)</f>
        <v>543</v>
      </c>
      <c r="G544" s="11" t="s">
        <v>4584</v>
      </c>
      <c r="H544" t="str">
        <f>IFERROR(VLOOKUP(ROWS($H$2:H544),F544:G1762,2,0),"")</f>
        <v>Kassel KSF</v>
      </c>
    </row>
    <row r="545" spans="1:8" x14ac:dyDescent="0.25">
      <c r="A545">
        <f>IF(ISNUMBER(SEARCH(Request!$I$19,B545)),MAX($A$1:A544)+1,0)</f>
        <v>544</v>
      </c>
      <c r="B545" s="11" t="s">
        <v>4585</v>
      </c>
      <c r="D545" t="str">
        <f>IFERROR(VLOOKUP(ROWS($D$2:D545),A545:B1763,2,0),"")</f>
        <v>Kathmandu – Tribhuvan KTM</v>
      </c>
      <c r="F545">
        <f>IF(ISNUMBER(SEARCH(Request!$N$19,G545)),MAX(F$1:$F544)+1,0)</f>
        <v>544</v>
      </c>
      <c r="G545" s="11" t="s">
        <v>4585</v>
      </c>
      <c r="H545" t="str">
        <f>IFERROR(VLOOKUP(ROWS($H$2:H545),F545:G1763,2,0),"")</f>
        <v>Kathmandu – Tribhuvan KTM</v>
      </c>
    </row>
    <row r="546" spans="1:8" x14ac:dyDescent="0.25">
      <c r="A546">
        <f>IF(ISNUMBER(SEARCH(Request!$I$19,B546)),MAX($A$1:A545)+1,0)</f>
        <v>545</v>
      </c>
      <c r="B546" s="11" t="s">
        <v>4586</v>
      </c>
      <c r="D546" t="str">
        <f>IFERROR(VLOOKUP(ROWS($D$2:D546),A546:B1764,2,0),"")</f>
        <v>Katowice KTW</v>
      </c>
      <c r="F546">
        <f>IF(ISNUMBER(SEARCH(Request!$N$19,G546)),MAX(F$1:$F545)+1,0)</f>
        <v>545</v>
      </c>
      <c r="G546" s="11" t="s">
        <v>4586</v>
      </c>
      <c r="H546" t="str">
        <f>IFERROR(VLOOKUP(ROWS($H$2:H546),F546:G1764,2,0),"")</f>
        <v>Katowice KTW</v>
      </c>
    </row>
    <row r="547" spans="1:8" x14ac:dyDescent="0.25">
      <c r="A547">
        <f>IF(ISNUMBER(SEARCH(Request!$I$19,B547)),MAX($A$1:A546)+1,0)</f>
        <v>546</v>
      </c>
      <c r="B547" s="11" t="s">
        <v>4587</v>
      </c>
      <c r="D547" t="str">
        <f>IFERROR(VLOOKUP(ROWS($D$2:D547),A547:B1765,2,0),"")</f>
        <v>Kaunas KUN</v>
      </c>
      <c r="F547">
        <f>IF(ISNUMBER(SEARCH(Request!$N$19,G547)),MAX(F$1:$F546)+1,0)</f>
        <v>546</v>
      </c>
      <c r="G547" s="11" t="s">
        <v>4587</v>
      </c>
      <c r="H547" t="str">
        <f>IFERROR(VLOOKUP(ROWS($H$2:H547),F547:G1765,2,0),"")</f>
        <v>Kaunas KUN</v>
      </c>
    </row>
    <row r="548" spans="1:8" x14ac:dyDescent="0.25">
      <c r="A548">
        <f>IF(ISNUMBER(SEARCH(Request!$I$19,B548)),MAX($A$1:A547)+1,0)</f>
        <v>547</v>
      </c>
      <c r="B548" s="11" t="s">
        <v>4588</v>
      </c>
      <c r="D548" t="str">
        <f>IFERROR(VLOOKUP(ROWS($D$2:D548),A548:B1766,2,0),"")</f>
        <v>Kavala-Megas Alexandros Int´l KVA</v>
      </c>
      <c r="F548">
        <f>IF(ISNUMBER(SEARCH(Request!$N$19,G548)),MAX(F$1:$F547)+1,0)</f>
        <v>547</v>
      </c>
      <c r="G548" s="11" t="s">
        <v>4588</v>
      </c>
      <c r="H548" t="str">
        <f>IFERROR(VLOOKUP(ROWS($H$2:H548),F548:G1766,2,0),"")</f>
        <v>Kavala-Megas Alexandros Int´l KVA</v>
      </c>
    </row>
    <row r="549" spans="1:8" x14ac:dyDescent="0.25">
      <c r="A549">
        <f>IF(ISNUMBER(SEARCH(Request!$I$19,B549)),MAX($A$1:A548)+1,0)</f>
        <v>548</v>
      </c>
      <c r="B549" s="11" t="s">
        <v>4589</v>
      </c>
      <c r="D549" t="str">
        <f>IFERROR(VLOOKUP(ROWS($D$2:D549),A549:B1767,2,0),"")</f>
        <v>Kazan KZN</v>
      </c>
      <c r="F549">
        <f>IF(ISNUMBER(SEARCH(Request!$N$19,G549)),MAX(F$1:$F548)+1,0)</f>
        <v>548</v>
      </c>
      <c r="G549" s="11" t="s">
        <v>4589</v>
      </c>
      <c r="H549" t="str">
        <f>IFERROR(VLOOKUP(ROWS($H$2:H549),F549:G1767,2,0),"")</f>
        <v>Kazan KZN</v>
      </c>
    </row>
    <row r="550" spans="1:8" x14ac:dyDescent="0.25">
      <c r="A550">
        <f>IF(ISNUMBER(SEARCH(Request!$I$19,B550)),MAX($A$1:A549)+1,0)</f>
        <v>549</v>
      </c>
      <c r="B550" s="11" t="s">
        <v>4590</v>
      </c>
      <c r="D550" t="str">
        <f>IFERROR(VLOOKUP(ROWS($D$2:D550),A550:B1768,2,0),"")</f>
        <v>Kefallinia EFL</v>
      </c>
      <c r="F550">
        <f>IF(ISNUMBER(SEARCH(Request!$N$19,G550)),MAX(F$1:$F549)+1,0)</f>
        <v>549</v>
      </c>
      <c r="G550" s="11" t="s">
        <v>4590</v>
      </c>
      <c r="H550" t="str">
        <f>IFERROR(VLOOKUP(ROWS($H$2:H550),F550:G1768,2,0),"")</f>
        <v>Kefallinia EFL</v>
      </c>
    </row>
    <row r="551" spans="1:8" x14ac:dyDescent="0.25">
      <c r="A551">
        <f>IF(ISNUMBER(SEARCH(Request!$I$19,B551)),MAX($A$1:A550)+1,0)</f>
        <v>550</v>
      </c>
      <c r="B551" s="11" t="s">
        <v>4591</v>
      </c>
      <c r="D551" t="str">
        <f>IFERROR(VLOOKUP(ROWS($D$2:D551),A551:B1769,2,0),"")</f>
        <v>Keflavik KEF</v>
      </c>
      <c r="F551">
        <f>IF(ISNUMBER(SEARCH(Request!$N$19,G551)),MAX(F$1:$F550)+1,0)</f>
        <v>550</v>
      </c>
      <c r="G551" s="11" t="s">
        <v>4591</v>
      </c>
      <c r="H551" t="str">
        <f>IFERROR(VLOOKUP(ROWS($H$2:H551),F551:G1769,2,0),"")</f>
        <v>Keflavik KEF</v>
      </c>
    </row>
    <row r="552" spans="1:8" x14ac:dyDescent="0.25">
      <c r="A552">
        <f>IF(ISNUMBER(SEARCH(Request!$I$19,B552)),MAX($A$1:A551)+1,0)</f>
        <v>551</v>
      </c>
      <c r="B552" s="11" t="s">
        <v>4592</v>
      </c>
      <c r="D552" t="str">
        <f>IFERROR(VLOOKUP(ROWS($D$2:D552),A552:B1770,2,0),"")</f>
        <v>Kelowna YLW</v>
      </c>
      <c r="F552">
        <f>IF(ISNUMBER(SEARCH(Request!$N$19,G552)),MAX(F$1:$F551)+1,0)</f>
        <v>551</v>
      </c>
      <c r="G552" s="11" t="s">
        <v>4592</v>
      </c>
      <c r="H552" t="str">
        <f>IFERROR(VLOOKUP(ROWS($H$2:H552),F552:G1770,2,0),"")</f>
        <v>Kelowna YLW</v>
      </c>
    </row>
    <row r="553" spans="1:8" x14ac:dyDescent="0.25">
      <c r="A553">
        <f>IF(ISNUMBER(SEARCH(Request!$I$19,B553)),MAX($A$1:A552)+1,0)</f>
        <v>552</v>
      </c>
      <c r="B553" s="11" t="s">
        <v>4593</v>
      </c>
      <c r="D553" t="str">
        <f>IFERROR(VLOOKUP(ROWS($D$2:D553),A553:B1771,2,0),"")</f>
        <v>Kemi-Tornio KEM</v>
      </c>
      <c r="F553">
        <f>IF(ISNUMBER(SEARCH(Request!$N$19,G553)),MAX(F$1:$F552)+1,0)</f>
        <v>552</v>
      </c>
      <c r="G553" s="11" t="s">
        <v>4593</v>
      </c>
      <c r="H553" t="str">
        <f>IFERROR(VLOOKUP(ROWS($H$2:H553),F553:G1771,2,0),"")</f>
        <v>Kemi-Tornio KEM</v>
      </c>
    </row>
    <row r="554" spans="1:8" x14ac:dyDescent="0.25">
      <c r="A554">
        <f>IF(ISNUMBER(SEARCH(Request!$I$19,B554)),MAX($A$1:A553)+1,0)</f>
        <v>553</v>
      </c>
      <c r="B554" s="11" t="s">
        <v>4594</v>
      </c>
      <c r="D554" t="str">
        <f>IFERROR(VLOOKUP(ROWS($D$2:D554),A554:B1772,2,0),"")</f>
        <v>Kerry KIR</v>
      </c>
      <c r="F554">
        <f>IF(ISNUMBER(SEARCH(Request!$N$19,G554)),MAX(F$1:$F553)+1,0)</f>
        <v>553</v>
      </c>
      <c r="G554" s="11" t="s">
        <v>4594</v>
      </c>
      <c r="H554" t="str">
        <f>IFERROR(VLOOKUP(ROWS($H$2:H554),F554:G1772,2,0),"")</f>
        <v>Kerry KIR</v>
      </c>
    </row>
    <row r="555" spans="1:8" x14ac:dyDescent="0.25">
      <c r="A555">
        <f>IF(ISNUMBER(SEARCH(Request!$I$19,B555)),MAX($A$1:A554)+1,0)</f>
        <v>554</v>
      </c>
      <c r="B555" s="11" t="s">
        <v>4595</v>
      </c>
      <c r="D555" t="str">
        <f>IFERROR(VLOOKUP(ROWS($D$2:D555),A555:B1773,2,0),"")</f>
        <v>Key West EYW</v>
      </c>
      <c r="F555">
        <f>IF(ISNUMBER(SEARCH(Request!$N$19,G555)),MAX(F$1:$F554)+1,0)</f>
        <v>554</v>
      </c>
      <c r="G555" s="11" t="s">
        <v>4595</v>
      </c>
      <c r="H555" t="str">
        <f>IFERROR(VLOOKUP(ROWS($H$2:H555),F555:G1773,2,0),"")</f>
        <v>Key West EYW</v>
      </c>
    </row>
    <row r="556" spans="1:8" x14ac:dyDescent="0.25">
      <c r="A556">
        <f>IF(ISNUMBER(SEARCH(Request!$I$19,B556)),MAX($A$1:A555)+1,0)</f>
        <v>555</v>
      </c>
      <c r="B556" s="11" t="s">
        <v>4596</v>
      </c>
      <c r="D556" t="str">
        <f>IFERROR(VLOOKUP(ROWS($D$2:D556),A556:B1774,2,0),"")</f>
        <v>Khabarovsk – Novy KHV</v>
      </c>
      <c r="F556">
        <f>IF(ISNUMBER(SEARCH(Request!$N$19,G556)),MAX(F$1:$F555)+1,0)</f>
        <v>555</v>
      </c>
      <c r="G556" s="11" t="s">
        <v>4596</v>
      </c>
      <c r="H556" t="str">
        <f>IFERROR(VLOOKUP(ROWS($H$2:H556),F556:G1774,2,0),"")</f>
        <v>Khabarovsk – Novy KHV</v>
      </c>
    </row>
    <row r="557" spans="1:8" x14ac:dyDescent="0.25">
      <c r="A557">
        <f>IF(ISNUMBER(SEARCH(Request!$I$19,B557)),MAX($A$1:A556)+1,0)</f>
        <v>556</v>
      </c>
      <c r="B557" s="11" t="s">
        <v>4597</v>
      </c>
      <c r="D557" t="str">
        <f>IFERROR(VLOOKUP(ROWS($D$2:D557),A557:B1775,2,0),"")</f>
        <v>Khartoum KRT</v>
      </c>
      <c r="F557">
        <f>IF(ISNUMBER(SEARCH(Request!$N$19,G557)),MAX(F$1:$F556)+1,0)</f>
        <v>556</v>
      </c>
      <c r="G557" s="11" t="s">
        <v>4597</v>
      </c>
      <c r="H557" t="str">
        <f>IFERROR(VLOOKUP(ROWS($H$2:H557),F557:G1775,2,0),"")</f>
        <v>Khartoum KRT</v>
      </c>
    </row>
    <row r="558" spans="1:8" x14ac:dyDescent="0.25">
      <c r="A558">
        <f>IF(ISNUMBER(SEARCH(Request!$I$19,B558)),MAX($A$1:A557)+1,0)</f>
        <v>557</v>
      </c>
      <c r="B558" s="11" t="s">
        <v>4598</v>
      </c>
      <c r="D558" t="str">
        <f>IFERROR(VLOOKUP(ROWS($D$2:D558),A558:B1776,2,0),"")</f>
        <v>Kiev – Boryspil State KBP</v>
      </c>
      <c r="F558">
        <f>IF(ISNUMBER(SEARCH(Request!$N$19,G558)),MAX(F$1:$F557)+1,0)</f>
        <v>557</v>
      </c>
      <c r="G558" s="11" t="s">
        <v>4598</v>
      </c>
      <c r="H558" t="str">
        <f>IFERROR(VLOOKUP(ROWS($H$2:H558),F558:G1776,2,0),"")</f>
        <v>Kiev – Boryspil State KBP</v>
      </c>
    </row>
    <row r="559" spans="1:8" x14ac:dyDescent="0.25">
      <c r="A559">
        <f>IF(ISNUMBER(SEARCH(Request!$I$19,B559)),MAX($A$1:A558)+1,0)</f>
        <v>558</v>
      </c>
      <c r="B559" s="11" t="s">
        <v>4599</v>
      </c>
      <c r="D559" t="str">
        <f>IFERROR(VLOOKUP(ROWS($D$2:D559),A559:B1777,2,0),"")</f>
        <v>Kiev – Zulhany IEV</v>
      </c>
      <c r="F559">
        <f>IF(ISNUMBER(SEARCH(Request!$N$19,G559)),MAX(F$1:$F558)+1,0)</f>
        <v>558</v>
      </c>
      <c r="G559" s="11" t="s">
        <v>4599</v>
      </c>
      <c r="H559" t="str">
        <f>IFERROR(VLOOKUP(ROWS($H$2:H559),F559:G1777,2,0),"")</f>
        <v>Kiev – Zulhany IEV</v>
      </c>
    </row>
    <row r="560" spans="1:8" x14ac:dyDescent="0.25">
      <c r="A560">
        <f>IF(ISNUMBER(SEARCH(Request!$I$19,B560)),MAX($A$1:A559)+1,0)</f>
        <v>559</v>
      </c>
      <c r="B560" s="11" t="s">
        <v>4600</v>
      </c>
      <c r="D560" t="str">
        <f>IFERROR(VLOOKUP(ROWS($D$2:D560),A560:B1778,2,0),"")</f>
        <v>Kigali KGL</v>
      </c>
      <c r="F560">
        <f>IF(ISNUMBER(SEARCH(Request!$N$19,G560)),MAX(F$1:$F559)+1,0)</f>
        <v>559</v>
      </c>
      <c r="G560" s="11" t="s">
        <v>4600</v>
      </c>
      <c r="H560" t="str">
        <f>IFERROR(VLOOKUP(ROWS($H$2:H560),F560:G1778,2,0),"")</f>
        <v>Kigali KGL</v>
      </c>
    </row>
    <row r="561" spans="1:8" x14ac:dyDescent="0.25">
      <c r="A561">
        <f>IF(ISNUMBER(SEARCH(Request!$I$19,B561)),MAX($A$1:A560)+1,0)</f>
        <v>560</v>
      </c>
      <c r="B561" s="11" t="s">
        <v>4601</v>
      </c>
      <c r="D561" t="str">
        <f>IFERROR(VLOOKUP(ROWS($D$2:D561),A561:B1779,2,0),"")</f>
        <v>Kilimanjaro JRO</v>
      </c>
      <c r="F561">
        <f>IF(ISNUMBER(SEARCH(Request!$N$19,G561)),MAX(F$1:$F560)+1,0)</f>
        <v>560</v>
      </c>
      <c r="G561" s="11" t="s">
        <v>4601</v>
      </c>
      <c r="H561" t="str">
        <f>IFERROR(VLOOKUP(ROWS($H$2:H561),F561:G1779,2,0),"")</f>
        <v>Kilimanjaro JRO</v>
      </c>
    </row>
    <row r="562" spans="1:8" x14ac:dyDescent="0.25">
      <c r="A562">
        <f>IF(ISNUMBER(SEARCH(Request!$I$19,B562)),MAX($A$1:A561)+1,0)</f>
        <v>561</v>
      </c>
      <c r="B562" s="11" t="s">
        <v>4602</v>
      </c>
      <c r="D562" t="str">
        <f>IFERROR(VLOOKUP(ROWS($D$2:D562),A562:B1780,2,0),"")</f>
        <v>Kimberley KIM</v>
      </c>
      <c r="F562">
        <f>IF(ISNUMBER(SEARCH(Request!$N$19,G562)),MAX(F$1:$F561)+1,0)</f>
        <v>561</v>
      </c>
      <c r="G562" s="11" t="s">
        <v>4602</v>
      </c>
      <c r="H562" t="str">
        <f>IFERROR(VLOOKUP(ROWS($H$2:H562),F562:G1780,2,0),"")</f>
        <v>Kimberley KIM</v>
      </c>
    </row>
    <row r="563" spans="1:8" x14ac:dyDescent="0.25">
      <c r="A563">
        <f>IF(ISNUMBER(SEARCH(Request!$I$19,B563)),MAX($A$1:A562)+1,0)</f>
        <v>562</v>
      </c>
      <c r="B563" s="11" t="s">
        <v>4603</v>
      </c>
      <c r="D563" t="str">
        <f>IFERROR(VLOOKUP(ROWS($D$2:D563),A563:B1781,2,0),"")</f>
        <v>Kingston – Norman Manley KIN</v>
      </c>
      <c r="F563">
        <f>IF(ISNUMBER(SEARCH(Request!$N$19,G563)),MAX(F$1:$F562)+1,0)</f>
        <v>562</v>
      </c>
      <c r="G563" s="11" t="s">
        <v>4603</v>
      </c>
      <c r="H563" t="str">
        <f>IFERROR(VLOOKUP(ROWS($H$2:H563),F563:G1781,2,0),"")</f>
        <v>Kingston – Norman Manley KIN</v>
      </c>
    </row>
    <row r="564" spans="1:8" x14ac:dyDescent="0.25">
      <c r="A564">
        <f>IF(ISNUMBER(SEARCH(Request!$I$19,B564)),MAX($A$1:A563)+1,0)</f>
        <v>563</v>
      </c>
      <c r="B564" s="11" t="s">
        <v>4604</v>
      </c>
      <c r="D564" t="str">
        <f>IFERROR(VLOOKUP(ROWS($D$2:D564),A564:B1782,2,0),"")</f>
        <v>Kinshasa-N´Djili FIH</v>
      </c>
      <c r="F564">
        <f>IF(ISNUMBER(SEARCH(Request!$N$19,G564)),MAX(F$1:$F563)+1,0)</f>
        <v>563</v>
      </c>
      <c r="G564" s="11" t="s">
        <v>4604</v>
      </c>
      <c r="H564" t="str">
        <f>IFERROR(VLOOKUP(ROWS($H$2:H564),F564:G1782,2,0),"")</f>
        <v>Kinshasa-N´Djili FIH</v>
      </c>
    </row>
    <row r="565" spans="1:8" x14ac:dyDescent="0.25">
      <c r="A565">
        <f>IF(ISNUMBER(SEARCH(Request!$I$19,B565)),MAX($A$1:A564)+1,0)</f>
        <v>564</v>
      </c>
      <c r="B565" s="11" t="s">
        <v>4605</v>
      </c>
      <c r="D565" t="str">
        <f>IFERROR(VLOOKUP(ROWS($D$2:D565),A565:B1783,2,0),"")</f>
        <v>Kinston – North Carolina Global Transpark ISO</v>
      </c>
      <c r="F565">
        <f>IF(ISNUMBER(SEARCH(Request!$N$19,G565)),MAX(F$1:$F564)+1,0)</f>
        <v>564</v>
      </c>
      <c r="G565" s="11" t="s">
        <v>4605</v>
      </c>
      <c r="H565" t="str">
        <f>IFERROR(VLOOKUP(ROWS($H$2:H565),F565:G1783,2,0),"")</f>
        <v>Kinston – North Carolina Global Transpark ISO</v>
      </c>
    </row>
    <row r="566" spans="1:8" x14ac:dyDescent="0.25">
      <c r="A566">
        <f>IF(ISNUMBER(SEARCH(Request!$I$19,B566)),MAX($A$1:A565)+1,0)</f>
        <v>565</v>
      </c>
      <c r="B566" s="11" t="s">
        <v>4606</v>
      </c>
      <c r="D566" t="str">
        <f>IFERROR(VLOOKUP(ROWS($D$2:D566),A566:B1784,2,0),"")</f>
        <v>Kirkenes KKN</v>
      </c>
      <c r="F566">
        <f>IF(ISNUMBER(SEARCH(Request!$N$19,G566)),MAX(F$1:$F565)+1,0)</f>
        <v>565</v>
      </c>
      <c r="G566" s="11" t="s">
        <v>4606</v>
      </c>
      <c r="H566" t="str">
        <f>IFERROR(VLOOKUP(ROWS($H$2:H566),F566:G1784,2,0),"")</f>
        <v>Kirkenes KKN</v>
      </c>
    </row>
    <row r="567" spans="1:8" x14ac:dyDescent="0.25">
      <c r="A567">
        <f>IF(ISNUMBER(SEARCH(Request!$I$19,B567)),MAX($A$1:A566)+1,0)</f>
        <v>566</v>
      </c>
      <c r="B567" s="11" t="s">
        <v>4607</v>
      </c>
      <c r="D567" t="str">
        <f>IFERROR(VLOOKUP(ROWS($D$2:D567),A567:B1785,2,0),"")</f>
        <v>Kirkwall KOI</v>
      </c>
      <c r="F567">
        <f>IF(ISNUMBER(SEARCH(Request!$N$19,G567)),MAX(F$1:$F566)+1,0)</f>
        <v>566</v>
      </c>
      <c r="G567" s="11" t="s">
        <v>4607</v>
      </c>
      <c r="H567" t="str">
        <f>IFERROR(VLOOKUP(ROWS($H$2:H567),F567:G1785,2,0),"")</f>
        <v>Kirkwall KOI</v>
      </c>
    </row>
    <row r="568" spans="1:8" x14ac:dyDescent="0.25">
      <c r="A568">
        <f>IF(ISNUMBER(SEARCH(Request!$I$19,B568)),MAX($A$1:A567)+1,0)</f>
        <v>567</v>
      </c>
      <c r="B568" s="11" t="s">
        <v>4608</v>
      </c>
      <c r="D568" t="str">
        <f>IFERROR(VLOOKUP(ROWS($D$2:D568),A568:B1786,2,0),"")</f>
        <v>Kiruna KRN</v>
      </c>
      <c r="F568">
        <f>IF(ISNUMBER(SEARCH(Request!$N$19,G568)),MAX(F$1:$F567)+1,0)</f>
        <v>567</v>
      </c>
      <c r="G568" s="11" t="s">
        <v>4608</v>
      </c>
      <c r="H568" t="str">
        <f>IFERROR(VLOOKUP(ROWS($H$2:H568),F568:G1786,2,0),"")</f>
        <v>Kiruna KRN</v>
      </c>
    </row>
    <row r="569" spans="1:8" x14ac:dyDescent="0.25">
      <c r="A569">
        <f>IF(ISNUMBER(SEARCH(Request!$I$19,B569)),MAX($A$1:A568)+1,0)</f>
        <v>568</v>
      </c>
      <c r="B569" s="11" t="s">
        <v>4609</v>
      </c>
      <c r="D569" t="str">
        <f>IFERROR(VLOOKUP(ROWS($D$2:D569),A569:B1787,2,0),"")</f>
        <v>Kittilä KTT</v>
      </c>
      <c r="F569">
        <f>IF(ISNUMBER(SEARCH(Request!$N$19,G569)),MAX(F$1:$F568)+1,0)</f>
        <v>568</v>
      </c>
      <c r="G569" s="11" t="s">
        <v>4609</v>
      </c>
      <c r="H569" t="str">
        <f>IFERROR(VLOOKUP(ROWS($H$2:H569),F569:G1787,2,0),"")</f>
        <v>Kittilä KTT</v>
      </c>
    </row>
    <row r="570" spans="1:8" x14ac:dyDescent="0.25">
      <c r="A570">
        <f>IF(ISNUMBER(SEARCH(Request!$I$19,B570)),MAX($A$1:A569)+1,0)</f>
        <v>569</v>
      </c>
      <c r="B570" s="11" t="s">
        <v>4610</v>
      </c>
      <c r="D570" t="str">
        <f>IFERROR(VLOOKUP(ROWS($D$2:D570),A570:B1788,2,0),"")</f>
        <v>Klagenfurt KLU</v>
      </c>
      <c r="F570">
        <f>IF(ISNUMBER(SEARCH(Request!$N$19,G570)),MAX(F$1:$F569)+1,0)</f>
        <v>569</v>
      </c>
      <c r="G570" s="11" t="s">
        <v>4610</v>
      </c>
      <c r="H570" t="str">
        <f>IFERROR(VLOOKUP(ROWS($H$2:H570),F570:G1788,2,0),"")</f>
        <v>Klagenfurt KLU</v>
      </c>
    </row>
    <row r="571" spans="1:8" x14ac:dyDescent="0.25">
      <c r="A571">
        <f>IF(ISNUMBER(SEARCH(Request!$I$19,B571)),MAX($A$1:A570)+1,0)</f>
        <v>570</v>
      </c>
      <c r="B571" s="11" t="s">
        <v>4611</v>
      </c>
      <c r="D571" t="str">
        <f>IFERROR(VLOOKUP(ROWS($D$2:D571),A571:B1789,2,0),"")</f>
        <v>Klamath Falls Int´l LMT</v>
      </c>
      <c r="F571">
        <f>IF(ISNUMBER(SEARCH(Request!$N$19,G571)),MAX(F$1:$F570)+1,0)</f>
        <v>570</v>
      </c>
      <c r="G571" s="11" t="s">
        <v>4611</v>
      </c>
      <c r="H571" t="str">
        <f>IFERROR(VLOOKUP(ROWS($H$2:H571),F571:G1789,2,0),"")</f>
        <v>Klamath Falls Int´l LMT</v>
      </c>
    </row>
    <row r="572" spans="1:8" x14ac:dyDescent="0.25">
      <c r="A572">
        <f>IF(ISNUMBER(SEARCH(Request!$I$19,B572)),MAX($A$1:A571)+1,0)</f>
        <v>571</v>
      </c>
      <c r="B572" s="11" t="s">
        <v>4612</v>
      </c>
      <c r="D572" t="str">
        <f>IFERROR(VLOOKUP(ROWS($D$2:D572),A572:B1790,2,0),"")</f>
        <v>Knock Int´l NOC</v>
      </c>
      <c r="F572">
        <f>IF(ISNUMBER(SEARCH(Request!$N$19,G572)),MAX(F$1:$F571)+1,0)</f>
        <v>571</v>
      </c>
      <c r="G572" s="11" t="s">
        <v>4612</v>
      </c>
      <c r="H572" t="str">
        <f>IFERROR(VLOOKUP(ROWS($H$2:H572),F572:G1790,2,0),"")</f>
        <v>Knock Int´l NOC</v>
      </c>
    </row>
    <row r="573" spans="1:8" x14ac:dyDescent="0.25">
      <c r="A573">
        <f>IF(ISNUMBER(SEARCH(Request!$I$19,B573)),MAX($A$1:A572)+1,0)</f>
        <v>572</v>
      </c>
      <c r="B573" s="11" t="s">
        <v>4613</v>
      </c>
      <c r="D573" t="str">
        <f>IFERROR(VLOOKUP(ROWS($D$2:D573),A573:B1791,2,0),"")</f>
        <v>Knoxville – McGhee Tyson TYS</v>
      </c>
      <c r="F573">
        <f>IF(ISNUMBER(SEARCH(Request!$N$19,G573)),MAX(F$1:$F572)+1,0)</f>
        <v>572</v>
      </c>
      <c r="G573" s="11" t="s">
        <v>4613</v>
      </c>
      <c r="H573" t="str">
        <f>IFERROR(VLOOKUP(ROWS($H$2:H573),F573:G1791,2,0),"")</f>
        <v>Knoxville – McGhee Tyson TYS</v>
      </c>
    </row>
    <row r="574" spans="1:8" x14ac:dyDescent="0.25">
      <c r="A574">
        <f>IF(ISNUMBER(SEARCH(Request!$I$19,B574)),MAX($A$1:A573)+1,0)</f>
        <v>573</v>
      </c>
      <c r="B574" s="11" t="s">
        <v>4614</v>
      </c>
      <c r="D574" t="str">
        <f>IFERROR(VLOOKUP(ROWS($D$2:D574),A574:B1792,2,0),"")</f>
        <v>Kochi KCZ</v>
      </c>
      <c r="F574">
        <f>IF(ISNUMBER(SEARCH(Request!$N$19,G574)),MAX(F$1:$F573)+1,0)</f>
        <v>573</v>
      </c>
      <c r="G574" s="11" t="s">
        <v>4614</v>
      </c>
      <c r="H574" t="str">
        <f>IFERROR(VLOOKUP(ROWS($H$2:H574),F574:G1792,2,0),"")</f>
        <v>Kochi KCZ</v>
      </c>
    </row>
    <row r="575" spans="1:8" x14ac:dyDescent="0.25">
      <c r="A575">
        <f>IF(ISNUMBER(SEARCH(Request!$I$19,B575)),MAX($A$1:A574)+1,0)</f>
        <v>574</v>
      </c>
      <c r="B575" s="11" t="s">
        <v>4615</v>
      </c>
      <c r="D575" t="str">
        <f>IFERROR(VLOOKUP(ROWS($D$2:D575),A575:B1793,2,0),"")</f>
        <v>Kolkata – Netaji Subhas Chanra Bose Int´l CCU</v>
      </c>
      <c r="F575">
        <f>IF(ISNUMBER(SEARCH(Request!$N$19,G575)),MAX(F$1:$F574)+1,0)</f>
        <v>574</v>
      </c>
      <c r="G575" s="11" t="s">
        <v>4615</v>
      </c>
      <c r="H575" t="str">
        <f>IFERROR(VLOOKUP(ROWS($H$2:H575),F575:G1793,2,0),"")</f>
        <v>Kolkata – Netaji Subhas Chanra Bose Int´l CCU</v>
      </c>
    </row>
    <row r="576" spans="1:8" x14ac:dyDescent="0.25">
      <c r="A576">
        <f>IF(ISNUMBER(SEARCH(Request!$I$19,B576)),MAX($A$1:A575)+1,0)</f>
        <v>575</v>
      </c>
      <c r="B576" s="11" t="s">
        <v>4616</v>
      </c>
      <c r="D576" t="str">
        <f>IFERROR(VLOOKUP(ROWS($D$2:D576),A576:B1794,2,0),"")</f>
        <v>Komatsu KMQ</v>
      </c>
      <c r="F576">
        <f>IF(ISNUMBER(SEARCH(Request!$N$19,G576)),MAX(F$1:$F575)+1,0)</f>
        <v>575</v>
      </c>
      <c r="G576" s="11" t="s">
        <v>4616</v>
      </c>
      <c r="H576" t="str">
        <f>IFERROR(VLOOKUP(ROWS($H$2:H576),F576:G1794,2,0),"")</f>
        <v>Komatsu KMQ</v>
      </c>
    </row>
    <row r="577" spans="1:8" x14ac:dyDescent="0.25">
      <c r="A577">
        <f>IF(ISNUMBER(SEARCH(Request!$I$19,B577)),MAX($A$1:A576)+1,0)</f>
        <v>576</v>
      </c>
      <c r="B577" s="11" t="s">
        <v>4617</v>
      </c>
      <c r="D577" t="str">
        <f>IFERROR(VLOOKUP(ROWS($D$2:D577),A577:B1795,2,0),"")</f>
        <v>Kortrijk-Wevelgem/Flanders Int´l FIA</v>
      </c>
      <c r="F577">
        <f>IF(ISNUMBER(SEARCH(Request!$N$19,G577)),MAX(F$1:$F576)+1,0)</f>
        <v>576</v>
      </c>
      <c r="G577" s="11" t="s">
        <v>4617</v>
      </c>
      <c r="H577" t="str">
        <f>IFERROR(VLOOKUP(ROWS($H$2:H577),F577:G1795,2,0),"")</f>
        <v>Kortrijk-Wevelgem/Flanders Int´l FIA</v>
      </c>
    </row>
    <row r="578" spans="1:8" x14ac:dyDescent="0.25">
      <c r="A578">
        <f>IF(ISNUMBER(SEARCH(Request!$I$19,B578)),MAX($A$1:A577)+1,0)</f>
        <v>577</v>
      </c>
      <c r="B578" s="11" t="s">
        <v>4618</v>
      </c>
      <c r="D578" t="str">
        <f>IFERROR(VLOOKUP(ROWS($D$2:D578),A578:B1796,2,0),"")</f>
        <v>Kos – Ippokratis KGS</v>
      </c>
      <c r="F578">
        <f>IF(ISNUMBER(SEARCH(Request!$N$19,G578)),MAX(F$1:$F577)+1,0)</f>
        <v>577</v>
      </c>
      <c r="G578" s="11" t="s">
        <v>4618</v>
      </c>
      <c r="H578" t="str">
        <f>IFERROR(VLOOKUP(ROWS($H$2:H578),F578:G1796,2,0),"")</f>
        <v>Kos – Ippokratis KGS</v>
      </c>
    </row>
    <row r="579" spans="1:8" x14ac:dyDescent="0.25">
      <c r="A579">
        <f>IF(ISNUMBER(SEARCH(Request!$I$19,B579)),MAX($A$1:A578)+1,0)</f>
        <v>578</v>
      </c>
      <c r="B579" s="11" t="s">
        <v>4619</v>
      </c>
      <c r="D579" t="str">
        <f>IFERROR(VLOOKUP(ROWS($D$2:D579),A579:B1797,2,0),"")</f>
        <v>Kosice KSC</v>
      </c>
      <c r="F579">
        <f>IF(ISNUMBER(SEARCH(Request!$N$19,G579)),MAX(F$1:$F578)+1,0)</f>
        <v>578</v>
      </c>
      <c r="G579" s="11" t="s">
        <v>4619</v>
      </c>
      <c r="H579" t="str">
        <f>IFERROR(VLOOKUP(ROWS($H$2:H579),F579:G1797,2,0),"")</f>
        <v>Kosice KSC</v>
      </c>
    </row>
    <row r="580" spans="1:8" x14ac:dyDescent="0.25">
      <c r="A580">
        <f>IF(ISNUMBER(SEARCH(Request!$I$19,B580)),MAX($A$1:A579)+1,0)</f>
        <v>579</v>
      </c>
      <c r="B580" s="11" t="s">
        <v>4620</v>
      </c>
      <c r="D580" t="str">
        <f>IFERROR(VLOOKUP(ROWS($D$2:D580),A580:B1798,2,0),"")</f>
        <v>Kota Bharu – Sultan Ismail Petra KBR</v>
      </c>
      <c r="F580">
        <f>IF(ISNUMBER(SEARCH(Request!$N$19,G580)),MAX(F$1:$F579)+1,0)</f>
        <v>579</v>
      </c>
      <c r="G580" s="11" t="s">
        <v>4620</v>
      </c>
      <c r="H580" t="str">
        <f>IFERROR(VLOOKUP(ROWS($H$2:H580),F580:G1798,2,0),"")</f>
        <v>Kota Bharu – Sultan Ismail Petra KBR</v>
      </c>
    </row>
    <row r="581" spans="1:8" x14ac:dyDescent="0.25">
      <c r="A581">
        <f>IF(ISNUMBER(SEARCH(Request!$I$19,B581)),MAX($A$1:A580)+1,0)</f>
        <v>580</v>
      </c>
      <c r="B581" s="11" t="s">
        <v>4621</v>
      </c>
      <c r="D581" t="str">
        <f>IFERROR(VLOOKUP(ROWS($D$2:D581),A581:B1799,2,0),"")</f>
        <v>Kota Kinabalu Int´l BKI</v>
      </c>
      <c r="F581">
        <f>IF(ISNUMBER(SEARCH(Request!$N$19,G581)),MAX(F$1:$F580)+1,0)</f>
        <v>580</v>
      </c>
      <c r="G581" s="11" t="s">
        <v>4621</v>
      </c>
      <c r="H581" t="str">
        <f>IFERROR(VLOOKUP(ROWS($H$2:H581),F581:G1799,2,0),"")</f>
        <v>Kota Kinabalu Int´l BKI</v>
      </c>
    </row>
    <row r="582" spans="1:8" x14ac:dyDescent="0.25">
      <c r="A582">
        <f>IF(ISNUMBER(SEARCH(Request!$I$19,B582)),MAX($A$1:A581)+1,0)</f>
        <v>581</v>
      </c>
      <c r="B582" s="11" t="s">
        <v>4622</v>
      </c>
      <c r="D582" t="str">
        <f>IFERROR(VLOOKUP(ROWS($D$2:D582),A582:B1800,2,0),"")</f>
        <v>Kotoka ACC</v>
      </c>
      <c r="F582">
        <f>IF(ISNUMBER(SEARCH(Request!$N$19,G582)),MAX(F$1:$F581)+1,0)</f>
        <v>581</v>
      </c>
      <c r="G582" s="11" t="s">
        <v>4622</v>
      </c>
      <c r="H582" t="str">
        <f>IFERROR(VLOOKUP(ROWS($H$2:H582),F582:G1800,2,0),"")</f>
        <v>Kotoka ACC</v>
      </c>
    </row>
    <row r="583" spans="1:8" x14ac:dyDescent="0.25">
      <c r="A583">
        <f>IF(ISNUMBER(SEARCH(Request!$I$19,B583)),MAX($A$1:A582)+1,0)</f>
        <v>582</v>
      </c>
      <c r="B583" s="11" t="s">
        <v>4623</v>
      </c>
      <c r="D583" t="str">
        <f>IFERROR(VLOOKUP(ROWS($D$2:D583),A583:B1801,2,0),"")</f>
        <v>Krakow-Balice KRK</v>
      </c>
      <c r="F583">
        <f>IF(ISNUMBER(SEARCH(Request!$N$19,G583)),MAX(F$1:$F582)+1,0)</f>
        <v>582</v>
      </c>
      <c r="G583" s="11" t="s">
        <v>4623</v>
      </c>
      <c r="H583" t="str">
        <f>IFERROR(VLOOKUP(ROWS($H$2:H583),F583:G1801,2,0),"")</f>
        <v>Krakow-Balice KRK</v>
      </c>
    </row>
    <row r="584" spans="1:8" x14ac:dyDescent="0.25">
      <c r="A584">
        <f>IF(ISNUMBER(SEARCH(Request!$I$19,B584)),MAX($A$1:A583)+1,0)</f>
        <v>583</v>
      </c>
      <c r="B584" s="11" t="s">
        <v>4624</v>
      </c>
      <c r="D584" t="str">
        <f>IFERROR(VLOOKUP(ROWS($D$2:D584),A584:B1802,2,0),"")</f>
        <v>Krasnoyarsk KJA</v>
      </c>
      <c r="F584">
        <f>IF(ISNUMBER(SEARCH(Request!$N$19,G584)),MAX(F$1:$F583)+1,0)</f>
        <v>583</v>
      </c>
      <c r="G584" s="11" t="s">
        <v>4624</v>
      </c>
      <c r="H584" t="str">
        <f>IFERROR(VLOOKUP(ROWS($H$2:H584),F584:G1802,2,0),"")</f>
        <v>Krasnoyarsk KJA</v>
      </c>
    </row>
    <row r="585" spans="1:8" x14ac:dyDescent="0.25">
      <c r="A585">
        <f>IF(ISNUMBER(SEARCH(Request!$I$19,B585)),MAX($A$1:A584)+1,0)</f>
        <v>584</v>
      </c>
      <c r="B585" s="11" t="s">
        <v>4625</v>
      </c>
      <c r="D585" t="str">
        <f>IFERROR(VLOOKUP(ROWS($D$2:D585),A585:B1803,2,0),"")</f>
        <v>Kristianstad – Everod KID</v>
      </c>
      <c r="F585">
        <f>IF(ISNUMBER(SEARCH(Request!$N$19,G585)),MAX(F$1:$F584)+1,0)</f>
        <v>584</v>
      </c>
      <c r="G585" s="11" t="s">
        <v>4625</v>
      </c>
      <c r="H585" t="str">
        <f>IFERROR(VLOOKUP(ROWS($H$2:H585),F585:G1803,2,0),"")</f>
        <v>Kristianstad – Everod KID</v>
      </c>
    </row>
    <row r="586" spans="1:8" x14ac:dyDescent="0.25">
      <c r="A586">
        <f>IF(ISNUMBER(SEARCH(Request!$I$19,B586)),MAX($A$1:A585)+1,0)</f>
        <v>585</v>
      </c>
      <c r="B586" s="11" t="s">
        <v>4626</v>
      </c>
      <c r="D586" t="str">
        <f>IFERROR(VLOOKUP(ROWS($D$2:D586),A586:B1804,2,0),"")</f>
        <v>Krivij Rig KWG</v>
      </c>
      <c r="F586">
        <f>IF(ISNUMBER(SEARCH(Request!$N$19,G586)),MAX(F$1:$F585)+1,0)</f>
        <v>585</v>
      </c>
      <c r="G586" s="11" t="s">
        <v>4626</v>
      </c>
      <c r="H586" t="str">
        <f>IFERROR(VLOOKUP(ROWS($H$2:H586),F586:G1804,2,0),"")</f>
        <v>Krivij Rig KWG</v>
      </c>
    </row>
    <row r="587" spans="1:8" x14ac:dyDescent="0.25">
      <c r="A587">
        <f>IF(ISNUMBER(SEARCH(Request!$I$19,B587)),MAX($A$1:A586)+1,0)</f>
        <v>586</v>
      </c>
      <c r="B587" s="11" t="s">
        <v>4627</v>
      </c>
      <c r="D587" t="str">
        <f>IFERROR(VLOOKUP(ROWS($D$2:D587),A587:B1805,2,0),"")</f>
        <v>Kruunupyy – Kokkola-Pietarsaari KOK</v>
      </c>
      <c r="F587">
        <f>IF(ISNUMBER(SEARCH(Request!$N$19,G587)),MAX(F$1:$F586)+1,0)</f>
        <v>586</v>
      </c>
      <c r="G587" s="11" t="s">
        <v>4627</v>
      </c>
      <c r="H587" t="str">
        <f>IFERROR(VLOOKUP(ROWS($H$2:H587),F587:G1805,2,0),"")</f>
        <v>Kruunupyy – Kokkola-Pietarsaari KOK</v>
      </c>
    </row>
    <row r="588" spans="1:8" x14ac:dyDescent="0.25">
      <c r="A588">
        <f>IF(ISNUMBER(SEARCH(Request!$I$19,B588)),MAX($A$1:A587)+1,0)</f>
        <v>587</v>
      </c>
      <c r="B588" s="11" t="s">
        <v>4628</v>
      </c>
      <c r="D588" t="str">
        <f>IFERROR(VLOOKUP(ROWS($D$2:D588),A588:B1806,2,0),"")</f>
        <v>Kuala Lumpur – KLIA KUL</v>
      </c>
      <c r="F588">
        <f>IF(ISNUMBER(SEARCH(Request!$N$19,G588)),MAX(F$1:$F587)+1,0)</f>
        <v>587</v>
      </c>
      <c r="G588" s="11" t="s">
        <v>4628</v>
      </c>
      <c r="H588" t="str">
        <f>IFERROR(VLOOKUP(ROWS($H$2:H588),F588:G1806,2,0),"")</f>
        <v>Kuala Lumpur – KLIA KUL</v>
      </c>
    </row>
    <row r="589" spans="1:8" x14ac:dyDescent="0.25">
      <c r="A589">
        <f>IF(ISNUMBER(SEARCH(Request!$I$19,B589)),MAX($A$1:A588)+1,0)</f>
        <v>588</v>
      </c>
      <c r="B589" s="11" t="s">
        <v>4629</v>
      </c>
      <c r="D589" t="str">
        <f>IFERROR(VLOOKUP(ROWS($D$2:D589),A589:B1807,2,0),"")</f>
        <v>Kuala Lumpur – Sultan Abdul Aziz Shah SZB</v>
      </c>
      <c r="F589">
        <f>IF(ISNUMBER(SEARCH(Request!$N$19,G589)),MAX(F$1:$F588)+1,0)</f>
        <v>588</v>
      </c>
      <c r="G589" s="11" t="s">
        <v>4629</v>
      </c>
      <c r="H589" t="str">
        <f>IFERROR(VLOOKUP(ROWS($H$2:H589),F589:G1807,2,0),"")</f>
        <v>Kuala Lumpur – Sultan Abdul Aziz Shah SZB</v>
      </c>
    </row>
    <row r="590" spans="1:8" x14ac:dyDescent="0.25">
      <c r="A590">
        <f>IF(ISNUMBER(SEARCH(Request!$I$19,B590)),MAX($A$1:A589)+1,0)</f>
        <v>589</v>
      </c>
      <c r="B590" s="11" t="s">
        <v>4630</v>
      </c>
      <c r="D590" t="str">
        <f>IFERROR(VLOOKUP(ROWS($D$2:D590),A590:B1808,2,0),"")</f>
        <v>Kuala Terengganu – Sultan Mahmud TGG</v>
      </c>
      <c r="F590">
        <f>IF(ISNUMBER(SEARCH(Request!$N$19,G590)),MAX(F$1:$F589)+1,0)</f>
        <v>589</v>
      </c>
      <c r="G590" s="11" t="s">
        <v>4630</v>
      </c>
      <c r="H590" t="str">
        <f>IFERROR(VLOOKUP(ROWS($H$2:H590),F590:G1808,2,0),"")</f>
        <v>Kuala Terengganu – Sultan Mahmud TGG</v>
      </c>
    </row>
    <row r="591" spans="1:8" x14ac:dyDescent="0.25">
      <c r="A591">
        <f>IF(ISNUMBER(SEARCH(Request!$I$19,B591)),MAX($A$1:A590)+1,0)</f>
        <v>590</v>
      </c>
      <c r="B591" s="11" t="s">
        <v>4631</v>
      </c>
      <c r="D591" t="str">
        <f>IFERROR(VLOOKUP(ROWS($D$2:D591),A591:B1809,2,0),"")</f>
        <v>Kuantan – Sultan Haji Ahmad Shah KUA</v>
      </c>
      <c r="F591">
        <f>IF(ISNUMBER(SEARCH(Request!$N$19,G591)),MAX(F$1:$F590)+1,0)</f>
        <v>590</v>
      </c>
      <c r="G591" s="11" t="s">
        <v>4631</v>
      </c>
      <c r="H591" t="str">
        <f>IFERROR(VLOOKUP(ROWS($H$2:H591),F591:G1809,2,0),"")</f>
        <v>Kuantan – Sultan Haji Ahmad Shah KUA</v>
      </c>
    </row>
    <row r="592" spans="1:8" x14ac:dyDescent="0.25">
      <c r="A592">
        <f>IF(ISNUMBER(SEARCH(Request!$I$19,B592)),MAX($A$1:A591)+1,0)</f>
        <v>591</v>
      </c>
      <c r="B592" s="11" t="s">
        <v>4632</v>
      </c>
      <c r="D592" t="str">
        <f>IFERROR(VLOOKUP(ROWS($D$2:D592),A592:B1810,2,0),"")</f>
        <v>Kuching Int´l KCH</v>
      </c>
      <c r="F592">
        <f>IF(ISNUMBER(SEARCH(Request!$N$19,G592)),MAX(F$1:$F591)+1,0)</f>
        <v>591</v>
      </c>
      <c r="G592" s="11" t="s">
        <v>4632</v>
      </c>
      <c r="H592" t="str">
        <f>IFERROR(VLOOKUP(ROWS($H$2:H592),F592:G1810,2,0),"")</f>
        <v>Kuching Int´l KCH</v>
      </c>
    </row>
    <row r="593" spans="1:8" x14ac:dyDescent="0.25">
      <c r="A593">
        <f>IF(ISNUMBER(SEARCH(Request!$I$19,B593)),MAX($A$1:A592)+1,0)</f>
        <v>592</v>
      </c>
      <c r="B593" s="11" t="s">
        <v>4633</v>
      </c>
      <c r="D593" t="str">
        <f>IFERROR(VLOOKUP(ROWS($D$2:D593),A593:B1811,2,0),"")</f>
        <v>Kumamoto KMJ</v>
      </c>
      <c r="F593">
        <f>IF(ISNUMBER(SEARCH(Request!$N$19,G593)),MAX(F$1:$F592)+1,0)</f>
        <v>592</v>
      </c>
      <c r="G593" s="11" t="s">
        <v>4633</v>
      </c>
      <c r="H593" t="str">
        <f>IFERROR(VLOOKUP(ROWS($H$2:H593),F593:G1811,2,0),"")</f>
        <v>Kumamoto KMJ</v>
      </c>
    </row>
    <row r="594" spans="1:8" x14ac:dyDescent="0.25">
      <c r="A594">
        <f>IF(ISNUMBER(SEARCH(Request!$I$19,B594)),MAX($A$1:A593)+1,0)</f>
        <v>593</v>
      </c>
      <c r="B594" s="11" t="s">
        <v>4634</v>
      </c>
      <c r="D594" t="str">
        <f>IFERROR(VLOOKUP(ROWS($D$2:D594),A594:B1812,2,0),"")</f>
        <v>Kumasi KMS</v>
      </c>
      <c r="F594">
        <f>IF(ISNUMBER(SEARCH(Request!$N$19,G594)),MAX(F$1:$F593)+1,0)</f>
        <v>593</v>
      </c>
      <c r="G594" s="11" t="s">
        <v>4634</v>
      </c>
      <c r="H594" t="str">
        <f>IFERROR(VLOOKUP(ROWS($H$2:H594),F594:G1812,2,0),"")</f>
        <v>Kumasi KMS</v>
      </c>
    </row>
    <row r="595" spans="1:8" x14ac:dyDescent="0.25">
      <c r="A595">
        <f>IF(ISNUMBER(SEARCH(Request!$I$19,B595)),MAX($A$1:A594)+1,0)</f>
        <v>594</v>
      </c>
      <c r="B595" s="11" t="s">
        <v>4635</v>
      </c>
      <c r="D595" t="str">
        <f>IFERROR(VLOOKUP(ROWS($D$2:D595),A595:B1813,2,0),"")</f>
        <v>Kunming – Wujiaba KMG</v>
      </c>
      <c r="F595">
        <f>IF(ISNUMBER(SEARCH(Request!$N$19,G595)),MAX(F$1:$F594)+1,0)</f>
        <v>594</v>
      </c>
      <c r="G595" s="11" t="s">
        <v>4635</v>
      </c>
      <c r="H595" t="str">
        <f>IFERROR(VLOOKUP(ROWS($H$2:H595),F595:G1813,2,0),"")</f>
        <v>Kunming – Wujiaba KMG</v>
      </c>
    </row>
    <row r="596" spans="1:8" x14ac:dyDescent="0.25">
      <c r="A596">
        <f>IF(ISNUMBER(SEARCH(Request!$I$19,B596)),MAX($A$1:A595)+1,0)</f>
        <v>595</v>
      </c>
      <c r="B596" s="11" t="s">
        <v>4636</v>
      </c>
      <c r="D596" t="str">
        <f>IFERROR(VLOOKUP(ROWS($D$2:D596),A596:B1814,2,0),"")</f>
        <v>Kuopio KUO</v>
      </c>
      <c r="F596">
        <f>IF(ISNUMBER(SEARCH(Request!$N$19,G596)),MAX(F$1:$F595)+1,0)</f>
        <v>595</v>
      </c>
      <c r="G596" s="11" t="s">
        <v>4636</v>
      </c>
      <c r="H596" t="str">
        <f>IFERROR(VLOOKUP(ROWS($H$2:H596),F596:G1814,2,0),"")</f>
        <v>Kuopio KUO</v>
      </c>
    </row>
    <row r="597" spans="1:8" x14ac:dyDescent="0.25">
      <c r="A597">
        <f>IF(ISNUMBER(SEARCH(Request!$I$19,B597)),MAX($A$1:A596)+1,0)</f>
        <v>596</v>
      </c>
      <c r="B597" s="11" t="s">
        <v>4637</v>
      </c>
      <c r="D597" t="str">
        <f>IFERROR(VLOOKUP(ROWS($D$2:D597),A597:B1815,2,0),"")</f>
        <v>Kuressaare URE</v>
      </c>
      <c r="F597">
        <f>IF(ISNUMBER(SEARCH(Request!$N$19,G597)),MAX(F$1:$F596)+1,0)</f>
        <v>596</v>
      </c>
      <c r="G597" s="11" t="s">
        <v>4637</v>
      </c>
      <c r="H597" t="str">
        <f>IFERROR(VLOOKUP(ROWS($H$2:H597),F597:G1815,2,0),"")</f>
        <v>Kuressaare URE</v>
      </c>
    </row>
    <row r="598" spans="1:8" x14ac:dyDescent="0.25">
      <c r="A598">
        <f>IF(ISNUMBER(SEARCH(Request!$I$19,B598)),MAX($A$1:A597)+1,0)</f>
        <v>597</v>
      </c>
      <c r="B598" s="11" t="s">
        <v>4638</v>
      </c>
      <c r="D598" t="str">
        <f>IFERROR(VLOOKUP(ROWS($D$2:D598),A598:B1816,2,0),"")</f>
        <v>Kuusamo KAO</v>
      </c>
      <c r="F598">
        <f>IF(ISNUMBER(SEARCH(Request!$N$19,G598)),MAX(F$1:$F597)+1,0)</f>
        <v>597</v>
      </c>
      <c r="G598" s="11" t="s">
        <v>4638</v>
      </c>
      <c r="H598" t="str">
        <f>IFERROR(VLOOKUP(ROWS($H$2:H598),F598:G1816,2,0),"")</f>
        <v>Kuusamo KAO</v>
      </c>
    </row>
    <row r="599" spans="1:8" x14ac:dyDescent="0.25">
      <c r="A599">
        <f>IF(ISNUMBER(SEARCH(Request!$I$19,B599)),MAX($A$1:A598)+1,0)</f>
        <v>598</v>
      </c>
      <c r="B599" s="11" t="s">
        <v>4639</v>
      </c>
      <c r="D599" t="str">
        <f>IFERROR(VLOOKUP(ROWS($D$2:D599),A599:B1817,2,0),"")</f>
        <v>Kuwait KWI</v>
      </c>
      <c r="F599">
        <f>IF(ISNUMBER(SEARCH(Request!$N$19,G599)),MAX(F$1:$F598)+1,0)</f>
        <v>598</v>
      </c>
      <c r="G599" s="11" t="s">
        <v>4639</v>
      </c>
      <c r="H599" t="str">
        <f>IFERROR(VLOOKUP(ROWS($H$2:H599),F599:G1817,2,0),"")</f>
        <v>Kuwait KWI</v>
      </c>
    </row>
    <row r="600" spans="1:8" x14ac:dyDescent="0.25">
      <c r="A600">
        <f>IF(ISNUMBER(SEARCH(Request!$I$19,B600)),MAX($A$1:A599)+1,0)</f>
        <v>599</v>
      </c>
      <c r="B600" s="11" t="s">
        <v>4641</v>
      </c>
      <c r="D600" t="str">
        <f>IFERROR(VLOOKUP(ROWS($D$2:D600),A600:B1818,2,0),"")</f>
        <v>La Ceiba – Golson LCE</v>
      </c>
      <c r="F600">
        <f>IF(ISNUMBER(SEARCH(Request!$N$19,G600)),MAX(F$1:$F599)+1,0)</f>
        <v>599</v>
      </c>
      <c r="G600" s="11" t="s">
        <v>4641</v>
      </c>
      <c r="H600" t="str">
        <f>IFERROR(VLOOKUP(ROWS($H$2:H600),F600:G1818,2,0),"")</f>
        <v>La Ceiba – Golson LCE</v>
      </c>
    </row>
    <row r="601" spans="1:8" x14ac:dyDescent="0.25">
      <c r="A601">
        <f>IF(ISNUMBER(SEARCH(Request!$I$19,B601)),MAX($A$1:A600)+1,0)</f>
        <v>600</v>
      </c>
      <c r="B601" s="11" t="s">
        <v>4642</v>
      </c>
      <c r="D601" t="str">
        <f>IFERROR(VLOOKUP(ROWS($D$2:D601),A601:B1819,2,0),"")</f>
        <v>La Coruña LCG</v>
      </c>
      <c r="F601">
        <f>IF(ISNUMBER(SEARCH(Request!$N$19,G601)),MAX(F$1:$F600)+1,0)</f>
        <v>600</v>
      </c>
      <c r="G601" s="11" t="s">
        <v>4642</v>
      </c>
      <c r="H601" t="str">
        <f>IFERROR(VLOOKUP(ROWS($H$2:H601),F601:G1819,2,0),"")</f>
        <v>La Coruña LCG</v>
      </c>
    </row>
    <row r="602" spans="1:8" x14ac:dyDescent="0.25">
      <c r="A602">
        <f>IF(ISNUMBER(SEARCH(Request!$I$19,B602)),MAX($A$1:A601)+1,0)</f>
        <v>601</v>
      </c>
      <c r="B602" s="11" t="s">
        <v>4643</v>
      </c>
      <c r="D602" t="str">
        <f>IFERROR(VLOOKUP(ROWS($D$2:D602),A602:B1820,2,0),"")</f>
        <v>La Crosse Municipal LSE</v>
      </c>
      <c r="F602">
        <f>IF(ISNUMBER(SEARCH(Request!$N$19,G602)),MAX(F$1:$F601)+1,0)</f>
        <v>601</v>
      </c>
      <c r="G602" s="11" t="s">
        <v>4643</v>
      </c>
      <c r="H602" t="str">
        <f>IFERROR(VLOOKUP(ROWS($H$2:H602),F602:G1820,2,0),"")</f>
        <v>La Crosse Municipal LSE</v>
      </c>
    </row>
    <row r="603" spans="1:8" x14ac:dyDescent="0.25">
      <c r="A603">
        <f>IF(ISNUMBER(SEARCH(Request!$I$19,B603)),MAX($A$1:A602)+1,0)</f>
        <v>602</v>
      </c>
      <c r="B603" s="11" t="s">
        <v>4644</v>
      </c>
      <c r="D603" t="str">
        <f>IFERROR(VLOOKUP(ROWS($D$2:D603),A603:B1821,2,0),"")</f>
        <v>La Havana – Jose Marti HAV</v>
      </c>
      <c r="F603">
        <f>IF(ISNUMBER(SEARCH(Request!$N$19,G603)),MAX(F$1:$F602)+1,0)</f>
        <v>602</v>
      </c>
      <c r="G603" s="11" t="s">
        <v>4644</v>
      </c>
      <c r="H603" t="str">
        <f>IFERROR(VLOOKUP(ROWS($H$2:H603),F603:G1821,2,0),"")</f>
        <v>La Havana – Jose Marti HAV</v>
      </c>
    </row>
    <row r="604" spans="1:8" x14ac:dyDescent="0.25">
      <c r="A604">
        <f>IF(ISNUMBER(SEARCH(Request!$I$19,B604)),MAX($A$1:A603)+1,0)</f>
        <v>603</v>
      </c>
      <c r="B604" s="11" t="s">
        <v>4645</v>
      </c>
      <c r="D604" t="str">
        <f>IFERROR(VLOOKUP(ROWS($D$2:D604),A604:B1822,2,0),"")</f>
        <v>La Palma SPC</v>
      </c>
      <c r="F604">
        <f>IF(ISNUMBER(SEARCH(Request!$N$19,G604)),MAX(F$1:$F603)+1,0)</f>
        <v>603</v>
      </c>
      <c r="G604" s="11" t="s">
        <v>4645</v>
      </c>
      <c r="H604" t="str">
        <f>IFERROR(VLOOKUP(ROWS($H$2:H604),F604:G1822,2,0),"")</f>
        <v>La Palma SPC</v>
      </c>
    </row>
    <row r="605" spans="1:8" x14ac:dyDescent="0.25">
      <c r="A605">
        <f>IF(ISNUMBER(SEARCH(Request!$I$19,B605)),MAX($A$1:A604)+1,0)</f>
        <v>604</v>
      </c>
      <c r="B605" s="11" t="s">
        <v>4646</v>
      </c>
      <c r="D605" t="str">
        <f>IFERROR(VLOOKUP(ROWS($D$2:D605),A605:B1823,2,0),"")</f>
        <v>La Paz-El Alto LPB</v>
      </c>
      <c r="F605">
        <f>IF(ISNUMBER(SEARCH(Request!$N$19,G605)),MAX(F$1:$F604)+1,0)</f>
        <v>604</v>
      </c>
      <c r="G605" s="11" t="s">
        <v>4646</v>
      </c>
      <c r="H605" t="str">
        <f>IFERROR(VLOOKUP(ROWS($H$2:H605),F605:G1823,2,0),"")</f>
        <v>La Paz-El Alto LPB</v>
      </c>
    </row>
    <row r="606" spans="1:8" x14ac:dyDescent="0.25">
      <c r="A606">
        <f>IF(ISNUMBER(SEARCH(Request!$I$19,B606)),MAX($A$1:A605)+1,0)</f>
        <v>605</v>
      </c>
      <c r="B606" s="11" t="s">
        <v>4647</v>
      </c>
      <c r="D606" t="str">
        <f>IFERROR(VLOOKUP(ROWS($D$2:D606),A606:B1824,2,0),"")</f>
        <v>La Paz-Manuel de Leon LAP</v>
      </c>
      <c r="F606">
        <f>IF(ISNUMBER(SEARCH(Request!$N$19,G606)),MAX(F$1:$F605)+1,0)</f>
        <v>605</v>
      </c>
      <c r="G606" s="11" t="s">
        <v>4647</v>
      </c>
      <c r="H606" t="str">
        <f>IFERROR(VLOOKUP(ROWS($H$2:H606),F606:G1824,2,0),"")</f>
        <v>La Paz-Manuel de Leon LAP</v>
      </c>
    </row>
    <row r="607" spans="1:8" x14ac:dyDescent="0.25">
      <c r="A607">
        <f>IF(ISNUMBER(SEARCH(Request!$I$19,B607)),MAX($A$1:A606)+1,0)</f>
        <v>606</v>
      </c>
      <c r="B607" s="11" t="s">
        <v>4648</v>
      </c>
      <c r="D607" t="str">
        <f>IFERROR(VLOOKUP(ROWS($D$2:D607),A607:B1825,2,0),"")</f>
        <v>La Rochelle – Ile de Ré LRH</v>
      </c>
      <c r="F607">
        <f>IF(ISNUMBER(SEARCH(Request!$N$19,G607)),MAX(F$1:$F606)+1,0)</f>
        <v>606</v>
      </c>
      <c r="G607" s="11" t="s">
        <v>4648</v>
      </c>
      <c r="H607" t="str">
        <f>IFERROR(VLOOKUP(ROWS($H$2:H607),F607:G1825,2,0),"")</f>
        <v>La Rochelle – Ile de Ré LRH</v>
      </c>
    </row>
    <row r="608" spans="1:8" x14ac:dyDescent="0.25">
      <c r="A608">
        <f>IF(ISNUMBER(SEARCH(Request!$I$19,B608)),MAX($A$1:A607)+1,0)</f>
        <v>607</v>
      </c>
      <c r="B608" s="11" t="s">
        <v>4649</v>
      </c>
      <c r="D608" t="str">
        <f>IFERROR(VLOOKUP(ROWS($D$2:D608),A608:B1826,2,0),"")</f>
        <v>Laayoune Hassan EUN</v>
      </c>
      <c r="F608">
        <f>IF(ISNUMBER(SEARCH(Request!$N$19,G608)),MAX(F$1:$F607)+1,0)</f>
        <v>607</v>
      </c>
      <c r="G608" s="11" t="s">
        <v>4649</v>
      </c>
      <c r="H608" t="str">
        <f>IFERROR(VLOOKUP(ROWS($H$2:H608),F608:G1826,2,0),"")</f>
        <v>Laayoune Hassan EUN</v>
      </c>
    </row>
    <row r="609" spans="1:8" x14ac:dyDescent="0.25">
      <c r="A609">
        <f>IF(ISNUMBER(SEARCH(Request!$I$19,B609)),MAX($A$1:A608)+1,0)</f>
        <v>608</v>
      </c>
      <c r="B609" s="11" t="s">
        <v>4650</v>
      </c>
      <c r="D609" t="str">
        <f>IFERROR(VLOOKUP(ROWS($D$2:D609),A609:B1827,2,0),"")</f>
        <v>Labuan LBU</v>
      </c>
      <c r="F609">
        <f>IF(ISNUMBER(SEARCH(Request!$N$19,G609)),MAX(F$1:$F608)+1,0)</f>
        <v>608</v>
      </c>
      <c r="G609" s="11" t="s">
        <v>4650</v>
      </c>
      <c r="H609" t="str">
        <f>IFERROR(VLOOKUP(ROWS($H$2:H609),F609:G1827,2,0),"")</f>
        <v>Labuan LBU</v>
      </c>
    </row>
    <row r="610" spans="1:8" x14ac:dyDescent="0.25">
      <c r="A610">
        <f>IF(ISNUMBER(SEARCH(Request!$I$19,B610)),MAX($A$1:A609)+1,0)</f>
        <v>609</v>
      </c>
      <c r="B610" s="11" t="s">
        <v>4651</v>
      </c>
      <c r="D610" t="str">
        <f>IFERROR(VLOOKUP(ROWS($D$2:D610),A610:B1828,2,0),"")</f>
        <v>Lae LAE</v>
      </c>
      <c r="F610">
        <f>IF(ISNUMBER(SEARCH(Request!$N$19,G610)),MAX(F$1:$F609)+1,0)</f>
        <v>609</v>
      </c>
      <c r="G610" s="11" t="s">
        <v>4651</v>
      </c>
      <c r="H610" t="str">
        <f>IFERROR(VLOOKUP(ROWS($H$2:H610),F610:G1828,2,0),"")</f>
        <v>Lae LAE</v>
      </c>
    </row>
    <row r="611" spans="1:8" x14ac:dyDescent="0.25">
      <c r="A611">
        <f>IF(ISNUMBER(SEARCH(Request!$I$19,B611)),MAX($A$1:A610)+1,0)</f>
        <v>610</v>
      </c>
      <c r="B611" s="11" t="s">
        <v>4652</v>
      </c>
      <c r="D611" t="str">
        <f>IFERROR(VLOOKUP(ROWS($D$2:D611),A611:B1829,2,0),"")</f>
        <v>Lafayette Regional LFT</v>
      </c>
      <c r="F611">
        <f>IF(ISNUMBER(SEARCH(Request!$N$19,G611)),MAX(F$1:$F610)+1,0)</f>
        <v>610</v>
      </c>
      <c r="G611" s="11" t="s">
        <v>4652</v>
      </c>
      <c r="H611" t="str">
        <f>IFERROR(VLOOKUP(ROWS($H$2:H611),F611:G1829,2,0),"")</f>
        <v>Lafayette Regional LFT</v>
      </c>
    </row>
    <row r="612" spans="1:8" x14ac:dyDescent="0.25">
      <c r="A612">
        <f>IF(ISNUMBER(SEARCH(Request!$I$19,B612)),MAX($A$1:A611)+1,0)</f>
        <v>611</v>
      </c>
      <c r="B612" s="11" t="s">
        <v>4653</v>
      </c>
      <c r="D612" t="str">
        <f>IFERROR(VLOOKUP(ROWS($D$2:D612),A612:B1830,2,0),"")</f>
        <v>Lagos – Murtala Muhammed LOS</v>
      </c>
      <c r="F612">
        <f>IF(ISNUMBER(SEARCH(Request!$N$19,G612)),MAX(F$1:$F611)+1,0)</f>
        <v>611</v>
      </c>
      <c r="G612" s="11" t="s">
        <v>4653</v>
      </c>
      <c r="H612" t="str">
        <f>IFERROR(VLOOKUP(ROWS($H$2:H612),F612:G1830,2,0),"")</f>
        <v>Lagos – Murtala Muhammed LOS</v>
      </c>
    </row>
    <row r="613" spans="1:8" x14ac:dyDescent="0.25">
      <c r="A613">
        <f>IF(ISNUMBER(SEARCH(Request!$I$19,B613)),MAX($A$1:A612)+1,0)</f>
        <v>612</v>
      </c>
      <c r="B613" s="11" t="s">
        <v>4654</v>
      </c>
      <c r="D613" t="str">
        <f>IFERROR(VLOOKUP(ROWS($D$2:D613),A613:B1831,2,0),"")</f>
        <v>Lahad Datu LDU</v>
      </c>
      <c r="F613">
        <f>IF(ISNUMBER(SEARCH(Request!$N$19,G613)),MAX(F$1:$F612)+1,0)</f>
        <v>612</v>
      </c>
      <c r="G613" s="11" t="s">
        <v>4654</v>
      </c>
      <c r="H613" t="str">
        <f>IFERROR(VLOOKUP(ROWS($H$2:H613),F613:G1831,2,0),"")</f>
        <v>Lahad Datu LDU</v>
      </c>
    </row>
    <row r="614" spans="1:8" x14ac:dyDescent="0.25">
      <c r="A614">
        <f>IF(ISNUMBER(SEARCH(Request!$I$19,B614)),MAX($A$1:A613)+1,0)</f>
        <v>613</v>
      </c>
      <c r="B614" s="11" t="s">
        <v>4655</v>
      </c>
      <c r="D614" t="str">
        <f>IFERROR(VLOOKUP(ROWS($D$2:D614),A614:B1832,2,0),"")</f>
        <v>Lahore – Allama Iqbal LHE</v>
      </c>
      <c r="F614">
        <f>IF(ISNUMBER(SEARCH(Request!$N$19,G614)),MAX(F$1:$F613)+1,0)</f>
        <v>613</v>
      </c>
      <c r="G614" s="11" t="s">
        <v>4655</v>
      </c>
      <c r="H614" t="str">
        <f>IFERROR(VLOOKUP(ROWS($H$2:H614),F614:G1832,2,0),"")</f>
        <v>Lahore – Allama Iqbal LHE</v>
      </c>
    </row>
    <row r="615" spans="1:8" x14ac:dyDescent="0.25">
      <c r="A615">
        <f>IF(ISNUMBER(SEARCH(Request!$I$19,B615)),MAX($A$1:A614)+1,0)</f>
        <v>614</v>
      </c>
      <c r="B615" s="11" t="s">
        <v>4656</v>
      </c>
      <c r="D615" t="str">
        <f>IFERROR(VLOOKUP(ROWS($D$2:D615),A615:B1833,2,0),"")</f>
        <v>Lahr – Black Forest LHA</v>
      </c>
      <c r="F615">
        <f>IF(ISNUMBER(SEARCH(Request!$N$19,G615)),MAX(F$1:$F614)+1,0)</f>
        <v>614</v>
      </c>
      <c r="G615" s="11" t="s">
        <v>4656</v>
      </c>
      <c r="H615" t="str">
        <f>IFERROR(VLOOKUP(ROWS($H$2:H615),F615:G1833,2,0),"")</f>
        <v>Lahr – Black Forest LHA</v>
      </c>
    </row>
    <row r="616" spans="1:8" x14ac:dyDescent="0.25">
      <c r="A616">
        <f>IF(ISNUMBER(SEARCH(Request!$I$19,B616)),MAX($A$1:A615)+1,0)</f>
        <v>615</v>
      </c>
      <c r="B616" s="11" t="s">
        <v>4657</v>
      </c>
      <c r="D616" t="str">
        <f>IFERROR(VLOOKUP(ROWS($D$2:D616),A616:B1834,2,0),"")</f>
        <v>Lake Tahoe TVL</v>
      </c>
      <c r="F616">
        <f>IF(ISNUMBER(SEARCH(Request!$N$19,G616)),MAX(F$1:$F615)+1,0)</f>
        <v>615</v>
      </c>
      <c r="G616" s="11" t="s">
        <v>4657</v>
      </c>
      <c r="H616" t="str">
        <f>IFERROR(VLOOKUP(ROWS($H$2:H616),F616:G1834,2,0),"")</f>
        <v>Lake Tahoe TVL</v>
      </c>
    </row>
    <row r="617" spans="1:8" x14ac:dyDescent="0.25">
      <c r="A617">
        <f>IF(ISNUMBER(SEARCH(Request!$I$19,B617)),MAX($A$1:A616)+1,0)</f>
        <v>616</v>
      </c>
      <c r="B617" s="11" t="s">
        <v>4658</v>
      </c>
      <c r="D617" t="str">
        <f>IFERROR(VLOOKUP(ROWS($D$2:D617),A617:B1835,2,0),"")</f>
        <v>Lakselv – Banak LKL</v>
      </c>
      <c r="F617">
        <f>IF(ISNUMBER(SEARCH(Request!$N$19,G617)),MAX(F$1:$F616)+1,0)</f>
        <v>616</v>
      </c>
      <c r="G617" s="11" t="s">
        <v>4658</v>
      </c>
      <c r="H617" t="str">
        <f>IFERROR(VLOOKUP(ROWS($H$2:H617),F617:G1835,2,0),"")</f>
        <v>Lakselv – Banak LKL</v>
      </c>
    </row>
    <row r="618" spans="1:8" x14ac:dyDescent="0.25">
      <c r="A618">
        <f>IF(ISNUMBER(SEARCH(Request!$I$19,B618)),MAX($A$1:A617)+1,0)</f>
        <v>617</v>
      </c>
      <c r="B618" s="11" t="s">
        <v>4659</v>
      </c>
      <c r="D618" t="str">
        <f>IFERROR(VLOOKUP(ROWS($D$2:D618),A618:B1836,2,0),"")</f>
        <v>Lambarene LBQ</v>
      </c>
      <c r="F618">
        <f>IF(ISNUMBER(SEARCH(Request!$N$19,G618)),MAX(F$1:$F617)+1,0)</f>
        <v>617</v>
      </c>
      <c r="G618" s="11" t="s">
        <v>4659</v>
      </c>
      <c r="H618" t="str">
        <f>IFERROR(VLOOKUP(ROWS($H$2:H618),F618:G1836,2,0),"")</f>
        <v>Lambarene LBQ</v>
      </c>
    </row>
    <row r="619" spans="1:8" x14ac:dyDescent="0.25">
      <c r="A619">
        <f>IF(ISNUMBER(SEARCH(Request!$I$19,B619)),MAX($A$1:A618)+1,0)</f>
        <v>618</v>
      </c>
      <c r="B619" s="11" t="s">
        <v>4660</v>
      </c>
      <c r="D619" t="str">
        <f>IFERROR(VLOOKUP(ROWS($D$2:D619),A619:B1837,2,0),"")</f>
        <v>Lamezia SUF</v>
      </c>
      <c r="F619">
        <f>IF(ISNUMBER(SEARCH(Request!$N$19,G619)),MAX(F$1:$F618)+1,0)</f>
        <v>618</v>
      </c>
      <c r="G619" s="11" t="s">
        <v>4660</v>
      </c>
      <c r="H619" t="str">
        <f>IFERROR(VLOOKUP(ROWS($H$2:H619),F619:G1837,2,0),"")</f>
        <v>Lamezia SUF</v>
      </c>
    </row>
    <row r="620" spans="1:8" x14ac:dyDescent="0.25">
      <c r="A620">
        <f>IF(ISNUMBER(SEARCH(Request!$I$19,B620)),MAX($A$1:A619)+1,0)</f>
        <v>619</v>
      </c>
      <c r="B620" s="11" t="s">
        <v>4661</v>
      </c>
      <c r="D620" t="str">
        <f>IFERROR(VLOOKUP(ROWS($D$2:D620),A620:B1838,2,0),"")</f>
        <v>Lancaster LNS</v>
      </c>
      <c r="F620">
        <f>IF(ISNUMBER(SEARCH(Request!$N$19,G620)),MAX(F$1:$F619)+1,0)</f>
        <v>619</v>
      </c>
      <c r="G620" s="11" t="s">
        <v>4661</v>
      </c>
      <c r="H620" t="str">
        <f>IFERROR(VLOOKUP(ROWS($H$2:H620),F620:G1838,2,0),"")</f>
        <v>Lancaster LNS</v>
      </c>
    </row>
    <row r="621" spans="1:8" x14ac:dyDescent="0.25">
      <c r="A621">
        <f>IF(ISNUMBER(SEARCH(Request!$I$19,B621)),MAX($A$1:A620)+1,0)</f>
        <v>620</v>
      </c>
      <c r="B621" s="11" t="s">
        <v>4662</v>
      </c>
      <c r="D621" t="str">
        <f>IFERROR(VLOOKUP(ROWS($D$2:D621),A621:B1839,2,0),"")</f>
        <v>Langkawi LGK</v>
      </c>
      <c r="F621">
        <f>IF(ISNUMBER(SEARCH(Request!$N$19,G621)),MAX(F$1:$F620)+1,0)</f>
        <v>620</v>
      </c>
      <c r="G621" s="11" t="s">
        <v>4662</v>
      </c>
      <c r="H621" t="str">
        <f>IFERROR(VLOOKUP(ROWS($H$2:H621),F621:G1839,2,0),"")</f>
        <v>Langkawi LGK</v>
      </c>
    </row>
    <row r="622" spans="1:8" x14ac:dyDescent="0.25">
      <c r="A622">
        <f>IF(ISNUMBER(SEARCH(Request!$I$19,B622)),MAX($A$1:A621)+1,0)</f>
        <v>621</v>
      </c>
      <c r="B622" s="11" t="s">
        <v>4663</v>
      </c>
      <c r="D622" t="str">
        <f>IFERROR(VLOOKUP(ROWS($D$2:D622),A622:B1840,2,0),"")</f>
        <v>Lannion LAI</v>
      </c>
      <c r="F622">
        <f>IF(ISNUMBER(SEARCH(Request!$N$19,G622)),MAX(F$1:$F621)+1,0)</f>
        <v>621</v>
      </c>
      <c r="G622" s="11" t="s">
        <v>4663</v>
      </c>
      <c r="H622" t="str">
        <f>IFERROR(VLOOKUP(ROWS($H$2:H622),F622:G1840,2,0),"")</f>
        <v>Lannion LAI</v>
      </c>
    </row>
    <row r="623" spans="1:8" x14ac:dyDescent="0.25">
      <c r="A623">
        <f>IF(ISNUMBER(SEARCH(Request!$I$19,B623)),MAX($A$1:A622)+1,0)</f>
        <v>622</v>
      </c>
      <c r="B623" s="11" t="s">
        <v>4664</v>
      </c>
      <c r="D623" t="str">
        <f>IFERROR(VLOOKUP(ROWS($D$2:D623),A623:B1841,2,0),"")</f>
        <v>Lanseria HLA</v>
      </c>
      <c r="F623">
        <f>IF(ISNUMBER(SEARCH(Request!$N$19,G623)),MAX(F$1:$F622)+1,0)</f>
        <v>622</v>
      </c>
      <c r="G623" s="11" t="s">
        <v>4664</v>
      </c>
      <c r="H623" t="str">
        <f>IFERROR(VLOOKUP(ROWS($H$2:H623),F623:G1841,2,0),"")</f>
        <v>Lanseria HLA</v>
      </c>
    </row>
    <row r="624" spans="1:8" x14ac:dyDescent="0.25">
      <c r="A624">
        <f>IF(ISNUMBER(SEARCH(Request!$I$19,B624)),MAX($A$1:A623)+1,0)</f>
        <v>623</v>
      </c>
      <c r="B624" s="11" t="s">
        <v>4665</v>
      </c>
      <c r="D624" t="str">
        <f>IFERROR(VLOOKUP(ROWS($D$2:D624),A624:B1842,2,0),"")</f>
        <v>Lansing – Capital City LAN</v>
      </c>
      <c r="F624">
        <f>IF(ISNUMBER(SEARCH(Request!$N$19,G624)),MAX(F$1:$F623)+1,0)</f>
        <v>623</v>
      </c>
      <c r="G624" s="11" t="s">
        <v>4665</v>
      </c>
      <c r="H624" t="str">
        <f>IFERROR(VLOOKUP(ROWS($H$2:H624),F624:G1842,2,0),"")</f>
        <v>Lansing – Capital City LAN</v>
      </c>
    </row>
    <row r="625" spans="1:8" x14ac:dyDescent="0.25">
      <c r="A625">
        <f>IF(ISNUMBER(SEARCH(Request!$I$19,B625)),MAX($A$1:A624)+1,0)</f>
        <v>624</v>
      </c>
      <c r="B625" s="11" t="s">
        <v>4666</v>
      </c>
      <c r="D625" t="str">
        <f>IFERROR(VLOOKUP(ROWS($D$2:D625),A625:B1843,2,0),"")</f>
        <v>Lanzarote ACE</v>
      </c>
      <c r="F625">
        <f>IF(ISNUMBER(SEARCH(Request!$N$19,G625)),MAX(F$1:$F624)+1,0)</f>
        <v>624</v>
      </c>
      <c r="G625" s="11" t="s">
        <v>4666</v>
      </c>
      <c r="H625" t="str">
        <f>IFERROR(VLOOKUP(ROWS($H$2:H625),F625:G1843,2,0),"")</f>
        <v>Lanzarote ACE</v>
      </c>
    </row>
    <row r="626" spans="1:8" x14ac:dyDescent="0.25">
      <c r="A626">
        <f>IF(ISNUMBER(SEARCH(Request!$I$19,B626)),MAX($A$1:A625)+1,0)</f>
        <v>625</v>
      </c>
      <c r="B626" s="11" t="s">
        <v>4667</v>
      </c>
      <c r="D626" t="str">
        <f>IFERROR(VLOOKUP(ROWS($D$2:D626),A626:B1844,2,0),"")</f>
        <v>Lappeenranta LPP</v>
      </c>
      <c r="F626">
        <f>IF(ISNUMBER(SEARCH(Request!$N$19,G626)),MAX(F$1:$F625)+1,0)</f>
        <v>625</v>
      </c>
      <c r="G626" s="11" t="s">
        <v>4667</v>
      </c>
      <c r="H626" t="str">
        <f>IFERROR(VLOOKUP(ROWS($H$2:H626),F626:G1844,2,0),"")</f>
        <v>Lappeenranta LPP</v>
      </c>
    </row>
    <row r="627" spans="1:8" x14ac:dyDescent="0.25">
      <c r="A627">
        <f>IF(ISNUMBER(SEARCH(Request!$I$19,B627)),MAX($A$1:A626)+1,0)</f>
        <v>626</v>
      </c>
      <c r="B627" s="11" t="s">
        <v>4668</v>
      </c>
      <c r="D627" t="str">
        <f>IFERROR(VLOOKUP(ROWS($D$2:D627),A627:B1845,2,0),"")</f>
        <v>Laredo Int´l LRD</v>
      </c>
      <c r="F627">
        <f>IF(ISNUMBER(SEARCH(Request!$N$19,G627)),MAX(F$1:$F626)+1,0)</f>
        <v>626</v>
      </c>
      <c r="G627" s="11" t="s">
        <v>4668</v>
      </c>
      <c r="H627" t="str">
        <f>IFERROR(VLOOKUP(ROWS($H$2:H627),F627:G1845,2,0),"")</f>
        <v>Laredo Int´l LRD</v>
      </c>
    </row>
    <row r="628" spans="1:8" x14ac:dyDescent="0.25">
      <c r="A628">
        <f>IF(ISNUMBER(SEARCH(Request!$I$19,B628)),MAX($A$1:A627)+1,0)</f>
        <v>627</v>
      </c>
      <c r="B628" s="11" t="s">
        <v>4669</v>
      </c>
      <c r="D628" t="str">
        <f>IFERROR(VLOOKUP(ROWS($D$2:D628),A628:B1846,2,0),"")</f>
        <v>Larnaca LCA</v>
      </c>
      <c r="F628">
        <f>IF(ISNUMBER(SEARCH(Request!$N$19,G628)),MAX(F$1:$F627)+1,0)</f>
        <v>627</v>
      </c>
      <c r="G628" s="11" t="s">
        <v>4669</v>
      </c>
      <c r="H628" t="str">
        <f>IFERROR(VLOOKUP(ROWS($H$2:H628),F628:G1846,2,0),"")</f>
        <v>Larnaca LCA</v>
      </c>
    </row>
    <row r="629" spans="1:8" x14ac:dyDescent="0.25">
      <c r="A629">
        <f>IF(ISNUMBER(SEARCH(Request!$I$19,B629)),MAX($A$1:A628)+1,0)</f>
        <v>628</v>
      </c>
      <c r="B629" s="11" t="s">
        <v>4670</v>
      </c>
      <c r="D629" t="str">
        <f>IFERROR(VLOOKUP(ROWS($D$2:D629),A629:B1847,2,0),"")</f>
        <v>Las Vegas – McCarran LAS</v>
      </c>
      <c r="F629">
        <f>IF(ISNUMBER(SEARCH(Request!$N$19,G629)),MAX(F$1:$F628)+1,0)</f>
        <v>628</v>
      </c>
      <c r="G629" s="11" t="s">
        <v>4670</v>
      </c>
      <c r="H629" t="str">
        <f>IFERROR(VLOOKUP(ROWS($H$2:H629),F629:G1847,2,0),"")</f>
        <v>Las Vegas – McCarran LAS</v>
      </c>
    </row>
    <row r="630" spans="1:8" x14ac:dyDescent="0.25">
      <c r="A630">
        <f>IF(ISNUMBER(SEARCH(Request!$I$19,B630)),MAX($A$1:A629)+1,0)</f>
        <v>629</v>
      </c>
      <c r="B630" s="11" t="s">
        <v>4671</v>
      </c>
      <c r="D630" t="str">
        <f>IFERROR(VLOOKUP(ROWS($D$2:D630),A630:B1848,2,0),"")</f>
        <v>Launceston LST</v>
      </c>
      <c r="F630">
        <f>IF(ISNUMBER(SEARCH(Request!$N$19,G630)),MAX(F$1:$F629)+1,0)</f>
        <v>629</v>
      </c>
      <c r="G630" s="11" t="s">
        <v>4671</v>
      </c>
      <c r="H630" t="str">
        <f>IFERROR(VLOOKUP(ROWS($H$2:H630),F630:G1848,2,0),"")</f>
        <v>Launceston LST</v>
      </c>
    </row>
    <row r="631" spans="1:8" x14ac:dyDescent="0.25">
      <c r="A631">
        <f>IF(ISNUMBER(SEARCH(Request!$I$19,B631)),MAX($A$1:A630)+1,0)</f>
        <v>630</v>
      </c>
      <c r="B631" s="11" t="s">
        <v>4672</v>
      </c>
      <c r="D631" t="str">
        <f>IFERROR(VLOOKUP(ROWS($D$2:D631),A631:B1849,2,0),"")</f>
        <v>Le Bourget LBG</v>
      </c>
      <c r="F631">
        <f>IF(ISNUMBER(SEARCH(Request!$N$19,G631)),MAX(F$1:$F630)+1,0)</f>
        <v>630</v>
      </c>
      <c r="G631" s="11" t="s">
        <v>4672</v>
      </c>
      <c r="H631" t="str">
        <f>IFERROR(VLOOKUP(ROWS($H$2:H631),F631:G1849,2,0),"")</f>
        <v>Le Bourget LBG</v>
      </c>
    </row>
    <row r="632" spans="1:8" x14ac:dyDescent="0.25">
      <c r="A632">
        <f>IF(ISNUMBER(SEARCH(Request!$I$19,B632)),MAX($A$1:A631)+1,0)</f>
        <v>631</v>
      </c>
      <c r="B632" s="11" t="s">
        <v>4673</v>
      </c>
      <c r="D632" t="str">
        <f>IFERROR(VLOOKUP(ROWS($D$2:D632),A632:B1850,2,0),"")</f>
        <v>Le Havre/Octeville LEH</v>
      </c>
      <c r="F632">
        <f>IF(ISNUMBER(SEARCH(Request!$N$19,G632)),MAX(F$1:$F631)+1,0)</f>
        <v>631</v>
      </c>
      <c r="G632" s="11" t="s">
        <v>4673</v>
      </c>
      <c r="H632" t="str">
        <f>IFERROR(VLOOKUP(ROWS($H$2:H632),F632:G1850,2,0),"")</f>
        <v>Le Havre/Octeville LEH</v>
      </c>
    </row>
    <row r="633" spans="1:8" x14ac:dyDescent="0.25">
      <c r="A633">
        <f>IF(ISNUMBER(SEARCH(Request!$I$19,B633)),MAX($A$1:A632)+1,0)</f>
        <v>632</v>
      </c>
      <c r="B633" s="11" t="s">
        <v>4674</v>
      </c>
      <c r="D633" t="str">
        <f>IFERROR(VLOOKUP(ROWS($D$2:D633),A633:B1851,2,0),"")</f>
        <v>Le Touquet-Côte d´Opale LTQ</v>
      </c>
      <c r="F633">
        <f>IF(ISNUMBER(SEARCH(Request!$N$19,G633)),MAX(F$1:$F632)+1,0)</f>
        <v>632</v>
      </c>
      <c r="G633" s="11" t="s">
        <v>4674</v>
      </c>
      <c r="H633" t="str">
        <f>IFERROR(VLOOKUP(ROWS($H$2:H633),F633:G1851,2,0),"")</f>
        <v>Le Touquet-Côte d´Opale LTQ</v>
      </c>
    </row>
    <row r="634" spans="1:8" x14ac:dyDescent="0.25">
      <c r="A634">
        <f>IF(ISNUMBER(SEARCH(Request!$I$19,B634)),MAX($A$1:A633)+1,0)</f>
        <v>633</v>
      </c>
      <c r="B634" s="11" t="s">
        <v>4675</v>
      </c>
      <c r="D634" t="str">
        <f>IFERROR(VLOOKUP(ROWS($D$2:D634),A634:B1852,2,0),"")</f>
        <v>Leeds Bradford LBA</v>
      </c>
      <c r="F634">
        <f>IF(ISNUMBER(SEARCH(Request!$N$19,G634)),MAX(F$1:$F633)+1,0)</f>
        <v>633</v>
      </c>
      <c r="G634" s="11" t="s">
        <v>4675</v>
      </c>
      <c r="H634" t="str">
        <f>IFERROR(VLOOKUP(ROWS($H$2:H634),F634:G1852,2,0),"")</f>
        <v>Leeds Bradford LBA</v>
      </c>
    </row>
    <row r="635" spans="1:8" x14ac:dyDescent="0.25">
      <c r="A635">
        <f>IF(ISNUMBER(SEARCH(Request!$I$19,B635)),MAX($A$1:A634)+1,0)</f>
        <v>634</v>
      </c>
      <c r="B635" s="11" t="s">
        <v>4676</v>
      </c>
      <c r="D635" t="str">
        <f>IFERROR(VLOOKUP(ROWS($D$2:D635),A635:B1853,2,0),"")</f>
        <v>Lehigh Valley ABE</v>
      </c>
      <c r="F635">
        <f>IF(ISNUMBER(SEARCH(Request!$N$19,G635)),MAX(F$1:$F634)+1,0)</f>
        <v>634</v>
      </c>
      <c r="G635" s="11" t="s">
        <v>4676</v>
      </c>
      <c r="H635" t="str">
        <f>IFERROR(VLOOKUP(ROWS($H$2:H635),F635:G1853,2,0),"")</f>
        <v>Lehigh Valley ABE</v>
      </c>
    </row>
    <row r="636" spans="1:8" x14ac:dyDescent="0.25">
      <c r="A636">
        <f>IF(ISNUMBER(SEARCH(Request!$I$19,B636)),MAX($A$1:A635)+1,0)</f>
        <v>635</v>
      </c>
      <c r="B636" s="11" t="s">
        <v>4677</v>
      </c>
      <c r="D636" t="str">
        <f>IFERROR(VLOOKUP(ROWS($D$2:D636),A636:B1854,2,0),"")</f>
        <v>Leipzig/Halle LEJ</v>
      </c>
      <c r="F636">
        <f>IF(ISNUMBER(SEARCH(Request!$N$19,G636)),MAX(F$1:$F635)+1,0)</f>
        <v>635</v>
      </c>
      <c r="G636" s="11" t="s">
        <v>4677</v>
      </c>
      <c r="H636" t="str">
        <f>IFERROR(VLOOKUP(ROWS($H$2:H636),F636:G1854,2,0),"")</f>
        <v>Leipzig/Halle LEJ</v>
      </c>
    </row>
    <row r="637" spans="1:8" x14ac:dyDescent="0.25">
      <c r="A637">
        <f>IF(ISNUMBER(SEARCH(Request!$I$19,B637)),MAX($A$1:A636)+1,0)</f>
        <v>636</v>
      </c>
      <c r="B637" s="11" t="s">
        <v>4678</v>
      </c>
      <c r="D637" t="str">
        <f>IFERROR(VLOOKUP(ROWS($D$2:D637),A637:B1855,2,0),"")</f>
        <v>Lelystad LEY</v>
      </c>
      <c r="F637">
        <f>IF(ISNUMBER(SEARCH(Request!$N$19,G637)),MAX(F$1:$F636)+1,0)</f>
        <v>636</v>
      </c>
      <c r="G637" s="11" t="s">
        <v>4678</v>
      </c>
      <c r="H637" t="str">
        <f>IFERROR(VLOOKUP(ROWS($H$2:H637),F637:G1855,2,0),"")</f>
        <v>Lelystad LEY</v>
      </c>
    </row>
    <row r="638" spans="1:8" x14ac:dyDescent="0.25">
      <c r="A638">
        <f>IF(ISNUMBER(SEARCH(Request!$I$19,B638)),MAX($A$1:A637)+1,0)</f>
        <v>637</v>
      </c>
      <c r="B638" s="11" t="s">
        <v>4679</v>
      </c>
      <c r="D638" t="str">
        <f>IFERROR(VLOOKUP(ROWS($D$2:D638),A638:B1856,2,0),"")</f>
        <v>Lexington/Blue Grass LEX</v>
      </c>
      <c r="F638">
        <f>IF(ISNUMBER(SEARCH(Request!$N$19,G638)),MAX(F$1:$F637)+1,0)</f>
        <v>637</v>
      </c>
      <c r="G638" s="11" t="s">
        <v>4679</v>
      </c>
      <c r="H638" t="str">
        <f>IFERROR(VLOOKUP(ROWS($H$2:H638),F638:G1856,2,0),"")</f>
        <v>Lexington/Blue Grass LEX</v>
      </c>
    </row>
    <row r="639" spans="1:8" x14ac:dyDescent="0.25">
      <c r="A639">
        <f>IF(ISNUMBER(SEARCH(Request!$I$19,B639)),MAX($A$1:A638)+1,0)</f>
        <v>638</v>
      </c>
      <c r="B639" s="11" t="s">
        <v>4680</v>
      </c>
      <c r="D639" t="str">
        <f>IFERROR(VLOOKUP(ROWS($D$2:D639),A639:B1857,2,0),"")</f>
        <v>Libreville-Leon M´Ba Int´l LBV</v>
      </c>
      <c r="F639">
        <f>IF(ISNUMBER(SEARCH(Request!$N$19,G639)),MAX(F$1:$F638)+1,0)</f>
        <v>638</v>
      </c>
      <c r="G639" s="11" t="s">
        <v>4680</v>
      </c>
      <c r="H639" t="str">
        <f>IFERROR(VLOOKUP(ROWS($H$2:H639),F639:G1857,2,0),"")</f>
        <v>Libreville-Leon M´Ba Int´l LBV</v>
      </c>
    </row>
    <row r="640" spans="1:8" x14ac:dyDescent="0.25">
      <c r="A640">
        <f>IF(ISNUMBER(SEARCH(Request!$I$19,B640)),MAX($A$1:A639)+1,0)</f>
        <v>639</v>
      </c>
      <c r="B640" s="11" t="s">
        <v>4694</v>
      </c>
      <c r="D640" t="str">
        <f>IFERROR(VLOOKUP(ROWS($D$2:D640),A640:B1858,2,0),"")</f>
        <v>Liège LGG</v>
      </c>
      <c r="F640">
        <f>IF(ISNUMBER(SEARCH(Request!$N$19,G640)),MAX(F$1:$F639)+1,0)</f>
        <v>639</v>
      </c>
      <c r="G640" s="11" t="s">
        <v>4694</v>
      </c>
      <c r="H640" t="str">
        <f>IFERROR(VLOOKUP(ROWS($H$2:H640),F640:G1858,2,0),"")</f>
        <v>Liège LGG</v>
      </c>
    </row>
    <row r="641" spans="1:8" x14ac:dyDescent="0.25">
      <c r="A641">
        <f>IF(ISNUMBER(SEARCH(Request!$I$19,B641)),MAX($A$1:A640)+1,0)</f>
        <v>640</v>
      </c>
      <c r="B641" s="11" t="s">
        <v>4681</v>
      </c>
      <c r="D641" t="str">
        <f>IFERROR(VLOOKUP(ROWS($D$2:D641),A641:B1859,2,0),"")</f>
        <v>Liepaja LPX</v>
      </c>
      <c r="F641">
        <f>IF(ISNUMBER(SEARCH(Request!$N$19,G641)),MAX(F$1:$F640)+1,0)</f>
        <v>640</v>
      </c>
      <c r="G641" s="11" t="s">
        <v>4681</v>
      </c>
      <c r="H641" t="str">
        <f>IFERROR(VLOOKUP(ROWS($H$2:H641),F641:G1859,2,0),"")</f>
        <v>Liepaja LPX</v>
      </c>
    </row>
    <row r="642" spans="1:8" x14ac:dyDescent="0.25">
      <c r="A642">
        <f>IF(ISNUMBER(SEARCH(Request!$I$19,B642)),MAX($A$1:A641)+1,0)</f>
        <v>641</v>
      </c>
      <c r="B642" s="11" t="s">
        <v>4682</v>
      </c>
      <c r="D642" t="str">
        <f>IFERROR(VLOOKUP(ROWS($D$2:D642),A642:B1860,2,0),"")</f>
        <v>Lihue LIH</v>
      </c>
      <c r="F642">
        <f>IF(ISNUMBER(SEARCH(Request!$N$19,G642)),MAX(F$1:$F641)+1,0)</f>
        <v>641</v>
      </c>
      <c r="G642" s="11" t="s">
        <v>4682</v>
      </c>
      <c r="H642" t="str">
        <f>IFERROR(VLOOKUP(ROWS($H$2:H642),F642:G1860,2,0),"")</f>
        <v>Lihue LIH</v>
      </c>
    </row>
    <row r="643" spans="1:8" x14ac:dyDescent="0.25">
      <c r="A643">
        <f>IF(ISNUMBER(SEARCH(Request!$I$19,B643)),MAX($A$1:A642)+1,0)</f>
        <v>642</v>
      </c>
      <c r="B643" s="11" t="s">
        <v>4683</v>
      </c>
      <c r="D643" t="str">
        <f>IFERROR(VLOOKUP(ROWS($D$2:D643),A643:B1861,2,0),"")</f>
        <v>Lille LIL</v>
      </c>
      <c r="F643">
        <f>IF(ISNUMBER(SEARCH(Request!$N$19,G643)),MAX(F$1:$F642)+1,0)</f>
        <v>642</v>
      </c>
      <c r="G643" s="11" t="s">
        <v>4683</v>
      </c>
      <c r="H643" t="str">
        <f>IFERROR(VLOOKUP(ROWS($H$2:H643),F643:G1861,2,0),"")</f>
        <v>Lille LIL</v>
      </c>
    </row>
    <row r="644" spans="1:8" x14ac:dyDescent="0.25">
      <c r="A644">
        <f>IF(ISNUMBER(SEARCH(Request!$I$19,B644)),MAX($A$1:A643)+1,0)</f>
        <v>643</v>
      </c>
      <c r="B644" s="11" t="s">
        <v>4684</v>
      </c>
      <c r="D644" t="str">
        <f>IFERROR(VLOOKUP(ROWS($D$2:D644),A644:B1862,2,0),"")</f>
        <v>Lilongwe LLW</v>
      </c>
      <c r="F644">
        <f>IF(ISNUMBER(SEARCH(Request!$N$19,G644)),MAX(F$1:$F643)+1,0)</f>
        <v>643</v>
      </c>
      <c r="G644" s="11" t="s">
        <v>4684</v>
      </c>
      <c r="H644" t="str">
        <f>IFERROR(VLOOKUP(ROWS($H$2:H644),F644:G1862,2,0),"")</f>
        <v>Lilongwe LLW</v>
      </c>
    </row>
    <row r="645" spans="1:8" x14ac:dyDescent="0.25">
      <c r="A645">
        <f>IF(ISNUMBER(SEARCH(Request!$I$19,B645)),MAX($A$1:A644)+1,0)</f>
        <v>644</v>
      </c>
      <c r="B645" s="11" t="s">
        <v>4685</v>
      </c>
      <c r="D645" t="str">
        <f>IFERROR(VLOOKUP(ROWS($D$2:D645),A645:B1863,2,0),"")</f>
        <v>Lima – Jorge Chavez CLX</v>
      </c>
      <c r="F645">
        <f>IF(ISNUMBER(SEARCH(Request!$N$19,G645)),MAX(F$1:$F644)+1,0)</f>
        <v>644</v>
      </c>
      <c r="G645" s="11" t="s">
        <v>4685</v>
      </c>
      <c r="H645" t="str">
        <f>IFERROR(VLOOKUP(ROWS($H$2:H645),F645:G1863,2,0),"")</f>
        <v>Lima – Jorge Chavez CLX</v>
      </c>
    </row>
    <row r="646" spans="1:8" x14ac:dyDescent="0.25">
      <c r="A646">
        <f>IF(ISNUMBER(SEARCH(Request!$I$19,B646)),MAX($A$1:A645)+1,0)</f>
        <v>645</v>
      </c>
      <c r="B646" s="11" t="s">
        <v>4686</v>
      </c>
      <c r="D646" t="str">
        <f>IFERROR(VLOOKUP(ROWS($D$2:D646),A646:B1864,2,0),"")</f>
        <v>Limnos LXS</v>
      </c>
      <c r="F646">
        <f>IF(ISNUMBER(SEARCH(Request!$N$19,G646)),MAX(F$1:$F645)+1,0)</f>
        <v>645</v>
      </c>
      <c r="G646" s="11" t="s">
        <v>4686</v>
      </c>
      <c r="H646" t="str">
        <f>IFERROR(VLOOKUP(ROWS($H$2:H646),F646:G1864,2,0),"")</f>
        <v>Limnos LXS</v>
      </c>
    </row>
    <row r="647" spans="1:8" x14ac:dyDescent="0.25">
      <c r="A647">
        <f>IF(ISNUMBER(SEARCH(Request!$I$19,B647)),MAX($A$1:A646)+1,0)</f>
        <v>646</v>
      </c>
      <c r="B647" s="11" t="s">
        <v>4687</v>
      </c>
      <c r="D647" t="str">
        <f>IFERROR(VLOOKUP(ROWS($D$2:D647),A647:B1865,2,0),"")</f>
        <v>Limoges/Bellegarde LIG</v>
      </c>
      <c r="F647">
        <f>IF(ISNUMBER(SEARCH(Request!$N$19,G647)),MAX(F$1:$F646)+1,0)</f>
        <v>646</v>
      </c>
      <c r="G647" s="11" t="s">
        <v>4687</v>
      </c>
      <c r="H647" t="str">
        <f>IFERROR(VLOOKUP(ROWS($H$2:H647),F647:G1865,2,0),"")</f>
        <v>Limoges/Bellegarde LIG</v>
      </c>
    </row>
    <row r="648" spans="1:8" x14ac:dyDescent="0.25">
      <c r="A648">
        <f>IF(ISNUMBER(SEARCH(Request!$I$19,B648)),MAX($A$1:A647)+1,0)</f>
        <v>647</v>
      </c>
      <c r="B648" s="11" t="s">
        <v>4688</v>
      </c>
      <c r="D648" t="str">
        <f>IFERROR(VLOOKUP(ROWS($D$2:D648),A648:B1866,2,0),"")</f>
        <v>Limon LMH</v>
      </c>
      <c r="F648">
        <f>IF(ISNUMBER(SEARCH(Request!$N$19,G648)),MAX(F$1:$F647)+1,0)</f>
        <v>647</v>
      </c>
      <c r="G648" s="11" t="s">
        <v>4688</v>
      </c>
      <c r="H648" t="str">
        <f>IFERROR(VLOOKUP(ROWS($H$2:H648),F648:G1866,2,0),"")</f>
        <v>Limon LMH</v>
      </c>
    </row>
    <row r="649" spans="1:8" x14ac:dyDescent="0.25">
      <c r="A649">
        <f>IF(ISNUMBER(SEARCH(Request!$I$19,B649)),MAX($A$1:A648)+1,0)</f>
        <v>648</v>
      </c>
      <c r="B649" s="11" t="s">
        <v>4689</v>
      </c>
      <c r="D649" t="str">
        <f>IFERROR(VLOOKUP(ROWS($D$2:D649),A649:B1867,2,0),"")</f>
        <v>Linz – Blue Danube LNZ</v>
      </c>
      <c r="F649">
        <f>IF(ISNUMBER(SEARCH(Request!$N$19,G649)),MAX(F$1:$F648)+1,0)</f>
        <v>648</v>
      </c>
      <c r="G649" s="11" t="s">
        <v>4689</v>
      </c>
      <c r="H649" t="str">
        <f>IFERROR(VLOOKUP(ROWS($H$2:H649),F649:G1867,2,0),"")</f>
        <v>Linz – Blue Danube LNZ</v>
      </c>
    </row>
    <row r="650" spans="1:8" x14ac:dyDescent="0.25">
      <c r="A650">
        <f>IF(ISNUMBER(SEARCH(Request!$I$19,B650)),MAX($A$1:A649)+1,0)</f>
        <v>649</v>
      </c>
      <c r="B650" s="11" t="s">
        <v>4690</v>
      </c>
      <c r="D650" t="str">
        <f>IFERROR(VLOOKUP(ROWS($D$2:D650),A650:B1868,2,0),"")</f>
        <v>Lisbon LIS</v>
      </c>
      <c r="F650">
        <f>IF(ISNUMBER(SEARCH(Request!$N$19,G650)),MAX(F$1:$F649)+1,0)</f>
        <v>649</v>
      </c>
      <c r="G650" s="11" t="s">
        <v>4690</v>
      </c>
      <c r="H650" t="str">
        <f>IFERROR(VLOOKUP(ROWS($H$2:H650),F650:G1868,2,0),"")</f>
        <v>Lisbon LIS</v>
      </c>
    </row>
    <row r="651" spans="1:8" x14ac:dyDescent="0.25">
      <c r="A651">
        <f>IF(ISNUMBER(SEARCH(Request!$I$19,B651)),MAX($A$1:A650)+1,0)</f>
        <v>650</v>
      </c>
      <c r="B651" s="11" t="s">
        <v>4691</v>
      </c>
      <c r="D651" t="str">
        <f>IFERROR(VLOOKUP(ROWS($D$2:D651),A651:B1869,2,0),"")</f>
        <v>Little Rock National LIT</v>
      </c>
      <c r="F651">
        <f>IF(ISNUMBER(SEARCH(Request!$N$19,G651)),MAX(F$1:$F650)+1,0)</f>
        <v>650</v>
      </c>
      <c r="G651" s="11" t="s">
        <v>4691</v>
      </c>
      <c r="H651" t="str">
        <f>IFERROR(VLOOKUP(ROWS($H$2:H651),F651:G1869,2,0),"")</f>
        <v>Little Rock National LIT</v>
      </c>
    </row>
    <row r="652" spans="1:8" x14ac:dyDescent="0.25">
      <c r="A652">
        <f>IF(ISNUMBER(SEARCH(Request!$I$19,B652)),MAX($A$1:A651)+1,0)</f>
        <v>651</v>
      </c>
      <c r="B652" s="11" t="s">
        <v>4692</v>
      </c>
      <c r="D652" t="str">
        <f>IFERROR(VLOOKUP(ROWS($D$2:D652),A652:B1870,2,0),"")</f>
        <v>Liverpool – John Lennon LPL</v>
      </c>
      <c r="F652">
        <f>IF(ISNUMBER(SEARCH(Request!$N$19,G652)),MAX(F$1:$F651)+1,0)</f>
        <v>651</v>
      </c>
      <c r="G652" s="11" t="s">
        <v>4692</v>
      </c>
      <c r="H652" t="str">
        <f>IFERROR(VLOOKUP(ROWS($H$2:H652),F652:G1870,2,0),"")</f>
        <v>Liverpool – John Lennon LPL</v>
      </c>
    </row>
    <row r="653" spans="1:8" x14ac:dyDescent="0.25">
      <c r="A653">
        <f>IF(ISNUMBER(SEARCH(Request!$I$19,B653)),MAX($A$1:A652)+1,0)</f>
        <v>652</v>
      </c>
      <c r="B653" s="11" t="s">
        <v>4693</v>
      </c>
      <c r="D653" t="str">
        <f>IFERROR(VLOOKUP(ROWS($D$2:D653),A653:B1871,2,0),"")</f>
        <v>Livingstone LVI</v>
      </c>
      <c r="F653">
        <f>IF(ISNUMBER(SEARCH(Request!$N$19,G653)),MAX(F$1:$F652)+1,0)</f>
        <v>652</v>
      </c>
      <c r="G653" s="11" t="s">
        <v>4693</v>
      </c>
      <c r="H653" t="str">
        <f>IFERROR(VLOOKUP(ROWS($H$2:H653),F653:G1871,2,0),"")</f>
        <v>Livingstone LVI</v>
      </c>
    </row>
    <row r="654" spans="1:8" x14ac:dyDescent="0.25">
      <c r="A654">
        <f>IF(ISNUMBER(SEARCH(Request!$I$19,B654)),MAX($A$1:A653)+1,0)</f>
        <v>653</v>
      </c>
      <c r="B654" s="11" t="s">
        <v>4695</v>
      </c>
      <c r="D654" t="str">
        <f>IFERROR(VLOOKUP(ROWS($D$2:D654),A654:B1872,2,0),"")</f>
        <v>Ljubljana D D LJU</v>
      </c>
      <c r="F654">
        <f>IF(ISNUMBER(SEARCH(Request!$N$19,G654)),MAX(F$1:$F653)+1,0)</f>
        <v>653</v>
      </c>
      <c r="G654" s="11" t="s">
        <v>4695</v>
      </c>
      <c r="H654" t="str">
        <f>IFERROR(VLOOKUP(ROWS($H$2:H654),F654:G1872,2,0),"")</f>
        <v>Ljubljana D D LJU</v>
      </c>
    </row>
    <row r="655" spans="1:8" x14ac:dyDescent="0.25">
      <c r="A655">
        <f>IF(ISNUMBER(SEARCH(Request!$I$19,B655)),MAX($A$1:A654)+1,0)</f>
        <v>654</v>
      </c>
      <c r="B655" s="11" t="s">
        <v>4696</v>
      </c>
      <c r="D655" t="str">
        <f>IFERROR(VLOOKUP(ROWS($D$2:D655),A655:B1873,2,0),"")</f>
        <v>Ljubljana D Dndoza-El Plumerillo MDZ</v>
      </c>
      <c r="F655">
        <f>IF(ISNUMBER(SEARCH(Request!$N$19,G655)),MAX(F$1:$F654)+1,0)</f>
        <v>654</v>
      </c>
      <c r="G655" s="11" t="s">
        <v>4696</v>
      </c>
      <c r="H655" t="str">
        <f>IFERROR(VLOOKUP(ROWS($H$2:H655),F655:G1873,2,0),"")</f>
        <v>Ljubljana D Dndoza-El Plumerillo MDZ</v>
      </c>
    </row>
    <row r="656" spans="1:8" x14ac:dyDescent="0.25">
      <c r="A656">
        <f>IF(ISNUMBER(SEARCH(Request!$I$19,B656)),MAX($A$1:A655)+1,0)</f>
        <v>655</v>
      </c>
      <c r="B656" s="11" t="s">
        <v>4697</v>
      </c>
      <c r="D656" t="str">
        <f>IFERROR(VLOOKUP(ROWS($D$2:D656),A656:B1874,2,0),"")</f>
        <v>Lome-Tokoin LFW</v>
      </c>
      <c r="F656">
        <f>IF(ISNUMBER(SEARCH(Request!$N$19,G656)),MAX(F$1:$F655)+1,0)</f>
        <v>655</v>
      </c>
      <c r="G656" s="11" t="s">
        <v>4697</v>
      </c>
      <c r="H656" t="str">
        <f>IFERROR(VLOOKUP(ROWS($H$2:H656),F656:G1874,2,0),"")</f>
        <v>Lome-Tokoin LFW</v>
      </c>
    </row>
    <row r="657" spans="1:8" x14ac:dyDescent="0.25">
      <c r="A657">
        <f>IF(ISNUMBER(SEARCH(Request!$I$19,B657)),MAX($A$1:A656)+1,0)</f>
        <v>656</v>
      </c>
      <c r="B657" s="11" t="s">
        <v>4698</v>
      </c>
      <c r="D657" t="str">
        <f>IFERROR(VLOOKUP(ROWS($D$2:D657),A657:B1875,2,0),"")</f>
        <v>London – Biggin Hill BQH</v>
      </c>
      <c r="F657">
        <f>IF(ISNUMBER(SEARCH(Request!$N$19,G657)),MAX(F$1:$F656)+1,0)</f>
        <v>656</v>
      </c>
      <c r="G657" s="11" t="s">
        <v>4698</v>
      </c>
      <c r="H657" t="str">
        <f>IFERROR(VLOOKUP(ROWS($H$2:H657),F657:G1875,2,0),"")</f>
        <v>London – Biggin Hill BQH</v>
      </c>
    </row>
    <row r="658" spans="1:8" x14ac:dyDescent="0.25">
      <c r="A658">
        <f>IF(ISNUMBER(SEARCH(Request!$I$19,B658)),MAX($A$1:A657)+1,0)</f>
        <v>657</v>
      </c>
      <c r="B658" s="11" t="s">
        <v>4699</v>
      </c>
      <c r="D658" t="str">
        <f>IFERROR(VLOOKUP(ROWS($D$2:D658),A658:B1876,2,0),"")</f>
        <v>London – City LCY</v>
      </c>
      <c r="F658">
        <f>IF(ISNUMBER(SEARCH(Request!$N$19,G658)),MAX(F$1:$F657)+1,0)</f>
        <v>657</v>
      </c>
      <c r="G658" s="11" t="s">
        <v>4699</v>
      </c>
      <c r="H658" t="str">
        <f>IFERROR(VLOOKUP(ROWS($H$2:H658),F658:G1876,2,0),"")</f>
        <v>London – City LCY</v>
      </c>
    </row>
    <row r="659" spans="1:8" x14ac:dyDescent="0.25">
      <c r="A659">
        <f>IF(ISNUMBER(SEARCH(Request!$I$19,B659)),MAX($A$1:A658)+1,0)</f>
        <v>658</v>
      </c>
      <c r="B659" s="11" t="s">
        <v>4700</v>
      </c>
      <c r="D659" t="str">
        <f>IFERROR(VLOOKUP(ROWS($D$2:D659),A659:B1877,2,0),"")</f>
        <v>London – Gatwick LGW</v>
      </c>
      <c r="F659">
        <f>IF(ISNUMBER(SEARCH(Request!$N$19,G659)),MAX(F$1:$F658)+1,0)</f>
        <v>658</v>
      </c>
      <c r="G659" s="11" t="s">
        <v>4700</v>
      </c>
      <c r="H659" t="str">
        <f>IFERROR(VLOOKUP(ROWS($H$2:H659),F659:G1877,2,0),"")</f>
        <v>London – Gatwick LGW</v>
      </c>
    </row>
    <row r="660" spans="1:8" x14ac:dyDescent="0.25">
      <c r="A660">
        <f>IF(ISNUMBER(SEARCH(Request!$I$19,B660)),MAX($A$1:A659)+1,0)</f>
        <v>659</v>
      </c>
      <c r="B660" s="11" t="s">
        <v>4701</v>
      </c>
      <c r="D660" t="str">
        <f>IFERROR(VLOOKUP(ROWS($D$2:D660),A660:B1878,2,0),"")</f>
        <v>London – Heathrow LHR</v>
      </c>
      <c r="F660">
        <f>IF(ISNUMBER(SEARCH(Request!$N$19,G660)),MAX(F$1:$F659)+1,0)</f>
        <v>659</v>
      </c>
      <c r="G660" s="11" t="s">
        <v>4701</v>
      </c>
      <c r="H660" t="str">
        <f>IFERROR(VLOOKUP(ROWS($H$2:H660),F660:G1878,2,0),"")</f>
        <v>London – Heathrow LHR</v>
      </c>
    </row>
    <row r="661" spans="1:8" x14ac:dyDescent="0.25">
      <c r="A661">
        <f>IF(ISNUMBER(SEARCH(Request!$I$19,B661)),MAX($A$1:A660)+1,0)</f>
        <v>660</v>
      </c>
      <c r="B661" s="11" t="s">
        <v>4702</v>
      </c>
      <c r="D661" t="str">
        <f>IFERROR(VLOOKUP(ROWS($D$2:D661),A661:B1879,2,0),"")</f>
        <v>London – Luton LTN</v>
      </c>
      <c r="F661">
        <f>IF(ISNUMBER(SEARCH(Request!$N$19,G661)),MAX(F$1:$F660)+1,0)</f>
        <v>660</v>
      </c>
      <c r="G661" s="11" t="s">
        <v>4702</v>
      </c>
      <c r="H661" t="str">
        <f>IFERROR(VLOOKUP(ROWS($H$2:H661),F661:G1879,2,0),"")</f>
        <v>London – Luton LTN</v>
      </c>
    </row>
    <row r="662" spans="1:8" x14ac:dyDescent="0.25">
      <c r="A662">
        <f>IF(ISNUMBER(SEARCH(Request!$I$19,B662)),MAX($A$1:A661)+1,0)</f>
        <v>661</v>
      </c>
      <c r="B662" s="11" t="s">
        <v>4703</v>
      </c>
      <c r="D662" t="str">
        <f>IFERROR(VLOOKUP(ROWS($D$2:D662),A662:B1880,2,0),"")</f>
        <v>London – Manston MSE</v>
      </c>
      <c r="F662">
        <f>IF(ISNUMBER(SEARCH(Request!$N$19,G662)),MAX(F$1:$F661)+1,0)</f>
        <v>661</v>
      </c>
      <c r="G662" s="11" t="s">
        <v>4703</v>
      </c>
      <c r="H662" t="str">
        <f>IFERROR(VLOOKUP(ROWS($H$2:H662),F662:G1880,2,0),"")</f>
        <v>London – Manston MSE</v>
      </c>
    </row>
    <row r="663" spans="1:8" x14ac:dyDescent="0.25">
      <c r="A663">
        <f>IF(ISNUMBER(SEARCH(Request!$I$19,B663)),MAX($A$1:A662)+1,0)</f>
        <v>662</v>
      </c>
      <c r="B663" s="11" t="s">
        <v>4704</v>
      </c>
      <c r="D663" t="str">
        <f>IFERROR(VLOOKUP(ROWS($D$2:D663),A663:B1881,2,0),"")</f>
        <v>London – Southend SEN</v>
      </c>
      <c r="F663">
        <f>IF(ISNUMBER(SEARCH(Request!$N$19,G663)),MAX(F$1:$F662)+1,0)</f>
        <v>662</v>
      </c>
      <c r="G663" s="11" t="s">
        <v>4704</v>
      </c>
      <c r="H663" t="str">
        <f>IFERROR(VLOOKUP(ROWS($H$2:H663),F663:G1881,2,0),"")</f>
        <v>London – Southend SEN</v>
      </c>
    </row>
    <row r="664" spans="1:8" x14ac:dyDescent="0.25">
      <c r="A664">
        <f>IF(ISNUMBER(SEARCH(Request!$I$19,B664)),MAX($A$1:A663)+1,0)</f>
        <v>663</v>
      </c>
      <c r="B664" s="11" t="s">
        <v>4705</v>
      </c>
      <c r="D664" t="str">
        <f>IFERROR(VLOOKUP(ROWS($D$2:D664),A664:B1882,2,0),"")</f>
        <v>London – Stansted STN</v>
      </c>
      <c r="F664">
        <f>IF(ISNUMBER(SEARCH(Request!$N$19,G664)),MAX(F$1:$F663)+1,0)</f>
        <v>663</v>
      </c>
      <c r="G664" s="11" t="s">
        <v>4705</v>
      </c>
      <c r="H664" t="str">
        <f>IFERROR(VLOOKUP(ROWS($H$2:H664),F664:G1882,2,0),"")</f>
        <v>London – Stansted STN</v>
      </c>
    </row>
    <row r="665" spans="1:8" x14ac:dyDescent="0.25">
      <c r="A665">
        <f>IF(ISNUMBER(SEARCH(Request!$I$19,B665)),MAX($A$1:A664)+1,0)</f>
        <v>664</v>
      </c>
      <c r="B665" s="11" t="s">
        <v>4706</v>
      </c>
      <c r="D665" t="str">
        <f>IFERROR(VLOOKUP(ROWS($D$2:D665),A665:B1883,2,0),"")</f>
        <v>Long Beach LGB</v>
      </c>
      <c r="F665">
        <f>IF(ISNUMBER(SEARCH(Request!$N$19,G665)),MAX(F$1:$F664)+1,0)</f>
        <v>664</v>
      </c>
      <c r="G665" s="11" t="s">
        <v>4706</v>
      </c>
      <c r="H665" t="str">
        <f>IFERROR(VLOOKUP(ROWS($H$2:H665),F665:G1883,2,0),"")</f>
        <v>Long Beach LGB</v>
      </c>
    </row>
    <row r="666" spans="1:8" x14ac:dyDescent="0.25">
      <c r="A666">
        <f>IF(ISNUMBER(SEARCH(Request!$I$19,B666)),MAX($A$1:A665)+1,0)</f>
        <v>665</v>
      </c>
      <c r="B666" s="11" t="s">
        <v>4707</v>
      </c>
      <c r="D666" t="str">
        <f>IFERROR(VLOOKUP(ROWS($D$2:D666),A666:B1884,2,0),"")</f>
        <v>Long Island – MacArthur ISP</v>
      </c>
      <c r="F666">
        <f>IF(ISNUMBER(SEARCH(Request!$N$19,G666)),MAX(F$1:$F665)+1,0)</f>
        <v>665</v>
      </c>
      <c r="G666" s="11" t="s">
        <v>4707</v>
      </c>
      <c r="H666" t="str">
        <f>IFERROR(VLOOKUP(ROWS($H$2:H666),F666:G1884,2,0),"")</f>
        <v>Long Island – MacArthur ISP</v>
      </c>
    </row>
    <row r="667" spans="1:8" x14ac:dyDescent="0.25">
      <c r="A667">
        <f>IF(ISNUMBER(SEARCH(Request!$I$19,B667)),MAX($A$1:A666)+1,0)</f>
        <v>666</v>
      </c>
      <c r="B667" s="11" t="s">
        <v>4708</v>
      </c>
      <c r="D667" t="str">
        <f>IFERROR(VLOOKUP(ROWS($D$2:D667),A667:B1885,2,0),"")</f>
        <v>Lorain County Regional LPR</v>
      </c>
      <c r="F667">
        <f>IF(ISNUMBER(SEARCH(Request!$N$19,G667)),MAX(F$1:$F666)+1,0)</f>
        <v>666</v>
      </c>
      <c r="G667" s="11" t="s">
        <v>4708</v>
      </c>
      <c r="H667" t="str">
        <f>IFERROR(VLOOKUP(ROWS($H$2:H667),F667:G1885,2,0),"")</f>
        <v>Lorain County Regional LPR</v>
      </c>
    </row>
    <row r="668" spans="1:8" x14ac:dyDescent="0.25">
      <c r="A668">
        <f>IF(ISNUMBER(SEARCH(Request!$I$19,B668)),MAX($A$1:A667)+1,0)</f>
        <v>667</v>
      </c>
      <c r="B668" s="11" t="s">
        <v>4709</v>
      </c>
      <c r="D668" t="str">
        <f>IFERROR(VLOOKUP(ROWS($D$2:D668),A668:B1886,2,0),"")</f>
        <v>Lorient/Lann-Bihoué LRT</v>
      </c>
      <c r="F668">
        <f>IF(ISNUMBER(SEARCH(Request!$N$19,G668)),MAX(F$1:$F667)+1,0)</f>
        <v>667</v>
      </c>
      <c r="G668" s="11" t="s">
        <v>4709</v>
      </c>
      <c r="H668" t="str">
        <f>IFERROR(VLOOKUP(ROWS($H$2:H668),F668:G1886,2,0),"")</f>
        <v>Lorient/Lann-Bihoué LRT</v>
      </c>
    </row>
    <row r="669" spans="1:8" x14ac:dyDescent="0.25">
      <c r="A669">
        <f>IF(ISNUMBER(SEARCH(Request!$I$19,B669)),MAX($A$1:A668)+1,0)</f>
        <v>668</v>
      </c>
      <c r="B669" s="11" t="s">
        <v>4710</v>
      </c>
      <c r="D669" t="str">
        <f>IFERROR(VLOOKUP(ROWS($D$2:D669),A669:B1887,2,0),"")</f>
        <v>Los Angeles LAX</v>
      </c>
      <c r="F669">
        <f>IF(ISNUMBER(SEARCH(Request!$N$19,G669)),MAX(F$1:$F668)+1,0)</f>
        <v>668</v>
      </c>
      <c r="G669" s="11" t="s">
        <v>4710</v>
      </c>
      <c r="H669" t="str">
        <f>IFERROR(VLOOKUP(ROWS($H$2:H669),F669:G1887,2,0),"")</f>
        <v>Los Angeles LAX</v>
      </c>
    </row>
    <row r="670" spans="1:8" x14ac:dyDescent="0.25">
      <c r="A670">
        <f>IF(ISNUMBER(SEARCH(Request!$I$19,B670)),MAX($A$1:A669)+1,0)</f>
        <v>669</v>
      </c>
      <c r="B670" s="11" t="s">
        <v>4711</v>
      </c>
      <c r="D670" t="str">
        <f>IFERROR(VLOOKUP(ROWS($D$2:D670),A670:B1888,2,0),"")</f>
        <v>Louisville SDF</v>
      </c>
      <c r="F670">
        <f>IF(ISNUMBER(SEARCH(Request!$N$19,G670)),MAX(F$1:$F669)+1,0)</f>
        <v>669</v>
      </c>
      <c r="G670" s="11" t="s">
        <v>4711</v>
      </c>
      <c r="H670" t="str">
        <f>IFERROR(VLOOKUP(ROWS($H$2:H670),F670:G1888,2,0),"")</f>
        <v>Louisville SDF</v>
      </c>
    </row>
    <row r="671" spans="1:8" x14ac:dyDescent="0.25">
      <c r="A671">
        <f>IF(ISNUMBER(SEARCH(Request!$I$19,B671)),MAX($A$1:A670)+1,0)</f>
        <v>670</v>
      </c>
      <c r="B671" s="11" t="s">
        <v>4712</v>
      </c>
      <c r="D671" t="str">
        <f>IFERROR(VLOOKUP(ROWS($D$2:D671),A671:B1889,2,0),"")</f>
        <v>Luanda – 4 de Fevereiro LAD</v>
      </c>
      <c r="F671">
        <f>IF(ISNUMBER(SEARCH(Request!$N$19,G671)),MAX(F$1:$F670)+1,0)</f>
        <v>670</v>
      </c>
      <c r="G671" s="11" t="s">
        <v>4712</v>
      </c>
      <c r="H671" t="str">
        <f>IFERROR(VLOOKUP(ROWS($H$2:H671),F671:G1889,2,0),"")</f>
        <v>Luanda – 4 de Fevereiro LAD</v>
      </c>
    </row>
    <row r="672" spans="1:8" x14ac:dyDescent="0.25">
      <c r="A672">
        <f>IF(ISNUMBER(SEARCH(Request!$I$19,B672)),MAX($A$1:A671)+1,0)</f>
        <v>671</v>
      </c>
      <c r="B672" s="11" t="s">
        <v>4713</v>
      </c>
      <c r="D672" t="str">
        <f>IFERROR(VLOOKUP(ROWS($D$2:D672),A672:B1890,2,0),"")</f>
        <v>Lubbock LBB</v>
      </c>
      <c r="F672">
        <f>IF(ISNUMBER(SEARCH(Request!$N$19,G672)),MAX(F$1:$F671)+1,0)</f>
        <v>671</v>
      </c>
      <c r="G672" s="11" t="s">
        <v>4713</v>
      </c>
      <c r="H672" t="str">
        <f>IFERROR(VLOOKUP(ROWS($H$2:H672),F672:G1890,2,0),"")</f>
        <v>Lubbock LBB</v>
      </c>
    </row>
    <row r="673" spans="1:8" x14ac:dyDescent="0.25">
      <c r="A673">
        <f>IF(ISNUMBER(SEARCH(Request!$I$19,B673)),MAX($A$1:A672)+1,0)</f>
        <v>672</v>
      </c>
      <c r="B673" s="11" t="s">
        <v>4714</v>
      </c>
      <c r="D673" t="str">
        <f>IFERROR(VLOOKUP(ROWS($D$2:D673),A673:B1891,2,0),"")</f>
        <v>Lucknow – Amausi LKO</v>
      </c>
      <c r="F673">
        <f>IF(ISNUMBER(SEARCH(Request!$N$19,G673)),MAX(F$1:$F672)+1,0)</f>
        <v>672</v>
      </c>
      <c r="G673" s="11" t="s">
        <v>4714</v>
      </c>
      <c r="H673" t="str">
        <f>IFERROR(VLOOKUP(ROWS($H$2:H673),F673:G1891,2,0),"")</f>
        <v>Lucknow – Amausi LKO</v>
      </c>
    </row>
    <row r="674" spans="1:8" x14ac:dyDescent="0.25">
      <c r="A674">
        <f>IF(ISNUMBER(SEARCH(Request!$I$19,B674)),MAX($A$1:A673)+1,0)</f>
        <v>673</v>
      </c>
      <c r="B674" s="11" t="s">
        <v>4715</v>
      </c>
      <c r="D674" t="str">
        <f>IFERROR(VLOOKUP(ROWS($D$2:D674),A674:B1892,2,0),"")</f>
        <v>Luebeck – Blankensee LBC</v>
      </c>
      <c r="F674">
        <f>IF(ISNUMBER(SEARCH(Request!$N$19,G674)),MAX(F$1:$F673)+1,0)</f>
        <v>673</v>
      </c>
      <c r="G674" s="11" t="s">
        <v>4715</v>
      </c>
      <c r="H674" t="str">
        <f>IFERROR(VLOOKUP(ROWS($H$2:H674),F674:G1892,2,0),"")</f>
        <v>Luebeck – Blankensee LBC</v>
      </c>
    </row>
    <row r="675" spans="1:8" x14ac:dyDescent="0.25">
      <c r="A675">
        <f>IF(ISNUMBER(SEARCH(Request!$I$19,B675)),MAX($A$1:A674)+1,0)</f>
        <v>674</v>
      </c>
      <c r="B675" s="11" t="s">
        <v>4716</v>
      </c>
      <c r="D675" t="str">
        <f>IFERROR(VLOOKUP(ROWS($D$2:D675),A675:B1893,2,0),"")</f>
        <v>Lugano LUG</v>
      </c>
      <c r="F675">
        <f>IF(ISNUMBER(SEARCH(Request!$N$19,G675)),MAX(F$1:$F674)+1,0)</f>
        <v>674</v>
      </c>
      <c r="G675" s="11" t="s">
        <v>4716</v>
      </c>
      <c r="H675" t="str">
        <f>IFERROR(VLOOKUP(ROWS($H$2:H675),F675:G1893,2,0),"")</f>
        <v>Lugano LUG</v>
      </c>
    </row>
    <row r="676" spans="1:8" x14ac:dyDescent="0.25">
      <c r="A676">
        <f>IF(ISNUMBER(SEARCH(Request!$I$19,B676)),MAX($A$1:A675)+1,0)</f>
        <v>675</v>
      </c>
      <c r="B676" s="11" t="s">
        <v>4717</v>
      </c>
      <c r="D676" t="str">
        <f>IFERROR(VLOOKUP(ROWS($D$2:D676),A676:B1894,2,0),"")</f>
        <v>Luleå-Kallax Cargo LLA</v>
      </c>
      <c r="F676">
        <f>IF(ISNUMBER(SEARCH(Request!$N$19,G676)),MAX(F$1:$F675)+1,0)</f>
        <v>675</v>
      </c>
      <c r="G676" s="11" t="s">
        <v>4717</v>
      </c>
      <c r="H676" t="str">
        <f>IFERROR(VLOOKUP(ROWS($H$2:H676),F676:G1894,2,0),"")</f>
        <v>Luleå-Kallax Cargo LLA</v>
      </c>
    </row>
    <row r="677" spans="1:8" x14ac:dyDescent="0.25">
      <c r="A677">
        <f>IF(ISNUMBER(SEARCH(Request!$I$19,B677)),MAX($A$1:A676)+1,0)</f>
        <v>676</v>
      </c>
      <c r="B677" s="11" t="s">
        <v>4718</v>
      </c>
      <c r="D677" t="str">
        <f>IFERROR(VLOOKUP(ROWS($D$2:D677),A677:B1895,2,0),"")</f>
        <v>Lusaka LUN</v>
      </c>
      <c r="F677">
        <f>IF(ISNUMBER(SEARCH(Request!$N$19,G677)),MAX(F$1:$F676)+1,0)</f>
        <v>676</v>
      </c>
      <c r="G677" s="11" t="s">
        <v>4718</v>
      </c>
      <c r="H677" t="str">
        <f>IFERROR(VLOOKUP(ROWS($H$2:H677),F677:G1895,2,0),"")</f>
        <v>Lusaka LUN</v>
      </c>
    </row>
    <row r="678" spans="1:8" x14ac:dyDescent="0.25">
      <c r="A678">
        <f>IF(ISNUMBER(SEARCH(Request!$I$19,B678)),MAX($A$1:A677)+1,0)</f>
        <v>677</v>
      </c>
      <c r="B678" s="11" t="s">
        <v>4719</v>
      </c>
      <c r="D678" t="str">
        <f>IFERROR(VLOOKUP(ROWS($D$2:D678),A678:B1896,2,0),"")</f>
        <v>Luxembourg-Findel LUX</v>
      </c>
      <c r="F678">
        <f>IF(ISNUMBER(SEARCH(Request!$N$19,G678)),MAX(F$1:$F677)+1,0)</f>
        <v>677</v>
      </c>
      <c r="G678" s="11" t="s">
        <v>4719</v>
      </c>
      <c r="H678" t="str">
        <f>IFERROR(VLOOKUP(ROWS($H$2:H678),F678:G1896,2,0),"")</f>
        <v>Luxembourg-Findel LUX</v>
      </c>
    </row>
    <row r="679" spans="1:8" x14ac:dyDescent="0.25">
      <c r="A679">
        <f>IF(ISNUMBER(SEARCH(Request!$I$19,B679)),MAX($A$1:A678)+1,0)</f>
        <v>678</v>
      </c>
      <c r="B679" s="11" t="s">
        <v>4720</v>
      </c>
      <c r="D679" t="str">
        <f>IFERROR(VLOOKUP(ROWS($D$2:D679),A679:B1897,2,0),"")</f>
        <v>Luxor LXR</v>
      </c>
      <c r="F679">
        <f>IF(ISNUMBER(SEARCH(Request!$N$19,G679)),MAX(F$1:$F678)+1,0)</f>
        <v>678</v>
      </c>
      <c r="G679" s="11" t="s">
        <v>4720</v>
      </c>
      <c r="H679" t="str">
        <f>IFERROR(VLOOKUP(ROWS($H$2:H679),F679:G1897,2,0),"")</f>
        <v>Luxor LXR</v>
      </c>
    </row>
    <row r="680" spans="1:8" x14ac:dyDescent="0.25">
      <c r="A680">
        <f>IF(ISNUMBER(SEARCH(Request!$I$19,B680)),MAX($A$1:A679)+1,0)</f>
        <v>679</v>
      </c>
      <c r="B680" s="11" t="s">
        <v>4721</v>
      </c>
      <c r="D680" t="str">
        <f>IFERROR(VLOOKUP(ROWS($D$2:D680),A680:B1898,2,0),"")</f>
        <v>Lydd LYX</v>
      </c>
      <c r="F680">
        <f>IF(ISNUMBER(SEARCH(Request!$N$19,G680)),MAX(F$1:$F679)+1,0)</f>
        <v>679</v>
      </c>
      <c r="G680" s="11" t="s">
        <v>4721</v>
      </c>
      <c r="H680" t="str">
        <f>IFERROR(VLOOKUP(ROWS($H$2:H680),F680:G1898,2,0),"")</f>
        <v>Lydd LYX</v>
      </c>
    </row>
    <row r="681" spans="1:8" x14ac:dyDescent="0.25">
      <c r="A681">
        <f>IF(ISNUMBER(SEARCH(Request!$I$19,B681)),MAX($A$1:A680)+1,0)</f>
        <v>680</v>
      </c>
      <c r="B681" s="11" t="s">
        <v>4722</v>
      </c>
      <c r="D681" t="str">
        <f>IFERROR(VLOOKUP(ROWS($D$2:D681),A681:B1899,2,0),"")</f>
        <v>Lynchburg Regional LYH</v>
      </c>
      <c r="F681">
        <f>IF(ISNUMBER(SEARCH(Request!$N$19,G681)),MAX(F$1:$F680)+1,0)</f>
        <v>680</v>
      </c>
      <c r="G681" s="11" t="s">
        <v>4722</v>
      </c>
      <c r="H681" t="str">
        <f>IFERROR(VLOOKUP(ROWS($H$2:H681),F681:G1899,2,0),"")</f>
        <v>Lynchburg Regional LYH</v>
      </c>
    </row>
    <row r="682" spans="1:8" x14ac:dyDescent="0.25">
      <c r="A682">
        <f>IF(ISNUMBER(SEARCH(Request!$I$19,B682)),MAX($A$1:A681)+1,0)</f>
        <v>681</v>
      </c>
      <c r="B682" s="11" t="s">
        <v>4723</v>
      </c>
      <c r="D682" t="str">
        <f>IFERROR(VLOOKUP(ROWS($D$2:D682),A682:B1900,2,0),"")</f>
        <v>Lyon – Aéroport Lyon-Saint Exupéry LYS</v>
      </c>
      <c r="F682">
        <f>IF(ISNUMBER(SEARCH(Request!$N$19,G682)),MAX(F$1:$F681)+1,0)</f>
        <v>681</v>
      </c>
      <c r="G682" s="11" t="s">
        <v>4723</v>
      </c>
      <c r="H682" t="str">
        <f>IFERROR(VLOOKUP(ROWS($H$2:H682),F682:G1900,2,0),"")</f>
        <v>Lyon – Aéroport Lyon-Saint Exupéry LYS</v>
      </c>
    </row>
    <row r="683" spans="1:8" x14ac:dyDescent="0.25">
      <c r="A683">
        <f>IF(ISNUMBER(SEARCH(Request!$I$19,B683)),MAX($A$1:A682)+1,0)</f>
        <v>682</v>
      </c>
      <c r="B683" s="11" t="s">
        <v>4724</v>
      </c>
      <c r="D683" t="str">
        <f>IFERROR(VLOOKUP(ROWS($D$2:D683),A683:B1901,2,0),"")</f>
        <v>Lyon/Bron Int´l LYS</v>
      </c>
      <c r="F683">
        <f>IF(ISNUMBER(SEARCH(Request!$N$19,G683)),MAX(F$1:$F682)+1,0)</f>
        <v>682</v>
      </c>
      <c r="G683" s="11" t="s">
        <v>4724</v>
      </c>
      <c r="H683" t="str">
        <f>IFERROR(VLOOKUP(ROWS($H$2:H683),F683:G1901,2,0),"")</f>
        <v>Lyon/Bron Int´l LYS</v>
      </c>
    </row>
    <row r="684" spans="1:8" x14ac:dyDescent="0.25">
      <c r="A684">
        <f>IF(ISNUMBER(SEARCH(Request!$I$19,B684)),MAX($A$1:A683)+1,0)</f>
        <v>683</v>
      </c>
      <c r="B684" s="11" t="s">
        <v>4725</v>
      </c>
      <c r="D684" t="str">
        <f>IFERROR(VLOOKUP(ROWS($D$2:D684),A684:B1902,2,0),"")</f>
        <v>Maastricht Aachen MST</v>
      </c>
      <c r="F684">
        <f>IF(ISNUMBER(SEARCH(Request!$N$19,G684)),MAX(F$1:$F683)+1,0)</f>
        <v>683</v>
      </c>
      <c r="G684" s="11" t="s">
        <v>4725</v>
      </c>
      <c r="H684" t="str">
        <f>IFERROR(VLOOKUP(ROWS($H$2:H684),F684:G1902,2,0),"")</f>
        <v>Maastricht Aachen MST</v>
      </c>
    </row>
    <row r="685" spans="1:8" x14ac:dyDescent="0.25">
      <c r="A685">
        <f>IF(ISNUMBER(SEARCH(Request!$I$19,B685)),MAX($A$1:A684)+1,0)</f>
        <v>684</v>
      </c>
      <c r="B685" s="11" t="s">
        <v>4726</v>
      </c>
      <c r="D685" t="str">
        <f>IFERROR(VLOOKUP(ROWS($D$2:D685),A685:B1903,2,0),"")</f>
        <v>Macau MFM</v>
      </c>
      <c r="F685">
        <f>IF(ISNUMBER(SEARCH(Request!$N$19,G685)),MAX(F$1:$F684)+1,0)</f>
        <v>684</v>
      </c>
      <c r="G685" s="11" t="s">
        <v>4726</v>
      </c>
      <c r="H685" t="str">
        <f>IFERROR(VLOOKUP(ROWS($H$2:H685),F685:G1903,2,0),"")</f>
        <v>Macau MFM</v>
      </c>
    </row>
    <row r="686" spans="1:8" x14ac:dyDescent="0.25">
      <c r="A686">
        <f>IF(ISNUMBER(SEARCH(Request!$I$19,B686)),MAX($A$1:A685)+1,0)</f>
        <v>685</v>
      </c>
      <c r="B686" s="11" t="s">
        <v>4727</v>
      </c>
      <c r="D686" t="str">
        <f>IFERROR(VLOOKUP(ROWS($D$2:D686),A686:B1904,2,0),"")</f>
        <v>Mackay MKY</v>
      </c>
      <c r="F686">
        <f>IF(ISNUMBER(SEARCH(Request!$N$19,G686)),MAX(F$1:$F685)+1,0)</f>
        <v>685</v>
      </c>
      <c r="G686" s="11" t="s">
        <v>4727</v>
      </c>
      <c r="H686" t="str">
        <f>IFERROR(VLOOKUP(ROWS($H$2:H686),F686:G1904,2,0),"")</f>
        <v>Mackay MKY</v>
      </c>
    </row>
    <row r="687" spans="1:8" x14ac:dyDescent="0.25">
      <c r="A687">
        <f>IF(ISNUMBER(SEARCH(Request!$I$19,B687)),MAX($A$1:A686)+1,0)</f>
        <v>686</v>
      </c>
      <c r="B687" s="11" t="s">
        <v>4728</v>
      </c>
      <c r="D687" t="str">
        <f>IFERROR(VLOOKUP(ROWS($D$2:D687),A687:B1905,2,0),"")</f>
        <v>Mactan – Cebu Int´l NOP</v>
      </c>
      <c r="F687">
        <f>IF(ISNUMBER(SEARCH(Request!$N$19,G687)),MAX(F$1:$F686)+1,0)</f>
        <v>686</v>
      </c>
      <c r="G687" s="11" t="s">
        <v>4728</v>
      </c>
      <c r="H687" t="str">
        <f>IFERROR(VLOOKUP(ROWS($H$2:H687),F687:G1905,2,0),"")</f>
        <v>Mactan – Cebu Int´l NOP</v>
      </c>
    </row>
    <row r="688" spans="1:8" x14ac:dyDescent="0.25">
      <c r="A688">
        <f>IF(ISNUMBER(SEARCH(Request!$I$19,B688)),MAX($A$1:A687)+1,0)</f>
        <v>687</v>
      </c>
      <c r="B688" s="11" t="s">
        <v>4729</v>
      </c>
      <c r="D688" t="str">
        <f>IFERROR(VLOOKUP(ROWS($D$2:D688),A688:B1906,2,0),"")</f>
        <v>Madrid – Barajas MAD</v>
      </c>
      <c r="F688">
        <f>IF(ISNUMBER(SEARCH(Request!$N$19,G688)),MAX(F$1:$F687)+1,0)</f>
        <v>687</v>
      </c>
      <c r="G688" s="11" t="s">
        <v>4729</v>
      </c>
      <c r="H688" t="str">
        <f>IFERROR(VLOOKUP(ROWS($H$2:H688),F688:G1906,2,0),"")</f>
        <v>Madrid – Barajas MAD</v>
      </c>
    </row>
    <row r="689" spans="1:8" x14ac:dyDescent="0.25">
      <c r="A689">
        <f>IF(ISNUMBER(SEARCH(Request!$I$19,B689)),MAX($A$1:A688)+1,0)</f>
        <v>688</v>
      </c>
      <c r="B689" s="11" t="s">
        <v>4730</v>
      </c>
      <c r="D689" t="str">
        <f>IFERROR(VLOOKUP(ROWS($D$2:D689),A689:B1907,2,0),"")</f>
        <v>Madrid – Cuatro Vientos MCV</v>
      </c>
      <c r="F689">
        <f>IF(ISNUMBER(SEARCH(Request!$N$19,G689)),MAX(F$1:$F688)+1,0)</f>
        <v>688</v>
      </c>
      <c r="G689" s="11" t="s">
        <v>4730</v>
      </c>
      <c r="H689" t="str">
        <f>IFERROR(VLOOKUP(ROWS($H$2:H689),F689:G1907,2,0),"")</f>
        <v>Madrid – Cuatro Vientos MCV</v>
      </c>
    </row>
    <row r="690" spans="1:8" x14ac:dyDescent="0.25">
      <c r="A690">
        <f>IF(ISNUMBER(SEARCH(Request!$I$19,B690)),MAX($A$1:A689)+1,0)</f>
        <v>689</v>
      </c>
      <c r="B690" s="11" t="s">
        <v>4731</v>
      </c>
      <c r="D690" t="str">
        <f>IFERROR(VLOOKUP(ROWS($D$2:D690),A690:B1908,2,0),"")</f>
        <v>Magadan Sokol GDX</v>
      </c>
      <c r="F690">
        <f>IF(ISNUMBER(SEARCH(Request!$N$19,G690)),MAX(F$1:$F689)+1,0)</f>
        <v>689</v>
      </c>
      <c r="G690" s="11" t="s">
        <v>4731</v>
      </c>
      <c r="H690" t="str">
        <f>IFERROR(VLOOKUP(ROWS($H$2:H690),F690:G1908,2,0),"")</f>
        <v>Magadan Sokol GDX</v>
      </c>
    </row>
    <row r="691" spans="1:8" x14ac:dyDescent="0.25">
      <c r="A691">
        <f>IF(ISNUMBER(SEARCH(Request!$I$19,B691)),MAX($A$1:A690)+1,0)</f>
        <v>690</v>
      </c>
      <c r="B691" s="11" t="s">
        <v>4732</v>
      </c>
      <c r="D691" t="str">
        <f>IFERROR(VLOOKUP(ROWS($D$2:D691),A691:B1909,2,0),"")</f>
        <v>Makedonia-Thessaloniki SKG</v>
      </c>
      <c r="F691">
        <f>IF(ISNUMBER(SEARCH(Request!$N$19,G691)),MAX(F$1:$F690)+1,0)</f>
        <v>690</v>
      </c>
      <c r="G691" s="11" t="s">
        <v>4732</v>
      </c>
      <c r="H691" t="str">
        <f>IFERROR(VLOOKUP(ROWS($H$2:H691),F691:G1909,2,0),"")</f>
        <v>Makedonia-Thessaloniki SKG</v>
      </c>
    </row>
    <row r="692" spans="1:8" x14ac:dyDescent="0.25">
      <c r="A692">
        <f>IF(ISNUMBER(SEARCH(Request!$I$19,B692)),MAX($A$1:A691)+1,0)</f>
        <v>691</v>
      </c>
      <c r="B692" s="11" t="s">
        <v>4733</v>
      </c>
      <c r="D692" t="str">
        <f>IFERROR(VLOOKUP(ROWS($D$2:D692),A692:B1910,2,0),"")</f>
        <v>Malabo SSG</v>
      </c>
      <c r="F692">
        <f>IF(ISNUMBER(SEARCH(Request!$N$19,G692)),MAX(F$1:$F691)+1,0)</f>
        <v>691</v>
      </c>
      <c r="G692" s="11" t="s">
        <v>4733</v>
      </c>
      <c r="H692" t="str">
        <f>IFERROR(VLOOKUP(ROWS($H$2:H692),F692:G1910,2,0),"")</f>
        <v>Malabo SSG</v>
      </c>
    </row>
    <row r="693" spans="1:8" x14ac:dyDescent="0.25">
      <c r="A693">
        <f>IF(ISNUMBER(SEARCH(Request!$I$19,B693)),MAX($A$1:A692)+1,0)</f>
        <v>692</v>
      </c>
      <c r="B693" s="11" t="s">
        <v>4734</v>
      </c>
      <c r="D693" t="str">
        <f>IFERROR(VLOOKUP(ROWS($D$2:D693),A693:B1911,2,0),"")</f>
        <v>Malaga AGP</v>
      </c>
      <c r="F693">
        <f>IF(ISNUMBER(SEARCH(Request!$N$19,G693)),MAX(F$1:$F692)+1,0)</f>
        <v>692</v>
      </c>
      <c r="G693" s="11" t="s">
        <v>4734</v>
      </c>
      <c r="H693" t="str">
        <f>IFERROR(VLOOKUP(ROWS($H$2:H693),F693:G1911,2,0),"")</f>
        <v>Malaga AGP</v>
      </c>
    </row>
    <row r="694" spans="1:8" x14ac:dyDescent="0.25">
      <c r="A694">
        <f>IF(ISNUMBER(SEARCH(Request!$I$19,B694)),MAX($A$1:A693)+1,0)</f>
        <v>693</v>
      </c>
      <c r="B694" s="11" t="s">
        <v>4735</v>
      </c>
      <c r="D694" t="str">
        <f>IFERROR(VLOOKUP(ROWS($D$2:D694),A694:B1912,2,0),"")</f>
        <v>Male MLE</v>
      </c>
      <c r="F694">
        <f>IF(ISNUMBER(SEARCH(Request!$N$19,G694)),MAX(F$1:$F693)+1,0)</f>
        <v>693</v>
      </c>
      <c r="G694" s="11" t="s">
        <v>4735</v>
      </c>
      <c r="H694" t="str">
        <f>IFERROR(VLOOKUP(ROWS($H$2:H694),F694:G1912,2,0),"")</f>
        <v>Male MLE</v>
      </c>
    </row>
    <row r="695" spans="1:8" x14ac:dyDescent="0.25">
      <c r="A695">
        <f>IF(ISNUMBER(SEARCH(Request!$I$19,B695)),MAX($A$1:A694)+1,0)</f>
        <v>694</v>
      </c>
      <c r="B695" s="11" t="s">
        <v>4736</v>
      </c>
      <c r="D695" t="str">
        <f>IFERROR(VLOOKUP(ROWS($D$2:D695),A695:B1913,2,0),"")</f>
        <v>Malmö – Sturup MMX</v>
      </c>
      <c r="F695">
        <f>IF(ISNUMBER(SEARCH(Request!$N$19,G695)),MAX(F$1:$F694)+1,0)</f>
        <v>694</v>
      </c>
      <c r="G695" s="11" t="s">
        <v>4736</v>
      </c>
      <c r="H695" t="str">
        <f>IFERROR(VLOOKUP(ROWS($H$2:H695),F695:G1913,2,0),"")</f>
        <v>Malmö – Sturup MMX</v>
      </c>
    </row>
    <row r="696" spans="1:8" x14ac:dyDescent="0.25">
      <c r="A696">
        <f>IF(ISNUMBER(SEARCH(Request!$I$19,B696)),MAX($A$1:A695)+1,0)</f>
        <v>695</v>
      </c>
      <c r="B696" s="11" t="s">
        <v>4737</v>
      </c>
      <c r="D696" t="str">
        <f>IFERROR(VLOOKUP(ROWS($D$2:D696),A696:B1914,2,0),"")</f>
        <v>Malta Int´l MLA</v>
      </c>
      <c r="F696">
        <f>IF(ISNUMBER(SEARCH(Request!$N$19,G696)),MAX(F$1:$F695)+1,0)</f>
        <v>695</v>
      </c>
      <c r="G696" s="11" t="s">
        <v>4737</v>
      </c>
      <c r="H696" t="str">
        <f>IFERROR(VLOOKUP(ROWS($H$2:H696),F696:G1914,2,0),"")</f>
        <v>Malta Int´l MLA</v>
      </c>
    </row>
    <row r="697" spans="1:8" x14ac:dyDescent="0.25">
      <c r="A697">
        <f>IF(ISNUMBER(SEARCH(Request!$I$19,B697)),MAX($A$1:A696)+1,0)</f>
        <v>696</v>
      </c>
      <c r="B697" s="11" t="s">
        <v>4738</v>
      </c>
      <c r="D697" t="str">
        <f>IFERROR(VLOOKUP(ROWS($D$2:D697),A697:B1915,2,0),"")</f>
        <v>Manado – Sam Ratulangi MDC</v>
      </c>
      <c r="F697">
        <f>IF(ISNUMBER(SEARCH(Request!$N$19,G697)),MAX(F$1:$F696)+1,0)</f>
        <v>696</v>
      </c>
      <c r="G697" s="11" t="s">
        <v>4738</v>
      </c>
      <c r="H697" t="str">
        <f>IFERROR(VLOOKUP(ROWS($H$2:H697),F697:G1915,2,0),"")</f>
        <v>Manado – Sam Ratulangi MDC</v>
      </c>
    </row>
    <row r="698" spans="1:8" x14ac:dyDescent="0.25">
      <c r="A698">
        <f>IF(ISNUMBER(SEARCH(Request!$I$19,B698)),MAX($A$1:A697)+1,0)</f>
        <v>697</v>
      </c>
      <c r="B698" s="11" t="s">
        <v>4739</v>
      </c>
      <c r="D698" t="str">
        <f>IFERROR(VLOOKUP(ROWS($D$2:D698),A698:B1916,2,0),"")</f>
        <v>Managua – Augusto Cesar Sandino MGA</v>
      </c>
      <c r="F698">
        <f>IF(ISNUMBER(SEARCH(Request!$N$19,G698)),MAX(F$1:$F697)+1,0)</f>
        <v>697</v>
      </c>
      <c r="G698" s="11" t="s">
        <v>4739</v>
      </c>
      <c r="H698" t="str">
        <f>IFERROR(VLOOKUP(ROWS($H$2:H698),F698:G1916,2,0),"")</f>
        <v>Managua – Augusto Cesar Sandino MGA</v>
      </c>
    </row>
    <row r="699" spans="1:8" x14ac:dyDescent="0.25">
      <c r="A699">
        <f>IF(ISNUMBER(SEARCH(Request!$I$19,B699)),MAX($A$1:A698)+1,0)</f>
        <v>698</v>
      </c>
      <c r="B699" s="11" t="s">
        <v>4740</v>
      </c>
      <c r="D699" t="str">
        <f>IFERROR(VLOOKUP(ROWS($D$2:D699),A699:B1917,2,0),"")</f>
        <v>Manaus-Eduardo Gomes Int´l MAO</v>
      </c>
      <c r="F699">
        <f>IF(ISNUMBER(SEARCH(Request!$N$19,G699)),MAX(F$1:$F698)+1,0)</f>
        <v>698</v>
      </c>
      <c r="G699" s="11" t="s">
        <v>4740</v>
      </c>
      <c r="H699" t="str">
        <f>IFERROR(VLOOKUP(ROWS($H$2:H699),F699:G1917,2,0),"")</f>
        <v>Manaus-Eduardo Gomes Int´l MAO</v>
      </c>
    </row>
    <row r="700" spans="1:8" x14ac:dyDescent="0.25">
      <c r="A700">
        <f>IF(ISNUMBER(SEARCH(Request!$I$19,B700)),MAX($A$1:A699)+1,0)</f>
        <v>699</v>
      </c>
      <c r="B700" s="11" t="s">
        <v>4742</v>
      </c>
      <c r="D700" t="str">
        <f>IFERROR(VLOOKUP(ROWS($D$2:D700),A700:B1918,2,0),"")</f>
        <v>Manchester MAN</v>
      </c>
      <c r="F700">
        <f>IF(ISNUMBER(SEARCH(Request!$N$19,G700)),MAX(F$1:$F699)+1,0)</f>
        <v>699</v>
      </c>
      <c r="G700" s="11" t="s">
        <v>4742</v>
      </c>
      <c r="H700" t="str">
        <f>IFERROR(VLOOKUP(ROWS($H$2:H700),F700:G1918,2,0),"")</f>
        <v>Manchester MAN</v>
      </c>
    </row>
    <row r="701" spans="1:8" x14ac:dyDescent="0.25">
      <c r="A701">
        <f>IF(ISNUMBER(SEARCH(Request!$I$19,B701)),MAX($A$1:A700)+1,0)</f>
        <v>700</v>
      </c>
      <c r="B701" s="11" t="s">
        <v>4741</v>
      </c>
      <c r="D701" t="str">
        <f>IFERROR(VLOOKUP(ROWS($D$2:D701),A701:B1919,2,0),"")</f>
        <v>Manchester MHT</v>
      </c>
      <c r="F701">
        <f>IF(ISNUMBER(SEARCH(Request!$N$19,G701)),MAX(F$1:$F700)+1,0)</f>
        <v>700</v>
      </c>
      <c r="G701" s="11" t="s">
        <v>4741</v>
      </c>
      <c r="H701" t="str">
        <f>IFERROR(VLOOKUP(ROWS($H$2:H701),F701:G1919,2,0),"")</f>
        <v>Manchester MHT</v>
      </c>
    </row>
    <row r="702" spans="1:8" x14ac:dyDescent="0.25">
      <c r="A702">
        <f>IF(ISNUMBER(SEARCH(Request!$I$19,B702)),MAX($A$1:A701)+1,0)</f>
        <v>701</v>
      </c>
      <c r="B702" s="11" t="s">
        <v>4743</v>
      </c>
      <c r="D702" t="str">
        <f>IFERROR(VLOOKUP(ROWS($D$2:D702),A702:B1920,2,0),"")</f>
        <v>Mandalay MDL</v>
      </c>
      <c r="F702">
        <f>IF(ISNUMBER(SEARCH(Request!$N$19,G702)),MAX(F$1:$F701)+1,0)</f>
        <v>701</v>
      </c>
      <c r="G702" s="11" t="s">
        <v>4743</v>
      </c>
      <c r="H702" t="str">
        <f>IFERROR(VLOOKUP(ROWS($H$2:H702),F702:G1920,2,0),"")</f>
        <v>Mandalay MDL</v>
      </c>
    </row>
    <row r="703" spans="1:8" x14ac:dyDescent="0.25">
      <c r="A703">
        <f>IF(ISNUMBER(SEARCH(Request!$I$19,B703)),MAX($A$1:A702)+1,0)</f>
        <v>702</v>
      </c>
      <c r="B703" s="11" t="s">
        <v>4744</v>
      </c>
      <c r="D703" t="str">
        <f>IFERROR(VLOOKUP(ROWS($D$2:D703),A703:B1921,2,0),"")</f>
        <v>Manila – Ninoy Aquino Int´l MNL</v>
      </c>
      <c r="F703">
        <f>IF(ISNUMBER(SEARCH(Request!$N$19,G703)),MAX(F$1:$F702)+1,0)</f>
        <v>702</v>
      </c>
      <c r="G703" s="11" t="s">
        <v>4744</v>
      </c>
      <c r="H703" t="str">
        <f>IFERROR(VLOOKUP(ROWS($H$2:H703),F703:G1921,2,0),"")</f>
        <v>Manila – Ninoy Aquino Int´l MNL</v>
      </c>
    </row>
    <row r="704" spans="1:8" x14ac:dyDescent="0.25">
      <c r="A704">
        <f>IF(ISNUMBER(SEARCH(Request!$I$19,B704)),MAX($A$1:A703)+1,0)</f>
        <v>703</v>
      </c>
      <c r="B704" s="11" t="s">
        <v>4745</v>
      </c>
      <c r="D704" t="str">
        <f>IFERROR(VLOOKUP(ROWS($D$2:D704),A704:B1922,2,0),"")</f>
        <v>Manzanillo-Sierra Maestra Int´l MZO</v>
      </c>
      <c r="F704">
        <f>IF(ISNUMBER(SEARCH(Request!$N$19,G704)),MAX(F$1:$F703)+1,0)</f>
        <v>703</v>
      </c>
      <c r="G704" s="11" t="s">
        <v>4745</v>
      </c>
      <c r="H704" t="str">
        <f>IFERROR(VLOOKUP(ROWS($H$2:H704),F704:G1922,2,0),"")</f>
        <v>Manzanillo-Sierra Maestra Int´l MZO</v>
      </c>
    </row>
    <row r="705" spans="1:8" x14ac:dyDescent="0.25">
      <c r="A705">
        <f>IF(ISNUMBER(SEARCH(Request!$I$19,B705)),MAX($A$1:A704)+1,0)</f>
        <v>704</v>
      </c>
      <c r="B705" s="11" t="s">
        <v>4746</v>
      </c>
      <c r="D705" t="str">
        <f>IFERROR(VLOOKUP(ROWS($D$2:D705),A705:B1923,2,0),"")</f>
        <v>Maputo MPM</v>
      </c>
      <c r="F705">
        <f>IF(ISNUMBER(SEARCH(Request!$N$19,G705)),MAX(F$1:$F704)+1,0)</f>
        <v>704</v>
      </c>
      <c r="G705" s="11" t="s">
        <v>4746</v>
      </c>
      <c r="H705" t="str">
        <f>IFERROR(VLOOKUP(ROWS($H$2:H705),F705:G1923,2,0),"")</f>
        <v>Maputo MPM</v>
      </c>
    </row>
    <row r="706" spans="1:8" x14ac:dyDescent="0.25">
      <c r="A706">
        <f>IF(ISNUMBER(SEARCH(Request!$I$19,B706)),MAX($A$1:A705)+1,0)</f>
        <v>705</v>
      </c>
      <c r="B706" s="11" t="s">
        <v>4747</v>
      </c>
      <c r="D706" t="str">
        <f>IFERROR(VLOOKUP(ROWS($D$2:D706),A706:B1924,2,0),"")</f>
        <v>Marathon MTH</v>
      </c>
      <c r="F706">
        <f>IF(ISNUMBER(SEARCH(Request!$N$19,G706)),MAX(F$1:$F705)+1,0)</f>
        <v>705</v>
      </c>
      <c r="G706" s="11" t="s">
        <v>4747</v>
      </c>
      <c r="H706" t="str">
        <f>IFERROR(VLOOKUP(ROWS($H$2:H706),F706:G1924,2,0),"")</f>
        <v>Marathon MTH</v>
      </c>
    </row>
    <row r="707" spans="1:8" x14ac:dyDescent="0.25">
      <c r="A707">
        <f>IF(ISNUMBER(SEARCH(Request!$I$19,B707)),MAX($A$1:A706)+1,0)</f>
        <v>706</v>
      </c>
      <c r="B707" s="11" t="s">
        <v>4748</v>
      </c>
      <c r="D707" t="str">
        <f>IFERROR(VLOOKUP(ROWS($D$2:D707),A707:B1925,2,0),"")</f>
        <v>Maribor Aerodrom MBX</v>
      </c>
      <c r="F707">
        <f>IF(ISNUMBER(SEARCH(Request!$N$19,G707)),MAX(F$1:$F706)+1,0)</f>
        <v>706</v>
      </c>
      <c r="G707" s="11" t="s">
        <v>4748</v>
      </c>
      <c r="H707" t="str">
        <f>IFERROR(VLOOKUP(ROWS($H$2:H707),F707:G1925,2,0),"")</f>
        <v>Maribor Aerodrom MBX</v>
      </c>
    </row>
    <row r="708" spans="1:8" x14ac:dyDescent="0.25">
      <c r="A708">
        <f>IF(ISNUMBER(SEARCH(Request!$I$19,B708)),MAX($A$1:A707)+1,0)</f>
        <v>707</v>
      </c>
      <c r="B708" s="11" t="s">
        <v>4749</v>
      </c>
      <c r="D708" t="str">
        <f>IFERROR(VLOOKUP(ROWS($D$2:D708),A708:B1926,2,0),"")</f>
        <v>Mariehamn MHQ</v>
      </c>
      <c r="F708">
        <f>IF(ISNUMBER(SEARCH(Request!$N$19,G708)),MAX(F$1:$F707)+1,0)</f>
        <v>707</v>
      </c>
      <c r="G708" s="11" t="s">
        <v>4749</v>
      </c>
      <c r="H708" t="str">
        <f>IFERROR(VLOOKUP(ROWS($H$2:H708),F708:G1926,2,0),"")</f>
        <v>Mariehamn MHQ</v>
      </c>
    </row>
    <row r="709" spans="1:8" x14ac:dyDescent="0.25">
      <c r="A709">
        <f>IF(ISNUMBER(SEARCH(Request!$I$19,B709)),MAX($A$1:A708)+1,0)</f>
        <v>708</v>
      </c>
      <c r="B709" s="11" t="s">
        <v>4750</v>
      </c>
      <c r="D709" t="str">
        <f>IFERROR(VLOOKUP(ROWS($D$2:D709),A709:B1927,2,0),"")</f>
        <v>Marrakech – Menara RAK</v>
      </c>
      <c r="F709">
        <f>IF(ISNUMBER(SEARCH(Request!$N$19,G709)),MAX(F$1:$F708)+1,0)</f>
        <v>708</v>
      </c>
      <c r="G709" s="11" t="s">
        <v>4750</v>
      </c>
      <c r="H709" t="str">
        <f>IFERROR(VLOOKUP(ROWS($H$2:H709),F709:G1927,2,0),"")</f>
        <v>Marrakech – Menara RAK</v>
      </c>
    </row>
    <row r="710" spans="1:8" x14ac:dyDescent="0.25">
      <c r="A710">
        <f>IF(ISNUMBER(SEARCH(Request!$I$19,B710)),MAX($A$1:A709)+1,0)</f>
        <v>709</v>
      </c>
      <c r="B710" s="11" t="s">
        <v>4751</v>
      </c>
      <c r="D710" t="str">
        <f>IFERROR(VLOOKUP(ROWS($D$2:D710),A710:B1928,2,0),"")</f>
        <v>Marseille/Provence MRS</v>
      </c>
      <c r="F710">
        <f>IF(ISNUMBER(SEARCH(Request!$N$19,G710)),MAX(F$1:$F709)+1,0)</f>
        <v>709</v>
      </c>
      <c r="G710" s="11" t="s">
        <v>4751</v>
      </c>
      <c r="H710" t="str">
        <f>IFERROR(VLOOKUP(ROWS($H$2:H710),F710:G1928,2,0),"")</f>
        <v>Marseille/Provence MRS</v>
      </c>
    </row>
    <row r="711" spans="1:8" x14ac:dyDescent="0.25">
      <c r="A711">
        <f>IF(ISNUMBER(SEARCH(Request!$I$19,B711)),MAX($A$1:A710)+1,0)</f>
        <v>710</v>
      </c>
      <c r="B711" s="11" t="s">
        <v>4752</v>
      </c>
      <c r="D711" t="str">
        <f>IFERROR(VLOOKUP(ROWS($D$2:D711),A711:B1929,2,0),"")</f>
        <v>Martinique-Lamentin FDF</v>
      </c>
      <c r="F711">
        <f>IF(ISNUMBER(SEARCH(Request!$N$19,G711)),MAX(F$1:$F710)+1,0)</f>
        <v>710</v>
      </c>
      <c r="G711" s="11" t="s">
        <v>4752</v>
      </c>
      <c r="H711" t="str">
        <f>IFERROR(VLOOKUP(ROWS($H$2:H711),F711:G1929,2,0),"")</f>
        <v>Martinique-Lamentin FDF</v>
      </c>
    </row>
    <row r="712" spans="1:8" x14ac:dyDescent="0.25">
      <c r="A712">
        <f>IF(ISNUMBER(SEARCH(Request!$I$19,B712)),MAX($A$1:A711)+1,0)</f>
        <v>711</v>
      </c>
      <c r="B712" s="11" t="s">
        <v>4753</v>
      </c>
      <c r="D712" t="str">
        <f>IFERROR(VLOOKUP(ROWS($D$2:D712),A712:B1930,2,0),"")</f>
        <v>Maseru-Moshoeshoe 1 MSU</v>
      </c>
      <c r="F712">
        <f>IF(ISNUMBER(SEARCH(Request!$N$19,G712)),MAX(F$1:$F711)+1,0)</f>
        <v>711</v>
      </c>
      <c r="G712" s="11" t="s">
        <v>4753</v>
      </c>
      <c r="H712" t="str">
        <f>IFERROR(VLOOKUP(ROWS($H$2:H712),F712:G1930,2,0),"")</f>
        <v>Maseru-Moshoeshoe 1 MSU</v>
      </c>
    </row>
    <row r="713" spans="1:8" x14ac:dyDescent="0.25">
      <c r="A713">
        <f>IF(ISNUMBER(SEARCH(Request!$I$19,B713)),MAX($A$1:A712)+1,0)</f>
        <v>712</v>
      </c>
      <c r="B713" s="11" t="s">
        <v>4754</v>
      </c>
      <c r="D713" t="str">
        <f>IFERROR(VLOOKUP(ROWS($D$2:D713),A713:B1931,2,0),"")</f>
        <v>Mason City Municipal MCW</v>
      </c>
      <c r="F713">
        <f>IF(ISNUMBER(SEARCH(Request!$N$19,G713)),MAX(F$1:$F712)+1,0)</f>
        <v>712</v>
      </c>
      <c r="G713" s="11" t="s">
        <v>4754</v>
      </c>
      <c r="H713" t="str">
        <f>IFERROR(VLOOKUP(ROWS($H$2:H713),F713:G1931,2,0),"")</f>
        <v>Mason City Municipal MCW</v>
      </c>
    </row>
    <row r="714" spans="1:8" x14ac:dyDescent="0.25">
      <c r="A714">
        <f>IF(ISNUMBER(SEARCH(Request!$I$19,B714)),MAX($A$1:A713)+1,0)</f>
        <v>713</v>
      </c>
      <c r="B714" s="11" t="s">
        <v>4755</v>
      </c>
      <c r="D714" t="str">
        <f>IFERROR(VLOOKUP(ROWS($D$2:D714),A714:B1932,2,0),"")</f>
        <v>Matamoros – General Servando Canales MAM</v>
      </c>
      <c r="F714">
        <f>IF(ISNUMBER(SEARCH(Request!$N$19,G714)),MAX(F$1:$F713)+1,0)</f>
        <v>713</v>
      </c>
      <c r="G714" s="11" t="s">
        <v>4755</v>
      </c>
      <c r="H714" t="str">
        <f>IFERROR(VLOOKUP(ROWS($H$2:H714),F714:G1932,2,0),"")</f>
        <v>Matamoros – General Servando Canales MAM</v>
      </c>
    </row>
    <row r="715" spans="1:8" x14ac:dyDescent="0.25">
      <c r="A715">
        <f>IF(ISNUMBER(SEARCH(Request!$I$19,B715)),MAX($A$1:A714)+1,0)</f>
        <v>714</v>
      </c>
      <c r="B715" s="11" t="s">
        <v>4756</v>
      </c>
      <c r="D715" t="str">
        <f>IFERROR(VLOOKUP(ROWS($D$2:D715),A715:B1933,2,0),"")</f>
        <v>Matsapha MTS</v>
      </c>
      <c r="F715">
        <f>IF(ISNUMBER(SEARCH(Request!$N$19,G715)),MAX(F$1:$F714)+1,0)</f>
        <v>714</v>
      </c>
      <c r="G715" s="11" t="s">
        <v>4756</v>
      </c>
      <c r="H715" t="str">
        <f>IFERROR(VLOOKUP(ROWS($H$2:H715),F715:G1933,2,0),"")</f>
        <v>Matsapha MTS</v>
      </c>
    </row>
    <row r="716" spans="1:8" x14ac:dyDescent="0.25">
      <c r="A716">
        <f>IF(ISNUMBER(SEARCH(Request!$I$19,B716)),MAX($A$1:A715)+1,0)</f>
        <v>715</v>
      </c>
      <c r="B716" s="11" t="s">
        <v>4757</v>
      </c>
      <c r="D716" t="str">
        <f>IFERROR(VLOOKUP(ROWS($D$2:D716),A716:B1934,2,0),"")</f>
        <v>Matsumoto MMJ</v>
      </c>
      <c r="F716">
        <f>IF(ISNUMBER(SEARCH(Request!$N$19,G716)),MAX(F$1:$F715)+1,0)</f>
        <v>715</v>
      </c>
      <c r="G716" s="11" t="s">
        <v>4757</v>
      </c>
      <c r="H716" t="str">
        <f>IFERROR(VLOOKUP(ROWS($H$2:H716),F716:G1934,2,0),"")</f>
        <v>Matsumoto MMJ</v>
      </c>
    </row>
    <row r="717" spans="1:8" x14ac:dyDescent="0.25">
      <c r="A717">
        <f>IF(ISNUMBER(SEARCH(Request!$I$19,B717)),MAX($A$1:A716)+1,0)</f>
        <v>716</v>
      </c>
      <c r="B717" s="11" t="s">
        <v>4758</v>
      </c>
      <c r="D717" t="str">
        <f>IFERROR(VLOOKUP(ROWS($D$2:D717),A717:B1935,2,0),"")</f>
        <v>Maun MUB</v>
      </c>
      <c r="F717">
        <f>IF(ISNUMBER(SEARCH(Request!$N$19,G717)),MAX(F$1:$F716)+1,0)</f>
        <v>716</v>
      </c>
      <c r="G717" s="11" t="s">
        <v>4758</v>
      </c>
      <c r="H717" t="str">
        <f>IFERROR(VLOOKUP(ROWS($H$2:H717),F717:G1935,2,0),"")</f>
        <v>Maun MUB</v>
      </c>
    </row>
    <row r="718" spans="1:8" x14ac:dyDescent="0.25">
      <c r="A718">
        <f>IF(ISNUMBER(SEARCH(Request!$I$19,B718)),MAX($A$1:A717)+1,0)</f>
        <v>717</v>
      </c>
      <c r="B718" s="11" t="s">
        <v>4759</v>
      </c>
      <c r="D718" t="str">
        <f>IFERROR(VLOOKUP(ROWS($D$2:D718),A718:B1936,2,0),"")</f>
        <v>Mazatlan – General Rafael Buelna MZT</v>
      </c>
      <c r="F718">
        <f>IF(ISNUMBER(SEARCH(Request!$N$19,G718)),MAX(F$1:$F717)+1,0)</f>
        <v>717</v>
      </c>
      <c r="G718" s="11" t="s">
        <v>4759</v>
      </c>
      <c r="H718" t="str">
        <f>IFERROR(VLOOKUP(ROWS($H$2:H718),F718:G1936,2,0),"")</f>
        <v>Mazatlan – General Rafael Buelna MZT</v>
      </c>
    </row>
    <row r="719" spans="1:8" x14ac:dyDescent="0.25">
      <c r="A719">
        <f>IF(ISNUMBER(SEARCH(Request!$I$19,B719)),MAX($A$1:A718)+1,0)</f>
        <v>718</v>
      </c>
      <c r="B719" s="11" t="s">
        <v>4760</v>
      </c>
      <c r="D719" t="str">
        <f>IFERROR(VLOOKUP(ROWS($D$2:D719),A719:B1937,2,0),"")</f>
        <v>Mbandaka MDK</v>
      </c>
      <c r="F719">
        <f>IF(ISNUMBER(SEARCH(Request!$N$19,G719)),MAX(F$1:$F718)+1,0)</f>
        <v>718</v>
      </c>
      <c r="G719" s="11" t="s">
        <v>4760</v>
      </c>
      <c r="H719" t="str">
        <f>IFERROR(VLOOKUP(ROWS($H$2:H719),F719:G1937,2,0),"")</f>
        <v>Mbandaka MDK</v>
      </c>
    </row>
    <row r="720" spans="1:8" x14ac:dyDescent="0.25">
      <c r="A720">
        <f>IF(ISNUMBER(SEARCH(Request!$I$19,B720)),MAX($A$1:A719)+1,0)</f>
        <v>719</v>
      </c>
      <c r="B720" s="11" t="s">
        <v>4761</v>
      </c>
      <c r="D720" t="str">
        <f>IFERROR(VLOOKUP(ROWS($D$2:D720),A720:B1938,2,0),"")</f>
        <v>McAllen – Miller MFE</v>
      </c>
      <c r="F720">
        <f>IF(ISNUMBER(SEARCH(Request!$N$19,G720)),MAX(F$1:$F719)+1,0)</f>
        <v>719</v>
      </c>
      <c r="G720" s="11" t="s">
        <v>4761</v>
      </c>
      <c r="H720" t="str">
        <f>IFERROR(VLOOKUP(ROWS($H$2:H720),F720:G1938,2,0),"")</f>
        <v>McAllen – Miller MFE</v>
      </c>
    </row>
    <row r="721" spans="1:8" x14ac:dyDescent="0.25">
      <c r="A721">
        <f>IF(ISNUMBER(SEARCH(Request!$I$19,B721)),MAX($A$1:A720)+1,0)</f>
        <v>720</v>
      </c>
      <c r="B721" s="11" t="s">
        <v>4762</v>
      </c>
      <c r="D721" t="str">
        <f>IFERROR(VLOOKUP(ROWS($D$2:D721),A721:B1939,2,0),"")</f>
        <v>Medan-Polonia MES</v>
      </c>
      <c r="F721">
        <f>IF(ISNUMBER(SEARCH(Request!$N$19,G721)),MAX(F$1:$F720)+1,0)</f>
        <v>720</v>
      </c>
      <c r="G721" s="11" t="s">
        <v>4762</v>
      </c>
      <c r="H721" t="str">
        <f>IFERROR(VLOOKUP(ROWS($H$2:H721),F721:G1939,2,0),"")</f>
        <v>Medan-Polonia MES</v>
      </c>
    </row>
    <row r="722" spans="1:8" x14ac:dyDescent="0.25">
      <c r="A722">
        <f>IF(ISNUMBER(SEARCH(Request!$I$19,B722)),MAX($A$1:A721)+1,0)</f>
        <v>721</v>
      </c>
      <c r="B722" s="11" t="s">
        <v>4763</v>
      </c>
      <c r="D722" t="str">
        <f>IFERROR(VLOOKUP(ROWS($D$2:D722),A722:B1940,2,0),"")</f>
        <v>Medellin – Jose Maria Cordova MDE</v>
      </c>
      <c r="F722">
        <f>IF(ISNUMBER(SEARCH(Request!$N$19,G722)),MAX(F$1:$F721)+1,0)</f>
        <v>721</v>
      </c>
      <c r="G722" s="11" t="s">
        <v>4763</v>
      </c>
      <c r="H722" t="str">
        <f>IFERROR(VLOOKUP(ROWS($H$2:H722),F722:G1940,2,0),"")</f>
        <v>Medellin – Jose Maria Cordova MDE</v>
      </c>
    </row>
    <row r="723" spans="1:8" x14ac:dyDescent="0.25">
      <c r="A723">
        <f>IF(ISNUMBER(SEARCH(Request!$I$19,B723)),MAX($A$1:A722)+1,0)</f>
        <v>722</v>
      </c>
      <c r="B723" s="11" t="s">
        <v>4764</v>
      </c>
      <c r="D723" t="str">
        <f>IFERROR(VLOOKUP(ROWS($D$2:D723),A723:B1941,2,0),"")</f>
        <v>Melaka – Batu Berendam MKZ</v>
      </c>
      <c r="F723">
        <f>IF(ISNUMBER(SEARCH(Request!$N$19,G723)),MAX(F$1:$F722)+1,0)</f>
        <v>722</v>
      </c>
      <c r="G723" s="11" t="s">
        <v>4764</v>
      </c>
      <c r="H723" t="str">
        <f>IFERROR(VLOOKUP(ROWS($H$2:H723),F723:G1941,2,0),"")</f>
        <v>Melaka – Batu Berendam MKZ</v>
      </c>
    </row>
    <row r="724" spans="1:8" x14ac:dyDescent="0.25">
      <c r="A724">
        <f>IF(ISNUMBER(SEARCH(Request!$I$19,B724)),MAX($A$1:A723)+1,0)</f>
        <v>723</v>
      </c>
      <c r="B724" s="11" t="s">
        <v>4766</v>
      </c>
      <c r="D724" t="str">
        <f>IFERROR(VLOOKUP(ROWS($D$2:D724),A724:B1942,2,0),"")</f>
        <v>Melbourne – Tullamarine MEL</v>
      </c>
      <c r="F724">
        <f>IF(ISNUMBER(SEARCH(Request!$N$19,G724)),MAX(F$1:$F723)+1,0)</f>
        <v>723</v>
      </c>
      <c r="G724" s="11" t="s">
        <v>4766</v>
      </c>
      <c r="H724" t="str">
        <f>IFERROR(VLOOKUP(ROWS($H$2:H724),F724:G1942,2,0),"")</f>
        <v>Melbourne – Tullamarine MEL</v>
      </c>
    </row>
    <row r="725" spans="1:8" x14ac:dyDescent="0.25">
      <c r="A725">
        <f>IF(ISNUMBER(SEARCH(Request!$I$19,B725)),MAX($A$1:A724)+1,0)</f>
        <v>724</v>
      </c>
      <c r="B725" s="11" t="s">
        <v>4765</v>
      </c>
      <c r="D725" t="str">
        <f>IFERROR(VLOOKUP(ROWS($D$2:D725),A725:B1943,2,0),"")</f>
        <v>Melbourne Int´l MLB</v>
      </c>
      <c r="F725">
        <f>IF(ISNUMBER(SEARCH(Request!$N$19,G725)),MAX(F$1:$F724)+1,0)</f>
        <v>724</v>
      </c>
      <c r="G725" s="11" t="s">
        <v>4765</v>
      </c>
      <c r="H725" t="str">
        <f>IFERROR(VLOOKUP(ROWS($H$2:H725),F725:G1943,2,0),"")</f>
        <v>Melbourne Int´l MLB</v>
      </c>
    </row>
    <row r="726" spans="1:8" x14ac:dyDescent="0.25">
      <c r="A726">
        <f>IF(ISNUMBER(SEARCH(Request!$I$19,B726)),MAX($A$1:A725)+1,0)</f>
        <v>725</v>
      </c>
      <c r="B726" s="11" t="s">
        <v>4767</v>
      </c>
      <c r="D726" t="str">
        <f>IFERROR(VLOOKUP(ROWS($D$2:D726),A726:B1944,2,0),"")</f>
        <v>Melilla MLN</v>
      </c>
      <c r="F726">
        <f>IF(ISNUMBER(SEARCH(Request!$N$19,G726)),MAX(F$1:$F725)+1,0)</f>
        <v>725</v>
      </c>
      <c r="G726" s="11" t="s">
        <v>4767</v>
      </c>
      <c r="H726" t="str">
        <f>IFERROR(VLOOKUP(ROWS($H$2:H726),F726:G1944,2,0),"")</f>
        <v>Melilla MLN</v>
      </c>
    </row>
    <row r="727" spans="1:8" x14ac:dyDescent="0.25">
      <c r="A727">
        <f>IF(ISNUMBER(SEARCH(Request!$I$19,B727)),MAX($A$1:A726)+1,0)</f>
        <v>726</v>
      </c>
      <c r="B727" s="11" t="s">
        <v>4768</v>
      </c>
      <c r="D727" t="str">
        <f>IFERROR(VLOOKUP(ROWS($D$2:D727),A727:B1945,2,0),"")</f>
        <v>Melo – Aeropuerto Int´l de Cerro Largo MLZ</v>
      </c>
      <c r="F727">
        <f>IF(ISNUMBER(SEARCH(Request!$N$19,G727)),MAX(F$1:$F726)+1,0)</f>
        <v>726</v>
      </c>
      <c r="G727" s="11" t="s">
        <v>4768</v>
      </c>
      <c r="H727" t="str">
        <f>IFERROR(VLOOKUP(ROWS($H$2:H727),F727:G1945,2,0),"")</f>
        <v>Melo – Aeropuerto Int´l de Cerro Largo MLZ</v>
      </c>
    </row>
    <row r="728" spans="1:8" x14ac:dyDescent="0.25">
      <c r="A728">
        <f>IF(ISNUMBER(SEARCH(Request!$I$19,B728)),MAX($A$1:A727)+1,0)</f>
        <v>727</v>
      </c>
      <c r="B728" s="11" t="s">
        <v>4769</v>
      </c>
      <c r="D728" t="str">
        <f>IFERROR(VLOOKUP(ROWS($D$2:D728),A728:B1946,2,0),"")</f>
        <v>Melville Hall DOM</v>
      </c>
      <c r="F728">
        <f>IF(ISNUMBER(SEARCH(Request!$N$19,G728)),MAX(F$1:$F727)+1,0)</f>
        <v>727</v>
      </c>
      <c r="G728" s="11" t="s">
        <v>4769</v>
      </c>
      <c r="H728" t="str">
        <f>IFERROR(VLOOKUP(ROWS($H$2:H728),F728:G1946,2,0),"")</f>
        <v>Melville Hall DOM</v>
      </c>
    </row>
    <row r="729" spans="1:8" x14ac:dyDescent="0.25">
      <c r="A729">
        <f>IF(ISNUMBER(SEARCH(Request!$I$19,B729)),MAX($A$1:A728)+1,0)</f>
        <v>728</v>
      </c>
      <c r="B729" s="11" t="s">
        <v>4770</v>
      </c>
      <c r="D729" t="str">
        <f>IFERROR(VLOOKUP(ROWS($D$2:D729),A729:B1947,2,0),"")</f>
        <v>Memphis MEM</v>
      </c>
      <c r="F729">
        <f>IF(ISNUMBER(SEARCH(Request!$N$19,G729)),MAX(F$1:$F728)+1,0)</f>
        <v>728</v>
      </c>
      <c r="G729" s="11" t="s">
        <v>4770</v>
      </c>
      <c r="H729" t="str">
        <f>IFERROR(VLOOKUP(ROWS($H$2:H729),F729:G1947,2,0),"")</f>
        <v>Memphis MEM</v>
      </c>
    </row>
    <row r="730" spans="1:8" x14ac:dyDescent="0.25">
      <c r="A730">
        <f>IF(ISNUMBER(SEARCH(Request!$I$19,B730)),MAX($A$1:A729)+1,0)</f>
        <v>729</v>
      </c>
      <c r="B730" s="11" t="s">
        <v>4771</v>
      </c>
      <c r="D730" t="str">
        <f>IFERROR(VLOOKUP(ROWS($D$2:D730),A730:B1948,2,0),"")</f>
        <v>Menorca MAH</v>
      </c>
      <c r="F730">
        <f>IF(ISNUMBER(SEARCH(Request!$N$19,G730)),MAX(F$1:$F729)+1,0)</f>
        <v>729</v>
      </c>
      <c r="G730" s="11" t="s">
        <v>4771</v>
      </c>
      <c r="H730" t="str">
        <f>IFERROR(VLOOKUP(ROWS($H$2:H730),F730:G1948,2,0),"")</f>
        <v>Menorca MAH</v>
      </c>
    </row>
    <row r="731" spans="1:8" x14ac:dyDescent="0.25">
      <c r="A731">
        <f>IF(ISNUMBER(SEARCH(Request!$I$19,B731)),MAX($A$1:A730)+1,0)</f>
        <v>730</v>
      </c>
      <c r="B731" s="11" t="s">
        <v>4772</v>
      </c>
      <c r="D731" t="str">
        <f>IFERROR(VLOOKUP(ROWS($D$2:D731),A731:B1949,2,0),"")</f>
        <v>Mercedita PSE</v>
      </c>
      <c r="F731">
        <f>IF(ISNUMBER(SEARCH(Request!$N$19,G731)),MAX(F$1:$F730)+1,0)</f>
        <v>730</v>
      </c>
      <c r="G731" s="11" t="s">
        <v>4772</v>
      </c>
      <c r="H731" t="str">
        <f>IFERROR(VLOOKUP(ROWS($H$2:H731),F731:G1949,2,0),"")</f>
        <v>Mercedita PSE</v>
      </c>
    </row>
    <row r="732" spans="1:8" x14ac:dyDescent="0.25">
      <c r="A732">
        <f>IF(ISNUMBER(SEARCH(Request!$I$19,B732)),MAX($A$1:A731)+1,0)</f>
        <v>731</v>
      </c>
      <c r="B732" s="11" t="s">
        <v>4773</v>
      </c>
      <c r="D732" t="str">
        <f>IFERROR(VLOOKUP(ROWS($D$2:D732),A732:B1950,2,0),"")</f>
        <v>Merida – Licenciado Manuel Crecencio Rejon Int´l MID</v>
      </c>
      <c r="F732">
        <f>IF(ISNUMBER(SEARCH(Request!$N$19,G732)),MAX(F$1:$F731)+1,0)</f>
        <v>731</v>
      </c>
      <c r="G732" s="11" t="s">
        <v>4773</v>
      </c>
      <c r="H732" t="str">
        <f>IFERROR(VLOOKUP(ROWS($H$2:H732),F732:G1950,2,0),"")</f>
        <v>Merida – Licenciado Manuel Crecencio Rejon Int´l MID</v>
      </c>
    </row>
    <row r="733" spans="1:8" x14ac:dyDescent="0.25">
      <c r="A733">
        <f>IF(ISNUMBER(SEARCH(Request!$I$19,B733)),MAX($A$1:A732)+1,0)</f>
        <v>732</v>
      </c>
      <c r="B733" s="11" t="s">
        <v>4774</v>
      </c>
      <c r="D733" t="str">
        <f>IFERROR(VLOOKUP(ROWS($D$2:D733),A733:B1951,2,0),"")</f>
        <v>Meridian Regional-Key Field MEI</v>
      </c>
      <c r="F733">
        <f>IF(ISNUMBER(SEARCH(Request!$N$19,G733)),MAX(F$1:$F732)+1,0)</f>
        <v>732</v>
      </c>
      <c r="G733" s="11" t="s">
        <v>4774</v>
      </c>
      <c r="H733" t="str">
        <f>IFERROR(VLOOKUP(ROWS($H$2:H733),F733:G1951,2,0),"")</f>
        <v>Meridian Regional-Key Field MEI</v>
      </c>
    </row>
    <row r="734" spans="1:8" x14ac:dyDescent="0.25">
      <c r="A734">
        <f>IF(ISNUMBER(SEARCH(Request!$I$19,B734)),MAX($A$1:A733)+1,0)</f>
        <v>733</v>
      </c>
      <c r="B734" s="11" t="s">
        <v>4775</v>
      </c>
      <c r="D734" t="str">
        <f>IFERROR(VLOOKUP(ROWS($D$2:D734),A734:B1952,2,0),"")</f>
        <v>Metz/Nancy/Lorraine ETZ</v>
      </c>
      <c r="F734">
        <f>IF(ISNUMBER(SEARCH(Request!$N$19,G734)),MAX(F$1:$F733)+1,0)</f>
        <v>733</v>
      </c>
      <c r="G734" s="11" t="s">
        <v>4775</v>
      </c>
      <c r="H734" t="str">
        <f>IFERROR(VLOOKUP(ROWS($H$2:H734),F734:G1952,2,0),"")</f>
        <v>Metz/Nancy/Lorraine ETZ</v>
      </c>
    </row>
    <row r="735" spans="1:8" x14ac:dyDescent="0.25">
      <c r="A735">
        <f>IF(ISNUMBER(SEARCH(Request!$I$19,B735)),MAX($A$1:A734)+1,0)</f>
        <v>734</v>
      </c>
      <c r="B735" s="11" t="s">
        <v>4776</v>
      </c>
      <c r="D735" t="str">
        <f>IFERROR(VLOOKUP(ROWS($D$2:D735),A735:B1953,2,0),"")</f>
        <v>Mexico-Benito Juarez MEX</v>
      </c>
      <c r="F735">
        <f>IF(ISNUMBER(SEARCH(Request!$N$19,G735)),MAX(F$1:$F734)+1,0)</f>
        <v>734</v>
      </c>
      <c r="G735" s="11" t="s">
        <v>4776</v>
      </c>
      <c r="H735" t="str">
        <f>IFERROR(VLOOKUP(ROWS($H$2:H735),F735:G1953,2,0),"")</f>
        <v>Mexico-Benito Juarez MEX</v>
      </c>
    </row>
    <row r="736" spans="1:8" x14ac:dyDescent="0.25">
      <c r="A736">
        <f>IF(ISNUMBER(SEARCH(Request!$I$19,B736)),MAX($A$1:A735)+1,0)</f>
        <v>735</v>
      </c>
      <c r="B736" s="11" t="s">
        <v>4777</v>
      </c>
      <c r="D736" t="str">
        <f>IFERROR(VLOOKUP(ROWS($D$2:D736),A736:B1954,2,0),"")</f>
        <v>Miami MIA</v>
      </c>
      <c r="F736">
        <f>IF(ISNUMBER(SEARCH(Request!$N$19,G736)),MAX(F$1:$F735)+1,0)</f>
        <v>735</v>
      </c>
      <c r="G736" s="11" t="s">
        <v>4777</v>
      </c>
      <c r="H736" t="str">
        <f>IFERROR(VLOOKUP(ROWS($H$2:H736),F736:G1954,2,0),"")</f>
        <v>Miami MIA</v>
      </c>
    </row>
    <row r="737" spans="1:8" x14ac:dyDescent="0.25">
      <c r="A737">
        <f>IF(ISNUMBER(SEARCH(Request!$I$19,B737)),MAX($A$1:A736)+1,0)</f>
        <v>736</v>
      </c>
      <c r="B737" s="11" t="s">
        <v>4778</v>
      </c>
      <c r="D737" t="str">
        <f>IFERROR(VLOOKUP(ROWS($D$2:D737),A737:B1955,2,0),"")</f>
        <v>Midland MAF</v>
      </c>
      <c r="F737">
        <f>IF(ISNUMBER(SEARCH(Request!$N$19,G737)),MAX(F$1:$F736)+1,0)</f>
        <v>736</v>
      </c>
      <c r="G737" s="11" t="s">
        <v>4778</v>
      </c>
      <c r="H737" t="str">
        <f>IFERROR(VLOOKUP(ROWS($H$2:H737),F737:G1955,2,0),"")</f>
        <v>Midland MAF</v>
      </c>
    </row>
    <row r="738" spans="1:8" x14ac:dyDescent="0.25">
      <c r="A738">
        <f>IF(ISNUMBER(SEARCH(Request!$I$19,B738)),MAX($A$1:A737)+1,0)</f>
        <v>737</v>
      </c>
      <c r="B738" s="11" t="s">
        <v>4779</v>
      </c>
      <c r="D738" t="str">
        <f>IFERROR(VLOOKUP(ROWS($D$2:D738),A738:B1956,2,0),"")</f>
        <v>Mikkeli City MIK</v>
      </c>
      <c r="F738">
        <f>IF(ISNUMBER(SEARCH(Request!$N$19,G738)),MAX(F$1:$F737)+1,0)</f>
        <v>737</v>
      </c>
      <c r="G738" s="11" t="s">
        <v>4779</v>
      </c>
      <c r="H738" t="str">
        <f>IFERROR(VLOOKUP(ROWS($H$2:H738),F738:G1956,2,0),"")</f>
        <v>Mikkeli City MIK</v>
      </c>
    </row>
    <row r="739" spans="1:8" x14ac:dyDescent="0.25">
      <c r="A739">
        <f>IF(ISNUMBER(SEARCH(Request!$I$19,B739)),MAX($A$1:A738)+1,0)</f>
        <v>738</v>
      </c>
      <c r="B739" s="11" t="s">
        <v>4780</v>
      </c>
      <c r="D739" t="str">
        <f>IFERROR(VLOOKUP(ROWS($D$2:D739),A739:B1957,2,0),"")</f>
        <v>Milan – Orio Al Serio BGY</v>
      </c>
      <c r="F739">
        <f>IF(ISNUMBER(SEARCH(Request!$N$19,G739)),MAX(F$1:$F738)+1,0)</f>
        <v>738</v>
      </c>
      <c r="G739" s="11" t="s">
        <v>4780</v>
      </c>
      <c r="H739" t="str">
        <f>IFERROR(VLOOKUP(ROWS($H$2:H739),F739:G1957,2,0),"")</f>
        <v>Milan – Orio Al Serio BGY</v>
      </c>
    </row>
    <row r="740" spans="1:8" x14ac:dyDescent="0.25">
      <c r="A740">
        <f>IF(ISNUMBER(SEARCH(Request!$I$19,B740)),MAX($A$1:A739)+1,0)</f>
        <v>739</v>
      </c>
      <c r="B740" s="11" t="s">
        <v>4781</v>
      </c>
      <c r="D740" t="str">
        <f>IFERROR(VLOOKUP(ROWS($D$2:D740),A740:B1958,2,0),"")</f>
        <v>Milan-Linate LIN</v>
      </c>
      <c r="F740">
        <f>IF(ISNUMBER(SEARCH(Request!$N$19,G740)),MAX(F$1:$F739)+1,0)</f>
        <v>739</v>
      </c>
      <c r="G740" s="11" t="s">
        <v>4781</v>
      </c>
      <c r="H740" t="str">
        <f>IFERROR(VLOOKUP(ROWS($H$2:H740),F740:G1958,2,0),"")</f>
        <v>Milan-Linate LIN</v>
      </c>
    </row>
    <row r="741" spans="1:8" x14ac:dyDescent="0.25">
      <c r="A741">
        <f>IF(ISNUMBER(SEARCH(Request!$I$19,B741)),MAX($A$1:A740)+1,0)</f>
        <v>740</v>
      </c>
      <c r="B741" s="11" t="s">
        <v>4782</v>
      </c>
      <c r="D741" t="str">
        <f>IFERROR(VLOOKUP(ROWS($D$2:D741),A741:B1959,2,0),"")</f>
        <v>Milan-Malpensa MXP</v>
      </c>
      <c r="F741">
        <f>IF(ISNUMBER(SEARCH(Request!$N$19,G741)),MAX(F$1:$F740)+1,0)</f>
        <v>740</v>
      </c>
      <c r="G741" s="11" t="s">
        <v>4782</v>
      </c>
      <c r="H741" t="str">
        <f>IFERROR(VLOOKUP(ROWS($H$2:H741),F741:G1959,2,0),"")</f>
        <v>Milan-Malpensa MXP</v>
      </c>
    </row>
    <row r="742" spans="1:8" x14ac:dyDescent="0.25">
      <c r="A742">
        <f>IF(ISNUMBER(SEARCH(Request!$I$19,B742)),MAX($A$1:A741)+1,0)</f>
        <v>741</v>
      </c>
      <c r="B742" s="11" t="s">
        <v>4783</v>
      </c>
      <c r="D742" t="str">
        <f>IFERROR(VLOOKUP(ROWS($D$2:D742),A742:B1960,2,0),"")</f>
        <v>Milwaukee – General Mitchell Int´l MKE</v>
      </c>
      <c r="F742">
        <f>IF(ISNUMBER(SEARCH(Request!$N$19,G742)),MAX(F$1:$F741)+1,0)</f>
        <v>741</v>
      </c>
      <c r="G742" s="11" t="s">
        <v>4783</v>
      </c>
      <c r="H742" t="str">
        <f>IFERROR(VLOOKUP(ROWS($H$2:H742),F742:G1960,2,0),"")</f>
        <v>Milwaukee – General Mitchell Int´l MKE</v>
      </c>
    </row>
    <row r="743" spans="1:8" x14ac:dyDescent="0.25">
      <c r="A743">
        <f>IF(ISNUMBER(SEARCH(Request!$I$19,B743)),MAX($A$1:A742)+1,0)</f>
        <v>742</v>
      </c>
      <c r="B743" s="11" t="s">
        <v>4784</v>
      </c>
      <c r="D743" t="str">
        <f>IFERROR(VLOOKUP(ROWS($D$2:D743),A743:B1961,2,0),"")</f>
        <v>Minneapolis-St Paul Int´l MSP</v>
      </c>
      <c r="F743">
        <f>IF(ISNUMBER(SEARCH(Request!$N$19,G743)),MAX(F$1:$F742)+1,0)</f>
        <v>742</v>
      </c>
      <c r="G743" s="11" t="s">
        <v>4784</v>
      </c>
      <c r="H743" t="str">
        <f>IFERROR(VLOOKUP(ROWS($H$2:H743),F743:G1961,2,0),"")</f>
        <v>Minneapolis-St Paul Int´l MSP</v>
      </c>
    </row>
    <row r="744" spans="1:8" x14ac:dyDescent="0.25">
      <c r="A744">
        <f>IF(ISNUMBER(SEARCH(Request!$I$19,B744)),MAX($A$1:A743)+1,0)</f>
        <v>743</v>
      </c>
      <c r="B744" s="11" t="s">
        <v>4785</v>
      </c>
      <c r="D744" t="str">
        <f>IFERROR(VLOOKUP(ROWS($D$2:D744),A744:B1962,2,0),"")</f>
        <v>Minot MOT</v>
      </c>
      <c r="F744">
        <f>IF(ISNUMBER(SEARCH(Request!$N$19,G744)),MAX(F$1:$F743)+1,0)</f>
        <v>743</v>
      </c>
      <c r="G744" s="11" t="s">
        <v>4785</v>
      </c>
      <c r="H744" t="str">
        <f>IFERROR(VLOOKUP(ROWS($H$2:H744),F744:G1962,2,0),"")</f>
        <v>Minot MOT</v>
      </c>
    </row>
    <row r="745" spans="1:8" x14ac:dyDescent="0.25">
      <c r="A745">
        <f>IF(ISNUMBER(SEARCH(Request!$I$19,B745)),MAX($A$1:A744)+1,0)</f>
        <v>744</v>
      </c>
      <c r="B745" s="11" t="s">
        <v>4786</v>
      </c>
      <c r="D745" t="str">
        <f>IFERROR(VLOOKUP(ROWS($D$2:D745),A745:B1963,2,0),"")</f>
        <v>Minsk National MSQ</v>
      </c>
      <c r="F745">
        <f>IF(ISNUMBER(SEARCH(Request!$N$19,G745)),MAX(F$1:$F744)+1,0)</f>
        <v>744</v>
      </c>
      <c r="G745" s="11" t="s">
        <v>4786</v>
      </c>
      <c r="H745" t="str">
        <f>IFERROR(VLOOKUP(ROWS($H$2:H745),F745:G1963,2,0),"")</f>
        <v>Minsk National MSQ</v>
      </c>
    </row>
    <row r="746" spans="1:8" x14ac:dyDescent="0.25">
      <c r="A746">
        <f>IF(ISNUMBER(SEARCH(Request!$I$19,B746)),MAX($A$1:A745)+1,0)</f>
        <v>745</v>
      </c>
      <c r="B746" s="11" t="s">
        <v>4787</v>
      </c>
      <c r="D746" t="str">
        <f>IFERROR(VLOOKUP(ROWS($D$2:D746),A746:B1964,2,0),"")</f>
        <v>Miri MYY</v>
      </c>
      <c r="F746">
        <f>IF(ISNUMBER(SEARCH(Request!$N$19,G746)),MAX(F$1:$F745)+1,0)</f>
        <v>745</v>
      </c>
      <c r="G746" s="11" t="s">
        <v>4787</v>
      </c>
      <c r="H746" t="str">
        <f>IFERROR(VLOOKUP(ROWS($H$2:H746),F746:G1964,2,0),"")</f>
        <v>Miri MYY</v>
      </c>
    </row>
    <row r="747" spans="1:8" x14ac:dyDescent="0.25">
      <c r="A747">
        <f>IF(ISNUMBER(SEARCH(Request!$I$19,B747)),MAX($A$1:A746)+1,0)</f>
        <v>746</v>
      </c>
      <c r="B747" s="11" t="s">
        <v>4788</v>
      </c>
      <c r="D747" t="str">
        <f>IFERROR(VLOOKUP(ROWS($D$2:D747),A747:B1965,2,0),"")</f>
        <v>Misawa MSJ</v>
      </c>
      <c r="F747">
        <f>IF(ISNUMBER(SEARCH(Request!$N$19,G747)),MAX(F$1:$F746)+1,0)</f>
        <v>746</v>
      </c>
      <c r="G747" s="11" t="s">
        <v>4788</v>
      </c>
      <c r="H747" t="str">
        <f>IFERROR(VLOOKUP(ROWS($H$2:H747),F747:G1965,2,0),"")</f>
        <v>Misawa MSJ</v>
      </c>
    </row>
    <row r="748" spans="1:8" x14ac:dyDescent="0.25">
      <c r="A748">
        <f>IF(ISNUMBER(SEARCH(Request!$I$19,B748)),MAX($A$1:A747)+1,0)</f>
        <v>747</v>
      </c>
      <c r="B748" s="11" t="s">
        <v>4789</v>
      </c>
      <c r="D748" t="str">
        <f>IFERROR(VLOOKUP(ROWS($D$2:D748),A748:B1966,2,0),"")</f>
        <v>Missoula Int´l – Johnson-Bell Field MSO</v>
      </c>
      <c r="F748">
        <f>IF(ISNUMBER(SEARCH(Request!$N$19,G748)),MAX(F$1:$F747)+1,0)</f>
        <v>747</v>
      </c>
      <c r="G748" s="11" t="s">
        <v>4789</v>
      </c>
      <c r="H748" t="str">
        <f>IFERROR(VLOOKUP(ROWS($H$2:H748),F748:G1966,2,0),"")</f>
        <v>Missoula Int´l – Johnson-Bell Field MSO</v>
      </c>
    </row>
    <row r="749" spans="1:8" x14ac:dyDescent="0.25">
      <c r="A749">
        <f>IF(ISNUMBER(SEARCH(Request!$I$19,B749)),MAX($A$1:A748)+1,0)</f>
        <v>748</v>
      </c>
      <c r="B749" s="11" t="s">
        <v>4790</v>
      </c>
      <c r="D749" t="str">
        <f>IFERROR(VLOOKUP(ROWS($D$2:D749),A749:B1967,2,0),"")</f>
        <v>Mitilini MJT</v>
      </c>
      <c r="F749">
        <f>IF(ISNUMBER(SEARCH(Request!$N$19,G749)),MAX(F$1:$F748)+1,0)</f>
        <v>748</v>
      </c>
      <c r="G749" s="11" t="s">
        <v>4790</v>
      </c>
      <c r="H749" t="str">
        <f>IFERROR(VLOOKUP(ROWS($H$2:H749),F749:G1967,2,0),"")</f>
        <v>Mitilini MJT</v>
      </c>
    </row>
    <row r="750" spans="1:8" x14ac:dyDescent="0.25">
      <c r="A750">
        <f>IF(ISNUMBER(SEARCH(Request!$I$19,B750)),MAX($A$1:A749)+1,0)</f>
        <v>749</v>
      </c>
      <c r="B750" s="11" t="s">
        <v>4791</v>
      </c>
      <c r="D750" t="str">
        <f>IFERROR(VLOOKUP(ROWS($D$2:D750),A750:B1968,2,0),"")</f>
        <v>Mobile Downtown BFM</v>
      </c>
      <c r="F750">
        <f>IF(ISNUMBER(SEARCH(Request!$N$19,G750)),MAX(F$1:$F749)+1,0)</f>
        <v>749</v>
      </c>
      <c r="G750" s="11" t="s">
        <v>4791</v>
      </c>
      <c r="H750" t="str">
        <f>IFERROR(VLOOKUP(ROWS($H$2:H750),F750:G1968,2,0),"")</f>
        <v>Mobile Downtown BFM</v>
      </c>
    </row>
    <row r="751" spans="1:8" x14ac:dyDescent="0.25">
      <c r="A751">
        <f>IF(ISNUMBER(SEARCH(Request!$I$19,B751)),MAX($A$1:A750)+1,0)</f>
        <v>750</v>
      </c>
      <c r="B751" s="11" t="s">
        <v>4792</v>
      </c>
      <c r="D751" t="str">
        <f>IFERROR(VLOOKUP(ROWS($D$2:D751),A751:B1969,2,0),"")</f>
        <v>Mobile Regional MOB</v>
      </c>
      <c r="F751">
        <f>IF(ISNUMBER(SEARCH(Request!$N$19,G751)),MAX(F$1:$F750)+1,0)</f>
        <v>750</v>
      </c>
      <c r="G751" s="11" t="s">
        <v>4792</v>
      </c>
      <c r="H751" t="str">
        <f>IFERROR(VLOOKUP(ROWS($H$2:H751),F751:G1969,2,0),"")</f>
        <v>Mobile Regional MOB</v>
      </c>
    </row>
    <row r="752" spans="1:8" x14ac:dyDescent="0.25">
      <c r="A752">
        <f>IF(ISNUMBER(SEARCH(Request!$I$19,B752)),MAX($A$1:A751)+1,0)</f>
        <v>751</v>
      </c>
      <c r="B752" s="11" t="s">
        <v>4793</v>
      </c>
      <c r="D752" t="str">
        <f>IFERROR(VLOOKUP(ROWS($D$2:D752),A752:B1970,2,0),"")</f>
        <v>Modesto City County MOD</v>
      </c>
      <c r="F752">
        <f>IF(ISNUMBER(SEARCH(Request!$N$19,G752)),MAX(F$1:$F751)+1,0)</f>
        <v>751</v>
      </c>
      <c r="G752" s="11" t="s">
        <v>4793</v>
      </c>
      <c r="H752" t="str">
        <f>IFERROR(VLOOKUP(ROWS($H$2:H752),F752:G1970,2,0),"")</f>
        <v>Modesto City County MOD</v>
      </c>
    </row>
    <row r="753" spans="1:8" x14ac:dyDescent="0.25">
      <c r="A753">
        <f>IF(ISNUMBER(SEARCH(Request!$I$19,B753)),MAX($A$1:A752)+1,0)</f>
        <v>752</v>
      </c>
      <c r="B753" s="11" t="s">
        <v>4794</v>
      </c>
      <c r="D753" t="str">
        <f>IFERROR(VLOOKUP(ROWS($D$2:D753),A753:B1971,2,0),"")</f>
        <v>Mogadishu MGQ</v>
      </c>
      <c r="F753">
        <f>IF(ISNUMBER(SEARCH(Request!$N$19,G753)),MAX(F$1:$F752)+1,0)</f>
        <v>752</v>
      </c>
      <c r="G753" s="11" t="s">
        <v>4794</v>
      </c>
      <c r="H753" t="str">
        <f>IFERROR(VLOOKUP(ROWS($H$2:H753),F753:G1971,2,0),"")</f>
        <v>Mogadishu MGQ</v>
      </c>
    </row>
    <row r="754" spans="1:8" x14ac:dyDescent="0.25">
      <c r="A754">
        <f>IF(ISNUMBER(SEARCH(Request!$I$19,B754)),MAX($A$1:A753)+1,0)</f>
        <v>753</v>
      </c>
      <c r="B754" s="11" t="s">
        <v>4795</v>
      </c>
      <c r="D754" t="str">
        <f>IFERROR(VLOOKUP(ROWS($D$2:D754),A754:B1972,2,0),"")</f>
        <v>Molde-Aaro MOL</v>
      </c>
      <c r="F754">
        <f>IF(ISNUMBER(SEARCH(Request!$N$19,G754)),MAX(F$1:$F753)+1,0)</f>
        <v>753</v>
      </c>
      <c r="G754" s="11" t="s">
        <v>4795</v>
      </c>
      <c r="H754" t="str">
        <f>IFERROR(VLOOKUP(ROWS($H$2:H754),F754:G1972,2,0),"")</f>
        <v>Molde-Aaro MOL</v>
      </c>
    </row>
    <row r="755" spans="1:8" x14ac:dyDescent="0.25">
      <c r="A755">
        <f>IF(ISNUMBER(SEARCH(Request!$I$19,B755)),MAX($A$1:A754)+1,0)</f>
        <v>754</v>
      </c>
      <c r="B755" s="11" t="s">
        <v>4796</v>
      </c>
      <c r="D755" t="str">
        <f>IFERROR(VLOOKUP(ROWS($D$2:D755),A755:B1973,2,0),"")</f>
        <v>Mombasa – Moi Int´l MBA</v>
      </c>
      <c r="F755">
        <f>IF(ISNUMBER(SEARCH(Request!$N$19,G755)),MAX(F$1:$F754)+1,0)</f>
        <v>754</v>
      </c>
      <c r="G755" s="11" t="s">
        <v>4796</v>
      </c>
      <c r="H755" t="str">
        <f>IFERROR(VLOOKUP(ROWS($H$2:H755),F755:G1973,2,0),"")</f>
        <v>Mombasa – Moi Int´l MBA</v>
      </c>
    </row>
    <row r="756" spans="1:8" x14ac:dyDescent="0.25">
      <c r="A756">
        <f>IF(ISNUMBER(SEARCH(Request!$I$19,B756)),MAX($A$1:A755)+1,0)</f>
        <v>755</v>
      </c>
      <c r="B756" s="11" t="s">
        <v>4797</v>
      </c>
      <c r="D756" t="str">
        <f>IFERROR(VLOOKUP(ROWS($D$2:D756),A756:B1974,2,0),"")</f>
        <v>Monaco Heliport MCM</v>
      </c>
      <c r="F756">
        <f>IF(ISNUMBER(SEARCH(Request!$N$19,G756)),MAX(F$1:$F755)+1,0)</f>
        <v>755</v>
      </c>
      <c r="G756" s="11" t="s">
        <v>4797</v>
      </c>
      <c r="H756" t="str">
        <f>IFERROR(VLOOKUP(ROWS($H$2:H756),F756:G1974,2,0),"")</f>
        <v>Monaco Heliport MCM</v>
      </c>
    </row>
    <row r="757" spans="1:8" x14ac:dyDescent="0.25">
      <c r="A757">
        <f>IF(ISNUMBER(SEARCH(Request!$I$19,B757)),MAX($A$1:A756)+1,0)</f>
        <v>756</v>
      </c>
      <c r="B757" s="11" t="s">
        <v>4798</v>
      </c>
      <c r="D757" t="str">
        <f>IFERROR(VLOOKUP(ROWS($D$2:D757),A757:B1975,2,0),"")</f>
        <v>Moncton YQM</v>
      </c>
      <c r="F757">
        <f>IF(ISNUMBER(SEARCH(Request!$N$19,G757)),MAX(F$1:$F756)+1,0)</f>
        <v>756</v>
      </c>
      <c r="G757" s="11" t="s">
        <v>4798</v>
      </c>
      <c r="H757" t="str">
        <f>IFERROR(VLOOKUP(ROWS($H$2:H757),F757:G1975,2,0),"")</f>
        <v>Moncton YQM</v>
      </c>
    </row>
    <row r="758" spans="1:8" x14ac:dyDescent="0.25">
      <c r="A758">
        <f>IF(ISNUMBER(SEARCH(Request!$I$19,B758)),MAX($A$1:A757)+1,0)</f>
        <v>757</v>
      </c>
      <c r="B758" s="11" t="s">
        <v>4799</v>
      </c>
      <c r="D758" t="str">
        <f>IFERROR(VLOOKUP(ROWS($D$2:D758),A758:B1976,2,0),"")</f>
        <v>Monrovia-Roberts ROB</v>
      </c>
      <c r="F758">
        <f>IF(ISNUMBER(SEARCH(Request!$N$19,G758)),MAX(F$1:$F757)+1,0)</f>
        <v>757</v>
      </c>
      <c r="G758" s="11" t="s">
        <v>4799</v>
      </c>
      <c r="H758" t="str">
        <f>IFERROR(VLOOKUP(ROWS($H$2:H758),F758:G1976,2,0),"")</f>
        <v>Monrovia-Roberts ROB</v>
      </c>
    </row>
    <row r="759" spans="1:8" x14ac:dyDescent="0.25">
      <c r="A759">
        <f>IF(ISNUMBER(SEARCH(Request!$I$19,B759)),MAX($A$1:A758)+1,0)</f>
        <v>758</v>
      </c>
      <c r="B759" s="11" t="s">
        <v>4800</v>
      </c>
      <c r="D759" t="str">
        <f>IFERROR(VLOOKUP(ROWS($D$2:D759),A759:B1977,2,0),"")</f>
        <v>Montego Bay – Sangster MBJ</v>
      </c>
      <c r="F759">
        <f>IF(ISNUMBER(SEARCH(Request!$N$19,G759)),MAX(F$1:$F758)+1,0)</f>
        <v>758</v>
      </c>
      <c r="G759" s="11" t="s">
        <v>4800</v>
      </c>
      <c r="H759" t="str">
        <f>IFERROR(VLOOKUP(ROWS($H$2:H759),F759:G1977,2,0),"")</f>
        <v>Montego Bay – Sangster MBJ</v>
      </c>
    </row>
    <row r="760" spans="1:8" x14ac:dyDescent="0.25">
      <c r="A760">
        <f>IF(ISNUMBER(SEARCH(Request!$I$19,B760)),MAX($A$1:A759)+1,0)</f>
        <v>759</v>
      </c>
      <c r="B760" s="11" t="s">
        <v>4801</v>
      </c>
      <c r="D760" t="str">
        <f>IFERROR(VLOOKUP(ROWS($D$2:D760),A760:B1978,2,0),"")</f>
        <v>Monterrey MTY</v>
      </c>
      <c r="F760">
        <f>IF(ISNUMBER(SEARCH(Request!$N$19,G760)),MAX(F$1:$F759)+1,0)</f>
        <v>759</v>
      </c>
      <c r="G760" s="11" t="s">
        <v>4801</v>
      </c>
      <c r="H760" t="str">
        <f>IFERROR(VLOOKUP(ROWS($H$2:H760),F760:G1978,2,0),"")</f>
        <v>Monterrey MTY</v>
      </c>
    </row>
    <row r="761" spans="1:8" x14ac:dyDescent="0.25">
      <c r="A761">
        <f>IF(ISNUMBER(SEARCH(Request!$I$19,B761)),MAX($A$1:A760)+1,0)</f>
        <v>760</v>
      </c>
      <c r="B761" s="11" t="s">
        <v>4802</v>
      </c>
      <c r="D761" t="str">
        <f>IFERROR(VLOOKUP(ROWS($D$2:D761),A761:B1979,2,0),"")</f>
        <v>Montevideo – Carrasco MUD</v>
      </c>
      <c r="F761">
        <f>IF(ISNUMBER(SEARCH(Request!$N$19,G761)),MAX(F$1:$F760)+1,0)</f>
        <v>760</v>
      </c>
      <c r="G761" s="11" t="s">
        <v>4802</v>
      </c>
      <c r="H761" t="str">
        <f>IFERROR(VLOOKUP(ROWS($H$2:H761),F761:G1979,2,0),"")</f>
        <v>Montevideo – Carrasco MUD</v>
      </c>
    </row>
    <row r="762" spans="1:8" x14ac:dyDescent="0.25">
      <c r="A762">
        <f>IF(ISNUMBER(SEARCH(Request!$I$19,B762)),MAX($A$1:A761)+1,0)</f>
        <v>761</v>
      </c>
      <c r="B762" s="11" t="s">
        <v>4803</v>
      </c>
      <c r="D762" t="str">
        <f>IFERROR(VLOOKUP(ROWS($D$2:D762),A762:B1980,2,0),"")</f>
        <v>Montpellier – Mediterranée Aéroport MPL</v>
      </c>
      <c r="F762">
        <f>IF(ISNUMBER(SEARCH(Request!$N$19,G762)),MAX(F$1:$F761)+1,0)</f>
        <v>761</v>
      </c>
      <c r="G762" s="11" t="s">
        <v>4803</v>
      </c>
      <c r="H762" t="str">
        <f>IFERROR(VLOOKUP(ROWS($H$2:H762),F762:G1980,2,0),"")</f>
        <v>Montpellier – Mediterranée Aéroport MPL</v>
      </c>
    </row>
    <row r="763" spans="1:8" x14ac:dyDescent="0.25">
      <c r="A763">
        <f>IF(ISNUMBER(SEARCH(Request!$I$19,B763)),MAX($A$1:A762)+1,0)</f>
        <v>762</v>
      </c>
      <c r="B763" s="11" t="s">
        <v>4804</v>
      </c>
      <c r="D763" t="str">
        <f>IFERROR(VLOOKUP(ROWS($D$2:D763),A763:B1981,2,0),"")</f>
        <v>Montréal–Mirabel YMX</v>
      </c>
      <c r="F763">
        <f>IF(ISNUMBER(SEARCH(Request!$N$19,G763)),MAX(F$1:$F762)+1,0)</f>
        <v>762</v>
      </c>
      <c r="G763" s="11" t="s">
        <v>4804</v>
      </c>
      <c r="H763" t="str">
        <f>IFERROR(VLOOKUP(ROWS($H$2:H763),F763:G1981,2,0),"")</f>
        <v>Montréal–Mirabel YMX</v>
      </c>
    </row>
    <row r="764" spans="1:8" x14ac:dyDescent="0.25">
      <c r="A764">
        <f>IF(ISNUMBER(SEARCH(Request!$I$19,B764)),MAX($A$1:A763)+1,0)</f>
        <v>763</v>
      </c>
      <c r="B764" s="11" t="s">
        <v>4805</v>
      </c>
      <c r="D764" t="str">
        <f>IFERROR(VLOOKUP(ROWS($D$2:D764),A764:B1982,2,0),"")</f>
        <v>Montréal–Pierre Elliott Trudeau YUL</v>
      </c>
      <c r="F764">
        <f>IF(ISNUMBER(SEARCH(Request!$N$19,G764)),MAX(F$1:$F763)+1,0)</f>
        <v>763</v>
      </c>
      <c r="G764" s="11" t="s">
        <v>4805</v>
      </c>
      <c r="H764" t="str">
        <f>IFERROR(VLOOKUP(ROWS($H$2:H764),F764:G1982,2,0),"")</f>
        <v>Montréal–Pierre Elliott Trudeau YUL</v>
      </c>
    </row>
    <row r="765" spans="1:8" x14ac:dyDescent="0.25">
      <c r="A765">
        <f>IF(ISNUMBER(SEARCH(Request!$I$19,B765)),MAX($A$1:A764)+1,0)</f>
        <v>764</v>
      </c>
      <c r="B765" s="11" t="s">
        <v>4806</v>
      </c>
      <c r="D765" t="str">
        <f>IFERROR(VLOOKUP(ROWS($D$2:D765),A765:B1983,2,0),"")</f>
        <v>Montserrat MNI</v>
      </c>
      <c r="F765">
        <f>IF(ISNUMBER(SEARCH(Request!$N$19,G765)),MAX(F$1:$F764)+1,0)</f>
        <v>764</v>
      </c>
      <c r="G765" s="11" t="s">
        <v>4806</v>
      </c>
      <c r="H765" t="str">
        <f>IFERROR(VLOOKUP(ROWS($H$2:H765),F765:G1983,2,0),"")</f>
        <v>Montserrat MNI</v>
      </c>
    </row>
    <row r="766" spans="1:8" x14ac:dyDescent="0.25">
      <c r="A766">
        <f>IF(ISNUMBER(SEARCH(Request!$I$19,B766)),MAX($A$1:A765)+1,0)</f>
        <v>765</v>
      </c>
      <c r="B766" s="11" t="s">
        <v>4807</v>
      </c>
      <c r="D766" t="str">
        <f>IFERROR(VLOOKUP(ROWS($D$2:D766),A766:B1984,2,0),"")</f>
        <v>Moorabbin MBW</v>
      </c>
      <c r="F766">
        <f>IF(ISNUMBER(SEARCH(Request!$N$19,G766)),MAX(F$1:$F765)+1,0)</f>
        <v>765</v>
      </c>
      <c r="G766" s="11" t="s">
        <v>4807</v>
      </c>
      <c r="H766" t="str">
        <f>IFERROR(VLOOKUP(ROWS($H$2:H766),F766:G1984,2,0),"")</f>
        <v>Moorabbin MBW</v>
      </c>
    </row>
    <row r="767" spans="1:8" x14ac:dyDescent="0.25">
      <c r="A767">
        <f>IF(ISNUMBER(SEARCH(Request!$I$19,B767)),MAX($A$1:A766)+1,0)</f>
        <v>766</v>
      </c>
      <c r="B767" s="11" t="s">
        <v>4808</v>
      </c>
      <c r="D767" t="str">
        <f>IFERROR(VLOOKUP(ROWS($D$2:D767),A767:B1985,2,0),"")</f>
        <v>Mora – Siljan MXX</v>
      </c>
      <c r="F767">
        <f>IF(ISNUMBER(SEARCH(Request!$N$19,G767)),MAX(F$1:$F766)+1,0)</f>
        <v>766</v>
      </c>
      <c r="G767" s="11" t="s">
        <v>4808</v>
      </c>
      <c r="H767" t="str">
        <f>IFERROR(VLOOKUP(ROWS($H$2:H767),F767:G1985,2,0),"")</f>
        <v>Mora – Siljan MXX</v>
      </c>
    </row>
    <row r="768" spans="1:8" x14ac:dyDescent="0.25">
      <c r="A768">
        <f>IF(ISNUMBER(SEARCH(Request!$I$19,B768)),MAX($A$1:A767)+1,0)</f>
        <v>767</v>
      </c>
      <c r="B768" s="11" t="s">
        <v>4809</v>
      </c>
      <c r="D768" t="str">
        <f>IFERROR(VLOOKUP(ROWS($D$2:D768),A768:B1986,2,0),"")</f>
        <v>Moscow – Domodedovo DME</v>
      </c>
      <c r="F768">
        <f>IF(ISNUMBER(SEARCH(Request!$N$19,G768)),MAX(F$1:$F767)+1,0)</f>
        <v>767</v>
      </c>
      <c r="G768" s="11" t="s">
        <v>4809</v>
      </c>
      <c r="H768" t="str">
        <f>IFERROR(VLOOKUP(ROWS($H$2:H768),F768:G1986,2,0),"")</f>
        <v>Moscow – Domodedovo DME</v>
      </c>
    </row>
    <row r="769" spans="1:8" x14ac:dyDescent="0.25">
      <c r="A769">
        <f>IF(ISNUMBER(SEARCH(Request!$I$19,B769)),MAX($A$1:A768)+1,0)</f>
        <v>768</v>
      </c>
      <c r="B769" s="11" t="s">
        <v>4810</v>
      </c>
      <c r="D769" t="str">
        <f>IFERROR(VLOOKUP(ROWS($D$2:D769),A769:B1987,2,0),"")</f>
        <v>Moscow – Sheremetyevo SVO</v>
      </c>
      <c r="F769">
        <f>IF(ISNUMBER(SEARCH(Request!$N$19,G769)),MAX(F$1:$F768)+1,0)</f>
        <v>768</v>
      </c>
      <c r="G769" s="11" t="s">
        <v>4810</v>
      </c>
      <c r="H769" t="str">
        <f>IFERROR(VLOOKUP(ROWS($H$2:H769),F769:G1987,2,0),"")</f>
        <v>Moscow – Sheremetyevo SVO</v>
      </c>
    </row>
    <row r="770" spans="1:8" x14ac:dyDescent="0.25">
      <c r="A770">
        <f>IF(ISNUMBER(SEARCH(Request!$I$19,B770)),MAX($A$1:A769)+1,0)</f>
        <v>769</v>
      </c>
      <c r="B770" s="11" t="s">
        <v>4811</v>
      </c>
      <c r="D770" t="str">
        <f>IFERROR(VLOOKUP(ROWS($D$2:D770),A770:B1988,2,0),"")</f>
        <v>Moscow – Vnukovo VKO</v>
      </c>
      <c r="F770">
        <f>IF(ISNUMBER(SEARCH(Request!$N$19,G770)),MAX(F$1:$F769)+1,0)</f>
        <v>769</v>
      </c>
      <c r="G770" s="11" t="s">
        <v>4811</v>
      </c>
      <c r="H770" t="str">
        <f>IFERROR(VLOOKUP(ROWS($H$2:H770),F770:G1988,2,0),"")</f>
        <v>Moscow – Vnukovo VKO</v>
      </c>
    </row>
    <row r="771" spans="1:8" x14ac:dyDescent="0.25">
      <c r="A771">
        <f>IF(ISNUMBER(SEARCH(Request!$I$19,B771)),MAX($A$1:A770)+1,0)</f>
        <v>770</v>
      </c>
      <c r="B771" s="11" t="s">
        <v>4812</v>
      </c>
      <c r="D771" t="str">
        <f>IFERROR(VLOOKUP(ROWS($D$2:D771),A771:B1989,2,0),"")</f>
        <v>Mostar OMO</v>
      </c>
      <c r="F771">
        <f>IF(ISNUMBER(SEARCH(Request!$N$19,G771)),MAX(F$1:$F770)+1,0)</f>
        <v>770</v>
      </c>
      <c r="G771" s="11" t="s">
        <v>4812</v>
      </c>
      <c r="H771" t="str">
        <f>IFERROR(VLOOKUP(ROWS($H$2:H771),F771:G1989,2,0),"")</f>
        <v>Mostar OMO</v>
      </c>
    </row>
    <row r="772" spans="1:8" x14ac:dyDescent="0.25">
      <c r="A772">
        <f>IF(ISNUMBER(SEARCH(Request!$I$19,B772)),MAX($A$1:A771)+1,0)</f>
        <v>771</v>
      </c>
      <c r="B772" s="11" t="s">
        <v>4813</v>
      </c>
      <c r="D772" t="str">
        <f>IFERROR(VLOOKUP(ROWS($D$2:D772),A772:B1990,2,0),"")</f>
        <v>Mount Isa ISA</v>
      </c>
      <c r="F772">
        <f>IF(ISNUMBER(SEARCH(Request!$N$19,G772)),MAX(F$1:$F771)+1,0)</f>
        <v>771</v>
      </c>
      <c r="G772" s="11" t="s">
        <v>4813</v>
      </c>
      <c r="H772" t="str">
        <f>IFERROR(VLOOKUP(ROWS($H$2:H772),F772:G1990,2,0),"")</f>
        <v>Mount Isa ISA</v>
      </c>
    </row>
    <row r="773" spans="1:8" x14ac:dyDescent="0.25">
      <c r="A773">
        <f>IF(ISNUMBER(SEARCH(Request!$I$19,B773)),MAX($A$1:A772)+1,0)</f>
        <v>772</v>
      </c>
      <c r="B773" s="11" t="s">
        <v>4814</v>
      </c>
      <c r="D773" t="str">
        <f>IFERROR(VLOOKUP(ROWS($D$2:D773),A773:B1991,2,0),"")</f>
        <v>Mumbai/Bombay – Chhatarpati Shivaji BOM</v>
      </c>
      <c r="F773">
        <f>IF(ISNUMBER(SEARCH(Request!$N$19,G773)),MAX(F$1:$F772)+1,0)</f>
        <v>772</v>
      </c>
      <c r="G773" s="11" t="s">
        <v>4814</v>
      </c>
      <c r="H773" t="str">
        <f>IFERROR(VLOOKUP(ROWS($H$2:H773),F773:G1991,2,0),"")</f>
        <v>Mumbai/Bombay – Chhatarpati Shivaji BOM</v>
      </c>
    </row>
    <row r="774" spans="1:8" x14ac:dyDescent="0.25">
      <c r="A774">
        <f>IF(ISNUMBER(SEARCH(Request!$I$19,B774)),MAX($A$1:A773)+1,0)</f>
        <v>773</v>
      </c>
      <c r="B774" s="11" t="s">
        <v>4815</v>
      </c>
      <c r="D774" t="str">
        <f>IFERROR(VLOOKUP(ROWS($D$2:D774),A774:B1992,2,0),"")</f>
        <v>Munich MUC</v>
      </c>
      <c r="F774">
        <f>IF(ISNUMBER(SEARCH(Request!$N$19,G774)),MAX(F$1:$F773)+1,0)</f>
        <v>773</v>
      </c>
      <c r="G774" s="11" t="s">
        <v>4815</v>
      </c>
      <c r="H774" t="str">
        <f>IFERROR(VLOOKUP(ROWS($H$2:H774),F774:G1992,2,0),"")</f>
        <v>Munich MUC</v>
      </c>
    </row>
    <row r="775" spans="1:8" x14ac:dyDescent="0.25">
      <c r="A775">
        <f>IF(ISNUMBER(SEARCH(Request!$I$19,B775)),MAX($A$1:A774)+1,0)</f>
        <v>774</v>
      </c>
      <c r="B775" s="11" t="s">
        <v>4818</v>
      </c>
      <c r="D775" t="str">
        <f>IFERROR(VLOOKUP(ROWS($D$2:D775),A775:B1993,2,0),"")</f>
        <v>Münster-Osnabrück MSR</v>
      </c>
      <c r="F775">
        <f>IF(ISNUMBER(SEARCH(Request!$N$19,G775)),MAX(F$1:$F774)+1,0)</f>
        <v>774</v>
      </c>
      <c r="G775" s="11" t="s">
        <v>4818</v>
      </c>
      <c r="H775" t="str">
        <f>IFERROR(VLOOKUP(ROWS($H$2:H775),F775:G1993,2,0),"")</f>
        <v>Münster-Osnabrück MSR</v>
      </c>
    </row>
    <row r="776" spans="1:8" x14ac:dyDescent="0.25">
      <c r="A776">
        <f>IF(ISNUMBER(SEARCH(Request!$I$19,B776)),MAX($A$1:A775)+1,0)</f>
        <v>775</v>
      </c>
      <c r="B776" s="11" t="s">
        <v>4816</v>
      </c>
      <c r="D776" t="str">
        <f>IFERROR(VLOOKUP(ROWS($D$2:D776),A776:B1994,2,0),"")</f>
        <v>Murmansk MMK</v>
      </c>
      <c r="F776">
        <f>IF(ISNUMBER(SEARCH(Request!$N$19,G776)),MAX(F$1:$F775)+1,0)</f>
        <v>775</v>
      </c>
      <c r="G776" s="11" t="s">
        <v>4816</v>
      </c>
      <c r="H776" t="str">
        <f>IFERROR(VLOOKUP(ROWS($H$2:H776),F776:G1994,2,0),"")</f>
        <v>Murmansk MMK</v>
      </c>
    </row>
    <row r="777" spans="1:8" x14ac:dyDescent="0.25">
      <c r="A777">
        <f>IF(ISNUMBER(SEARCH(Request!$I$19,B777)),MAX($A$1:A776)+1,0)</f>
        <v>776</v>
      </c>
      <c r="B777" s="11" t="s">
        <v>4817</v>
      </c>
      <c r="D777" t="str">
        <f>IFERROR(VLOOKUP(ROWS($D$2:D777),A777:B1995,2,0),"")</f>
        <v>Muscat-Seeb MCT</v>
      </c>
      <c r="F777">
        <f>IF(ISNUMBER(SEARCH(Request!$N$19,G777)),MAX(F$1:$F776)+1,0)</f>
        <v>776</v>
      </c>
      <c r="G777" s="11" t="s">
        <v>4817</v>
      </c>
      <c r="H777" t="str">
        <f>IFERROR(VLOOKUP(ROWS($H$2:H777),F777:G1995,2,0),"")</f>
        <v>Muscat-Seeb MCT</v>
      </c>
    </row>
    <row r="778" spans="1:8" x14ac:dyDescent="0.25">
      <c r="A778">
        <f>IF(ISNUMBER(SEARCH(Request!$I$19,B778)),MAX($A$1:A777)+1,0)</f>
        <v>777</v>
      </c>
      <c r="B778" s="11" t="s">
        <v>4859</v>
      </c>
      <c r="D778" t="str">
        <f>IFERROR(VLOOKUP(ROWS($D$2:D778),A778:B1996,2,0),"")</f>
        <v>N´Djamena NDH</v>
      </c>
      <c r="F778">
        <f>IF(ISNUMBER(SEARCH(Request!$N$19,G778)),MAX(F$1:$F777)+1,0)</f>
        <v>777</v>
      </c>
      <c r="G778" s="11" t="s">
        <v>4859</v>
      </c>
      <c r="H778" t="str">
        <f>IFERROR(VLOOKUP(ROWS($H$2:H778),F778:G1996,2,0),"")</f>
        <v>N´Djamena NDH</v>
      </c>
    </row>
    <row r="779" spans="1:8" x14ac:dyDescent="0.25">
      <c r="A779">
        <f>IF(ISNUMBER(SEARCH(Request!$I$19,B779)),MAX($A$1:A778)+1,0)</f>
        <v>778</v>
      </c>
      <c r="B779" s="11" t="s">
        <v>4819</v>
      </c>
      <c r="D779" t="str">
        <f>IFERROR(VLOOKUP(ROWS($D$2:D779),A779:B1997,2,0),"")</f>
        <v>Nagoya NGO</v>
      </c>
      <c r="F779">
        <f>IF(ISNUMBER(SEARCH(Request!$N$19,G779)),MAX(F$1:$F778)+1,0)</f>
        <v>778</v>
      </c>
      <c r="G779" s="11" t="s">
        <v>4819</v>
      </c>
      <c r="H779" t="str">
        <f>IFERROR(VLOOKUP(ROWS($H$2:H779),F779:G1997,2,0),"")</f>
        <v>Nagoya NGO</v>
      </c>
    </row>
    <row r="780" spans="1:8" x14ac:dyDescent="0.25">
      <c r="A780">
        <f>IF(ISNUMBER(SEARCH(Request!$I$19,B780)),MAX($A$1:A779)+1,0)</f>
        <v>779</v>
      </c>
      <c r="B780" s="11" t="s">
        <v>4820</v>
      </c>
      <c r="D780" t="str">
        <f>IFERROR(VLOOKUP(ROWS($D$2:D780),A780:B1998,2,0),"")</f>
        <v>Nairobi – Jomo Kenyatta NBO</v>
      </c>
      <c r="F780">
        <f>IF(ISNUMBER(SEARCH(Request!$N$19,G780)),MAX(F$1:$F779)+1,0)</f>
        <v>779</v>
      </c>
      <c r="G780" s="11" t="s">
        <v>4820</v>
      </c>
      <c r="H780" t="str">
        <f>IFERROR(VLOOKUP(ROWS($H$2:H780),F780:G1998,2,0),"")</f>
        <v>Nairobi – Jomo Kenyatta NBO</v>
      </c>
    </row>
    <row r="781" spans="1:8" x14ac:dyDescent="0.25">
      <c r="A781">
        <f>IF(ISNUMBER(SEARCH(Request!$I$19,B781)),MAX($A$1:A780)+1,0)</f>
        <v>780</v>
      </c>
      <c r="B781" s="11" t="s">
        <v>4821</v>
      </c>
      <c r="D781" t="str">
        <f>IFERROR(VLOOKUP(ROWS($D$2:D781),A781:B1999,2,0),"")</f>
        <v>Nampula APL</v>
      </c>
      <c r="F781">
        <f>IF(ISNUMBER(SEARCH(Request!$N$19,G781)),MAX(F$1:$F780)+1,0)</f>
        <v>780</v>
      </c>
      <c r="G781" s="11" t="s">
        <v>4821</v>
      </c>
      <c r="H781" t="str">
        <f>IFERROR(VLOOKUP(ROWS($H$2:H781),F781:G1999,2,0),"")</f>
        <v>Nampula APL</v>
      </c>
    </row>
    <row r="782" spans="1:8" x14ac:dyDescent="0.25">
      <c r="A782">
        <f>IF(ISNUMBER(SEARCH(Request!$I$19,B782)),MAX($A$1:A781)+1,0)</f>
        <v>781</v>
      </c>
      <c r="B782" s="11" t="s">
        <v>4822</v>
      </c>
      <c r="D782" t="str">
        <f>IFERROR(VLOOKUP(ROWS($D$2:D782),A782:B2000,2,0),"")</f>
        <v>Nancy/Essey Aéroport ENC</v>
      </c>
      <c r="F782">
        <f>IF(ISNUMBER(SEARCH(Request!$N$19,G782)),MAX(F$1:$F781)+1,0)</f>
        <v>781</v>
      </c>
      <c r="G782" s="11" t="s">
        <v>4822</v>
      </c>
      <c r="H782" t="str">
        <f>IFERROR(VLOOKUP(ROWS($H$2:H782),F782:G2000,2,0),"")</f>
        <v>Nancy/Essey Aéroport ENC</v>
      </c>
    </row>
    <row r="783" spans="1:8" x14ac:dyDescent="0.25">
      <c r="A783">
        <f>IF(ISNUMBER(SEARCH(Request!$I$19,B783)),MAX($A$1:A782)+1,0)</f>
        <v>782</v>
      </c>
      <c r="B783" s="11" t="s">
        <v>4823</v>
      </c>
      <c r="D783" t="str">
        <f>IFERROR(VLOOKUP(ROWS($D$2:D783),A783:B2001,2,0),"")</f>
        <v>Nanjing Lukou Co Ltd NKG</v>
      </c>
      <c r="F783">
        <f>IF(ISNUMBER(SEARCH(Request!$N$19,G783)),MAX(F$1:$F782)+1,0)</f>
        <v>782</v>
      </c>
      <c r="G783" s="11" t="s">
        <v>4823</v>
      </c>
      <c r="H783" t="str">
        <f>IFERROR(VLOOKUP(ROWS($H$2:H783),F783:G2001,2,0),"")</f>
        <v>Nanjing Lukou Co Ltd NKG</v>
      </c>
    </row>
    <row r="784" spans="1:8" x14ac:dyDescent="0.25">
      <c r="A784">
        <f>IF(ISNUMBER(SEARCH(Request!$I$19,B784)),MAX($A$1:A783)+1,0)</f>
        <v>783</v>
      </c>
      <c r="B784" s="11" t="s">
        <v>4824</v>
      </c>
      <c r="D784" t="str">
        <f>IFERROR(VLOOKUP(ROWS($D$2:D784),A784:B2002,2,0),"")</f>
        <v>Nantes-Atlantique NTE</v>
      </c>
      <c r="F784">
        <f>IF(ISNUMBER(SEARCH(Request!$N$19,G784)),MAX(F$1:$F783)+1,0)</f>
        <v>783</v>
      </c>
      <c r="G784" s="11" t="s">
        <v>4824</v>
      </c>
      <c r="H784" t="str">
        <f>IFERROR(VLOOKUP(ROWS($H$2:H784),F784:G2002,2,0),"")</f>
        <v>Nantes-Atlantique NTE</v>
      </c>
    </row>
    <row r="785" spans="1:8" x14ac:dyDescent="0.25">
      <c r="A785">
        <f>IF(ISNUMBER(SEARCH(Request!$I$19,B785)),MAX($A$1:A784)+1,0)</f>
        <v>784</v>
      </c>
      <c r="B785" s="11" t="s">
        <v>4825</v>
      </c>
      <c r="D785" t="str">
        <f>IFERROR(VLOOKUP(ROWS($D$2:D785),A785:B2003,2,0),"")</f>
        <v>Nantucket Memorial ACK</v>
      </c>
      <c r="F785">
        <f>IF(ISNUMBER(SEARCH(Request!$N$19,G785)),MAX(F$1:$F784)+1,0)</f>
        <v>784</v>
      </c>
      <c r="G785" s="11" t="s">
        <v>4825</v>
      </c>
      <c r="H785" t="str">
        <f>IFERROR(VLOOKUP(ROWS($H$2:H785),F785:G2003,2,0),"")</f>
        <v>Nantucket Memorial ACK</v>
      </c>
    </row>
    <row r="786" spans="1:8" x14ac:dyDescent="0.25">
      <c r="A786">
        <f>IF(ISNUMBER(SEARCH(Request!$I$19,B786)),MAX($A$1:A785)+1,0)</f>
        <v>785</v>
      </c>
      <c r="B786" s="11" t="s">
        <v>4826</v>
      </c>
      <c r="D786" t="str">
        <f>IFERROR(VLOOKUP(ROWS($D$2:D786),A786:B2004,2,0),"")</f>
        <v>Naples Municipal APF</v>
      </c>
      <c r="F786">
        <f>IF(ISNUMBER(SEARCH(Request!$N$19,G786)),MAX(F$1:$F785)+1,0)</f>
        <v>785</v>
      </c>
      <c r="G786" s="11" t="s">
        <v>4826</v>
      </c>
      <c r="H786" t="str">
        <f>IFERROR(VLOOKUP(ROWS($H$2:H786),F786:G2004,2,0),"")</f>
        <v>Naples Municipal APF</v>
      </c>
    </row>
    <row r="787" spans="1:8" x14ac:dyDescent="0.25">
      <c r="A787">
        <f>IF(ISNUMBER(SEARCH(Request!$I$19,B787)),MAX($A$1:A786)+1,0)</f>
        <v>786</v>
      </c>
      <c r="B787" s="11" t="s">
        <v>4827</v>
      </c>
      <c r="D787" t="str">
        <f>IFERROR(VLOOKUP(ROWS($D$2:D787),A787:B2005,2,0),"")</f>
        <v>Naples-Capodichino NAP</v>
      </c>
      <c r="F787">
        <f>IF(ISNUMBER(SEARCH(Request!$N$19,G787)),MAX(F$1:$F786)+1,0)</f>
        <v>786</v>
      </c>
      <c r="G787" s="11" t="s">
        <v>4827</v>
      </c>
      <c r="H787" t="str">
        <f>IFERROR(VLOOKUP(ROWS($H$2:H787),F787:G2005,2,0),"")</f>
        <v>Naples-Capodichino NAP</v>
      </c>
    </row>
    <row r="788" spans="1:8" x14ac:dyDescent="0.25">
      <c r="A788">
        <f>IF(ISNUMBER(SEARCH(Request!$I$19,B788)),MAX($A$1:A787)+1,0)</f>
        <v>787</v>
      </c>
      <c r="B788" s="11" t="s">
        <v>4828</v>
      </c>
      <c r="D788" t="str">
        <f>IFERROR(VLOOKUP(ROWS($D$2:D788),A788:B2006,2,0),"")</f>
        <v>Narssarssuaq UAK</v>
      </c>
      <c r="F788">
        <f>IF(ISNUMBER(SEARCH(Request!$N$19,G788)),MAX(F$1:$F787)+1,0)</f>
        <v>787</v>
      </c>
      <c r="G788" s="11" t="s">
        <v>4828</v>
      </c>
      <c r="H788" t="str">
        <f>IFERROR(VLOOKUP(ROWS($H$2:H788),F788:G2006,2,0),"")</f>
        <v>Narssarssuaq UAK</v>
      </c>
    </row>
    <row r="789" spans="1:8" x14ac:dyDescent="0.25">
      <c r="A789">
        <f>IF(ISNUMBER(SEARCH(Request!$I$19,B789)),MAX($A$1:A788)+1,0)</f>
        <v>788</v>
      </c>
      <c r="B789" s="11" t="s">
        <v>4829</v>
      </c>
      <c r="D789" t="str">
        <f>IFERROR(VLOOKUP(ROWS($D$2:D789),A789:B2007,2,0),"")</f>
        <v>Nashville BNA</v>
      </c>
      <c r="F789">
        <f>IF(ISNUMBER(SEARCH(Request!$N$19,G789)),MAX(F$1:$F788)+1,0)</f>
        <v>788</v>
      </c>
      <c r="G789" s="11" t="s">
        <v>4829</v>
      </c>
      <c r="H789" t="str">
        <f>IFERROR(VLOOKUP(ROWS($H$2:H789),F789:G2007,2,0),"")</f>
        <v>Nashville BNA</v>
      </c>
    </row>
    <row r="790" spans="1:8" x14ac:dyDescent="0.25">
      <c r="A790">
        <f>IF(ISNUMBER(SEARCH(Request!$I$19,B790)),MAX($A$1:A789)+1,0)</f>
        <v>789</v>
      </c>
      <c r="B790" s="11" t="s">
        <v>4830</v>
      </c>
      <c r="D790" t="str">
        <f>IFERROR(VLOOKUP(ROWS($D$2:D790),A790:B2008,2,0),"")</f>
        <v>Nassau NAS</v>
      </c>
      <c r="F790">
        <f>IF(ISNUMBER(SEARCH(Request!$N$19,G790)),MAX(F$1:$F789)+1,0)</f>
        <v>789</v>
      </c>
      <c r="G790" s="11" t="s">
        <v>4830</v>
      </c>
      <c r="H790" t="str">
        <f>IFERROR(VLOOKUP(ROWS($H$2:H790),F790:G2008,2,0),"")</f>
        <v>Nassau NAS</v>
      </c>
    </row>
    <row r="791" spans="1:8" x14ac:dyDescent="0.25">
      <c r="A791">
        <f>IF(ISNUMBER(SEARCH(Request!$I$19,B791)),MAX($A$1:A790)+1,0)</f>
        <v>790</v>
      </c>
      <c r="B791" s="11" t="s">
        <v>4831</v>
      </c>
      <c r="D791" t="str">
        <f>IFERROR(VLOOKUP(ROWS($D$2:D791),A791:B2009,2,0),"")</f>
        <v>Natal – Augusto Severo NAT</v>
      </c>
      <c r="F791">
        <f>IF(ISNUMBER(SEARCH(Request!$N$19,G791)),MAX(F$1:$F790)+1,0)</f>
        <v>790</v>
      </c>
      <c r="G791" s="11" t="s">
        <v>4831</v>
      </c>
      <c r="H791" t="str">
        <f>IFERROR(VLOOKUP(ROWS($H$2:H791),F791:G2009,2,0),"")</f>
        <v>Natal – Augusto Severo NAT</v>
      </c>
    </row>
    <row r="792" spans="1:8" x14ac:dyDescent="0.25">
      <c r="A792">
        <f>IF(ISNUMBER(SEARCH(Request!$I$19,B792)),MAX($A$1:A791)+1,0)</f>
        <v>791</v>
      </c>
      <c r="B792" s="11" t="s">
        <v>4832</v>
      </c>
      <c r="D792" t="str">
        <f>IFERROR(VLOOKUP(ROWS($D$2:D792),A792:B2010,2,0),"")</f>
        <v>Nauru INU</v>
      </c>
      <c r="F792">
        <f>IF(ISNUMBER(SEARCH(Request!$N$19,G792)),MAX(F$1:$F791)+1,0)</f>
        <v>791</v>
      </c>
      <c r="G792" s="11" t="s">
        <v>4832</v>
      </c>
      <c r="H792" t="str">
        <f>IFERROR(VLOOKUP(ROWS($H$2:H792),F792:G2010,2,0),"")</f>
        <v>Nauru INU</v>
      </c>
    </row>
    <row r="793" spans="1:8" x14ac:dyDescent="0.25">
      <c r="A793">
        <f>IF(ISNUMBER(SEARCH(Request!$I$19,B793)),MAX($A$1:A792)+1,0)</f>
        <v>792</v>
      </c>
      <c r="B793" s="11" t="s">
        <v>4833</v>
      </c>
      <c r="D793" t="str">
        <f>IFERROR(VLOOKUP(ROWS($D$2:D793),A793:B2011,2,0),"")</f>
        <v>Ndola and Kitwe NLA</v>
      </c>
      <c r="F793">
        <f>IF(ISNUMBER(SEARCH(Request!$N$19,G793)),MAX(F$1:$F792)+1,0)</f>
        <v>792</v>
      </c>
      <c r="G793" s="11" t="s">
        <v>4833</v>
      </c>
      <c r="H793" t="str">
        <f>IFERROR(VLOOKUP(ROWS($H$2:H793),F793:G2011,2,0),"")</f>
        <v>Ndola and Kitwe NLA</v>
      </c>
    </row>
    <row r="794" spans="1:8" x14ac:dyDescent="0.25">
      <c r="A794">
        <f>IF(ISNUMBER(SEARCH(Request!$I$19,B794)),MAX($A$1:A793)+1,0)</f>
        <v>793</v>
      </c>
      <c r="B794" s="11" t="s">
        <v>4834</v>
      </c>
      <c r="D794" t="str">
        <f>IFERROR(VLOOKUP(ROWS($D$2:D794),A794:B2012,2,0),"")</f>
        <v>Nevis – Newcastle NEV</v>
      </c>
      <c r="F794">
        <f>IF(ISNUMBER(SEARCH(Request!$N$19,G794)),MAX(F$1:$F793)+1,0)</f>
        <v>793</v>
      </c>
      <c r="G794" s="11" t="s">
        <v>4834</v>
      </c>
      <c r="H794" t="str">
        <f>IFERROR(VLOOKUP(ROWS($H$2:H794),F794:G2012,2,0),"")</f>
        <v>Nevis – Newcastle NEV</v>
      </c>
    </row>
    <row r="795" spans="1:8" x14ac:dyDescent="0.25">
      <c r="A795">
        <f>IF(ISNUMBER(SEARCH(Request!$I$19,B795)),MAX($A$1:A794)+1,0)</f>
        <v>794</v>
      </c>
      <c r="B795" s="11" t="s">
        <v>4835</v>
      </c>
      <c r="D795" t="str">
        <f>IFERROR(VLOOKUP(ROWS($D$2:D795),A795:B2013,2,0),"")</f>
        <v>New Caledonia NOU</v>
      </c>
      <c r="F795">
        <f>IF(ISNUMBER(SEARCH(Request!$N$19,G795)),MAX(F$1:$F794)+1,0)</f>
        <v>794</v>
      </c>
      <c r="G795" s="11" t="s">
        <v>4835</v>
      </c>
      <c r="H795" t="str">
        <f>IFERROR(VLOOKUP(ROWS($H$2:H795),F795:G2013,2,0),"")</f>
        <v>New Caledonia NOU</v>
      </c>
    </row>
    <row r="796" spans="1:8" x14ac:dyDescent="0.25">
      <c r="A796">
        <f>IF(ISNUMBER(SEARCH(Request!$I$19,B796)),MAX($A$1:A795)+1,0)</f>
        <v>795</v>
      </c>
      <c r="B796" s="11" t="s">
        <v>4836</v>
      </c>
      <c r="D796" t="str">
        <f>IFERROR(VLOOKUP(ROWS($D$2:D796),A796:B2014,2,0),"")</f>
        <v>New Haven HVN</v>
      </c>
      <c r="F796">
        <f>IF(ISNUMBER(SEARCH(Request!$N$19,G796)),MAX(F$1:$F795)+1,0)</f>
        <v>795</v>
      </c>
      <c r="G796" s="11" t="s">
        <v>4836</v>
      </c>
      <c r="H796" t="str">
        <f>IFERROR(VLOOKUP(ROWS($H$2:H796),F796:G2014,2,0),"")</f>
        <v>New Haven HVN</v>
      </c>
    </row>
    <row r="797" spans="1:8" x14ac:dyDescent="0.25">
      <c r="A797">
        <f>IF(ISNUMBER(SEARCH(Request!$I$19,B797)),MAX($A$1:A796)+1,0)</f>
        <v>796</v>
      </c>
      <c r="B797" s="11" t="s">
        <v>4837</v>
      </c>
      <c r="D797" t="str">
        <f>IFERROR(VLOOKUP(ROWS($D$2:D797),A797:B2015,2,0),"")</f>
        <v>New Orleans – Louis Armstrong MSY</v>
      </c>
      <c r="F797">
        <f>IF(ISNUMBER(SEARCH(Request!$N$19,G797)),MAX(F$1:$F796)+1,0)</f>
        <v>796</v>
      </c>
      <c r="G797" s="11" t="s">
        <v>4837</v>
      </c>
      <c r="H797" t="str">
        <f>IFERROR(VLOOKUP(ROWS($H$2:H797),F797:G2015,2,0),"")</f>
        <v>New Orleans – Louis Armstrong MSY</v>
      </c>
    </row>
    <row r="798" spans="1:8" x14ac:dyDescent="0.25">
      <c r="A798">
        <f>IF(ISNUMBER(SEARCH(Request!$I$19,B798)),MAX($A$1:A797)+1,0)</f>
        <v>797</v>
      </c>
      <c r="B798" s="11" t="s">
        <v>4838</v>
      </c>
      <c r="D798" t="str">
        <f>IFERROR(VLOOKUP(ROWS($D$2:D798),A798:B2016,2,0),"")</f>
        <v>New York – John F Kennedy JFK</v>
      </c>
      <c r="F798">
        <f>IF(ISNUMBER(SEARCH(Request!$N$19,G798)),MAX(F$1:$F797)+1,0)</f>
        <v>797</v>
      </c>
      <c r="G798" s="11" t="s">
        <v>4838</v>
      </c>
      <c r="H798" t="str">
        <f>IFERROR(VLOOKUP(ROWS($H$2:H798),F798:G2016,2,0),"")</f>
        <v>New York – John F Kennedy JFK</v>
      </c>
    </row>
    <row r="799" spans="1:8" x14ac:dyDescent="0.25">
      <c r="A799">
        <f>IF(ISNUMBER(SEARCH(Request!$I$19,B799)),MAX($A$1:A798)+1,0)</f>
        <v>798</v>
      </c>
      <c r="B799" s="11" t="s">
        <v>4839</v>
      </c>
      <c r="D799" t="str">
        <f>IFERROR(VLOOKUP(ROWS($D$2:D799),A799:B2017,2,0),"")</f>
        <v>New York-La Guardia LGA</v>
      </c>
      <c r="F799">
        <f>IF(ISNUMBER(SEARCH(Request!$N$19,G799)),MAX(F$1:$F798)+1,0)</f>
        <v>798</v>
      </c>
      <c r="G799" s="11" t="s">
        <v>4839</v>
      </c>
      <c r="H799" t="str">
        <f>IFERROR(VLOOKUP(ROWS($H$2:H799),F799:G2017,2,0),"")</f>
        <v>New York-La Guardia LGA</v>
      </c>
    </row>
    <row r="800" spans="1:8" x14ac:dyDescent="0.25">
      <c r="A800">
        <f>IF(ISNUMBER(SEARCH(Request!$I$19,B800)),MAX($A$1:A799)+1,0)</f>
        <v>799</v>
      </c>
      <c r="B800" s="11" t="s">
        <v>4840</v>
      </c>
      <c r="D800" t="str">
        <f>IFERROR(VLOOKUP(ROWS($D$2:D800),A800:B2018,2,0),"")</f>
        <v>Newark EWR</v>
      </c>
      <c r="F800">
        <f>IF(ISNUMBER(SEARCH(Request!$N$19,G800)),MAX(F$1:$F799)+1,0)</f>
        <v>799</v>
      </c>
      <c r="G800" s="11" t="s">
        <v>4840</v>
      </c>
      <c r="H800" t="str">
        <f>IFERROR(VLOOKUP(ROWS($H$2:H800),F800:G2018,2,0),"")</f>
        <v>Newark EWR</v>
      </c>
    </row>
    <row r="801" spans="1:8" x14ac:dyDescent="0.25">
      <c r="A801">
        <f>IF(ISNUMBER(SEARCH(Request!$I$19,B801)),MAX($A$1:A800)+1,0)</f>
        <v>800</v>
      </c>
      <c r="B801" s="11" t="s">
        <v>4842</v>
      </c>
      <c r="D801" t="str">
        <f>IFERROR(VLOOKUP(ROWS($D$2:D801),A801:B2019,2,0),"")</f>
        <v>Newcastle NCL</v>
      </c>
      <c r="F801">
        <f>IF(ISNUMBER(SEARCH(Request!$N$19,G801)),MAX(F$1:$F800)+1,0)</f>
        <v>800</v>
      </c>
      <c r="G801" s="11" t="s">
        <v>4842</v>
      </c>
      <c r="H801" t="str">
        <f>IFERROR(VLOOKUP(ROWS($H$2:H801),F801:G2019,2,0),"")</f>
        <v>Newcastle NCL</v>
      </c>
    </row>
    <row r="802" spans="1:8" x14ac:dyDescent="0.25">
      <c r="A802">
        <f>IF(ISNUMBER(SEARCH(Request!$I$19,B802)),MAX($A$1:A801)+1,0)</f>
        <v>801</v>
      </c>
      <c r="B802" s="11" t="s">
        <v>4841</v>
      </c>
      <c r="D802" t="str">
        <f>IFERROR(VLOOKUP(ROWS($D$2:D802),A802:B2020,2,0),"")</f>
        <v>Newcastle NTL</v>
      </c>
      <c r="F802">
        <f>IF(ISNUMBER(SEARCH(Request!$N$19,G802)),MAX(F$1:$F801)+1,0)</f>
        <v>801</v>
      </c>
      <c r="G802" s="11" t="s">
        <v>4841</v>
      </c>
      <c r="H802" t="str">
        <f>IFERROR(VLOOKUP(ROWS($H$2:H802),F802:G2020,2,0),"")</f>
        <v>Newcastle NTL</v>
      </c>
    </row>
    <row r="803" spans="1:8" x14ac:dyDescent="0.25">
      <c r="A803">
        <f>IF(ISNUMBER(SEARCH(Request!$I$19,B803)),MAX($A$1:A802)+1,0)</f>
        <v>802</v>
      </c>
      <c r="B803" s="11" t="s">
        <v>4843</v>
      </c>
      <c r="D803" t="str">
        <f>IFERROR(VLOOKUP(ROWS($D$2:D803),A803:B2021,2,0),"")</f>
        <v>Newquay Cornwall NQY</v>
      </c>
      <c r="F803">
        <f>IF(ISNUMBER(SEARCH(Request!$N$19,G803)),MAX(F$1:$F802)+1,0)</f>
        <v>802</v>
      </c>
      <c r="G803" s="11" t="s">
        <v>4843</v>
      </c>
      <c r="H803" t="str">
        <f>IFERROR(VLOOKUP(ROWS($H$2:H803),F803:G2021,2,0),"")</f>
        <v>Newquay Cornwall NQY</v>
      </c>
    </row>
    <row r="804" spans="1:8" x14ac:dyDescent="0.25">
      <c r="A804">
        <f>IF(ISNUMBER(SEARCH(Request!$I$19,B804)),MAX($A$1:A803)+1,0)</f>
        <v>803</v>
      </c>
      <c r="B804" s="11" t="s">
        <v>4844</v>
      </c>
      <c r="D804" t="str">
        <f>IFERROR(VLOOKUP(ROWS($D$2:D804),A804:B2022,2,0),"")</f>
        <v>Niamey Diori Hamani NIM</v>
      </c>
      <c r="F804">
        <f>IF(ISNUMBER(SEARCH(Request!$N$19,G804)),MAX(F$1:$F803)+1,0)</f>
        <v>803</v>
      </c>
      <c r="G804" s="11" t="s">
        <v>4844</v>
      </c>
      <c r="H804" t="str">
        <f>IFERROR(VLOOKUP(ROWS($H$2:H804),F804:G2022,2,0),"")</f>
        <v>Niamey Diori Hamani NIM</v>
      </c>
    </row>
    <row r="805" spans="1:8" x14ac:dyDescent="0.25">
      <c r="A805">
        <f>IF(ISNUMBER(SEARCH(Request!$I$19,B805)),MAX($A$1:A804)+1,0)</f>
        <v>804</v>
      </c>
      <c r="B805" s="11" t="s">
        <v>4845</v>
      </c>
      <c r="D805" t="str">
        <f>IFERROR(VLOOKUP(ROWS($D$2:D805),A805:B2023,2,0),"")</f>
        <v>Nice/Cote D´Azur NCE</v>
      </c>
      <c r="F805">
        <f>IF(ISNUMBER(SEARCH(Request!$N$19,G805)),MAX(F$1:$F804)+1,0)</f>
        <v>804</v>
      </c>
      <c r="G805" s="11" t="s">
        <v>4845</v>
      </c>
      <c r="H805" t="str">
        <f>IFERROR(VLOOKUP(ROWS($H$2:H805),F805:G2023,2,0),"")</f>
        <v>Nice/Cote D´Azur NCE</v>
      </c>
    </row>
    <row r="806" spans="1:8" x14ac:dyDescent="0.25">
      <c r="A806">
        <f>IF(ISNUMBER(SEARCH(Request!$I$19,B806)),MAX($A$1:A805)+1,0)</f>
        <v>805</v>
      </c>
      <c r="B806" s="11" t="s">
        <v>4846</v>
      </c>
      <c r="D806" t="str">
        <f>IFERROR(VLOOKUP(ROWS($D$2:D806),A806:B2024,2,0),"")</f>
        <v>Niigata KIJ</v>
      </c>
      <c r="F806">
        <f>IF(ISNUMBER(SEARCH(Request!$N$19,G806)),MAX(F$1:$F805)+1,0)</f>
        <v>805</v>
      </c>
      <c r="G806" s="11" t="s">
        <v>4846</v>
      </c>
      <c r="H806" t="str">
        <f>IFERROR(VLOOKUP(ROWS($H$2:H806),F806:G2024,2,0),"")</f>
        <v>Niigata KIJ</v>
      </c>
    </row>
    <row r="807" spans="1:8" x14ac:dyDescent="0.25">
      <c r="A807">
        <f>IF(ISNUMBER(SEARCH(Request!$I$19,B807)),MAX($A$1:A806)+1,0)</f>
        <v>806</v>
      </c>
      <c r="B807" s="11" t="s">
        <v>4847</v>
      </c>
      <c r="D807" t="str">
        <f>IFERROR(VLOOKUP(ROWS($D$2:D807),A807:B2025,2,0),"")</f>
        <v>Nimes/Arles/Camargue FNI</v>
      </c>
      <c r="F807">
        <f>IF(ISNUMBER(SEARCH(Request!$N$19,G807)),MAX(F$1:$F806)+1,0)</f>
        <v>806</v>
      </c>
      <c r="G807" s="11" t="s">
        <v>4847</v>
      </c>
      <c r="H807" t="str">
        <f>IFERROR(VLOOKUP(ROWS($H$2:H807),F807:G2025,2,0),"")</f>
        <v>Nimes/Arles/Camargue FNI</v>
      </c>
    </row>
    <row r="808" spans="1:8" x14ac:dyDescent="0.25">
      <c r="A808">
        <f>IF(ISNUMBER(SEARCH(Request!$I$19,B808)),MAX($A$1:A807)+1,0)</f>
        <v>807</v>
      </c>
      <c r="B808" s="11" t="s">
        <v>4848</v>
      </c>
      <c r="D808" t="str">
        <f>IFERROR(VLOOKUP(ROWS($D$2:D808),A808:B2026,2,0),"")</f>
        <v>Nogales NOG</v>
      </c>
      <c r="F808">
        <f>IF(ISNUMBER(SEARCH(Request!$N$19,G808)),MAX(F$1:$F807)+1,0)</f>
        <v>807</v>
      </c>
      <c r="G808" s="11" t="s">
        <v>4848</v>
      </c>
      <c r="H808" t="str">
        <f>IFERROR(VLOOKUP(ROWS($H$2:H808),F808:G2026,2,0),"")</f>
        <v>Nogales NOG</v>
      </c>
    </row>
    <row r="809" spans="1:8" x14ac:dyDescent="0.25">
      <c r="A809">
        <f>IF(ISNUMBER(SEARCH(Request!$I$19,B809)),MAX($A$1:A808)+1,0)</f>
        <v>808</v>
      </c>
      <c r="B809" s="11" t="s">
        <v>4849</v>
      </c>
      <c r="D809" t="str">
        <f>IFERROR(VLOOKUP(ROWS($D$2:D809),A809:B2027,2,0),"")</f>
        <v>Norfolk ORF</v>
      </c>
      <c r="F809">
        <f>IF(ISNUMBER(SEARCH(Request!$N$19,G809)),MAX(F$1:$F808)+1,0)</f>
        <v>808</v>
      </c>
      <c r="G809" s="11" t="s">
        <v>4849</v>
      </c>
      <c r="H809" t="str">
        <f>IFERROR(VLOOKUP(ROWS($H$2:H809),F809:G2027,2,0),"")</f>
        <v>Norfolk ORF</v>
      </c>
    </row>
    <row r="810" spans="1:8" x14ac:dyDescent="0.25">
      <c r="A810">
        <f>IF(ISNUMBER(SEARCH(Request!$I$19,B810)),MAX($A$1:A809)+1,0)</f>
        <v>809</v>
      </c>
      <c r="B810" s="11" t="s">
        <v>4850</v>
      </c>
      <c r="D810" t="str">
        <f>IFERROR(VLOOKUP(ROWS($D$2:D810),A810:B2028,2,0),"")</f>
        <v>Norrköping NRK</v>
      </c>
      <c r="F810">
        <f>IF(ISNUMBER(SEARCH(Request!$N$19,G810)),MAX(F$1:$F809)+1,0)</f>
        <v>809</v>
      </c>
      <c r="G810" s="11" t="s">
        <v>4850</v>
      </c>
      <c r="H810" t="str">
        <f>IFERROR(VLOOKUP(ROWS($H$2:H810),F810:G2028,2,0),"")</f>
        <v>Norrköping NRK</v>
      </c>
    </row>
    <row r="811" spans="1:8" x14ac:dyDescent="0.25">
      <c r="A811">
        <f>IF(ISNUMBER(SEARCH(Request!$I$19,B811)),MAX($A$1:A810)+1,0)</f>
        <v>810</v>
      </c>
      <c r="B811" s="11" t="s">
        <v>4851</v>
      </c>
      <c r="D811" t="str">
        <f>IFERROR(VLOOKUP(ROWS($D$2:D811),A811:B2029,2,0),"")</f>
        <v>North Platte Regional LBF</v>
      </c>
      <c r="F811">
        <f>IF(ISNUMBER(SEARCH(Request!$N$19,G811)),MAX(F$1:$F810)+1,0)</f>
        <v>810</v>
      </c>
      <c r="G811" s="11" t="s">
        <v>4851</v>
      </c>
      <c r="H811" t="str">
        <f>IFERROR(VLOOKUP(ROWS($H$2:H811),F811:G2029,2,0),"")</f>
        <v>North Platte Regional LBF</v>
      </c>
    </row>
    <row r="812" spans="1:8" x14ac:dyDescent="0.25">
      <c r="A812">
        <f>IF(ISNUMBER(SEARCH(Request!$I$19,B812)),MAX($A$1:A811)+1,0)</f>
        <v>811</v>
      </c>
      <c r="B812" s="11" t="s">
        <v>4852</v>
      </c>
      <c r="D812" t="str">
        <f>IFERROR(VLOOKUP(ROWS($D$2:D812),A812:B2030,2,0),"")</f>
        <v>Northern Maine Regional PQI</v>
      </c>
      <c r="F812">
        <f>IF(ISNUMBER(SEARCH(Request!$N$19,G812)),MAX(F$1:$F811)+1,0)</f>
        <v>811</v>
      </c>
      <c r="G812" s="11" t="s">
        <v>4852</v>
      </c>
      <c r="H812" t="str">
        <f>IFERROR(VLOOKUP(ROWS($H$2:H812),F812:G2030,2,0),"")</f>
        <v>Northern Maine Regional PQI</v>
      </c>
    </row>
    <row r="813" spans="1:8" x14ac:dyDescent="0.25">
      <c r="A813">
        <f>IF(ISNUMBER(SEARCH(Request!$I$19,B813)),MAX($A$1:A812)+1,0)</f>
        <v>812</v>
      </c>
      <c r="B813" s="11" t="s">
        <v>4853</v>
      </c>
      <c r="D813" t="str">
        <f>IFERROR(VLOOKUP(ROWS($D$2:D813),A813:B2031,2,0),"")</f>
        <v>Norwich NWI</v>
      </c>
      <c r="F813">
        <f>IF(ISNUMBER(SEARCH(Request!$N$19,G813)),MAX(F$1:$F812)+1,0)</f>
        <v>812</v>
      </c>
      <c r="G813" s="11" t="s">
        <v>4853</v>
      </c>
      <c r="H813" t="str">
        <f>IFERROR(VLOOKUP(ROWS($H$2:H813),F813:G2031,2,0),"")</f>
        <v>Norwich NWI</v>
      </c>
    </row>
    <row r="814" spans="1:8" x14ac:dyDescent="0.25">
      <c r="A814">
        <f>IF(ISNUMBER(SEARCH(Request!$I$19,B814)),MAX($A$1:A813)+1,0)</f>
        <v>813</v>
      </c>
      <c r="B814" s="11" t="s">
        <v>4854</v>
      </c>
      <c r="D814" t="str">
        <f>IFERROR(VLOOKUP(ROWS($D$2:D814),A814:B2032,2,0),"")</f>
        <v>Nouadhibou Aerodrome NDB</v>
      </c>
      <c r="F814">
        <f>IF(ISNUMBER(SEARCH(Request!$N$19,G814)),MAX(F$1:$F813)+1,0)</f>
        <v>813</v>
      </c>
      <c r="G814" s="11" t="s">
        <v>4854</v>
      </c>
      <c r="H814" t="str">
        <f>IFERROR(VLOOKUP(ROWS($H$2:H814),F814:G2032,2,0),"")</f>
        <v>Nouadhibou Aerodrome NDB</v>
      </c>
    </row>
    <row r="815" spans="1:8" x14ac:dyDescent="0.25">
      <c r="A815">
        <f>IF(ISNUMBER(SEARCH(Request!$I$19,B815)),MAX($A$1:A814)+1,0)</f>
        <v>814</v>
      </c>
      <c r="B815" s="11" t="s">
        <v>4855</v>
      </c>
      <c r="D815" t="str">
        <f>IFERROR(VLOOKUP(ROWS($D$2:D815),A815:B2033,2,0),"")</f>
        <v>Nouakchott Aerodrome NKO</v>
      </c>
      <c r="F815">
        <f>IF(ISNUMBER(SEARCH(Request!$N$19,G815)),MAX(F$1:$F814)+1,0)</f>
        <v>814</v>
      </c>
      <c r="G815" s="11" t="s">
        <v>4855</v>
      </c>
      <c r="H815" t="str">
        <f>IFERROR(VLOOKUP(ROWS($H$2:H815),F815:G2033,2,0),"")</f>
        <v>Nouakchott Aerodrome NKO</v>
      </c>
    </row>
    <row r="816" spans="1:8" x14ac:dyDescent="0.25">
      <c r="A816">
        <f>IF(ISNUMBER(SEARCH(Request!$I$19,B816)),MAX($A$1:A815)+1,0)</f>
        <v>815</v>
      </c>
      <c r="B816" s="11" t="s">
        <v>4856</v>
      </c>
      <c r="D816" t="str">
        <f>IFERROR(VLOOKUP(ROWS($D$2:D816),A816:B2034,2,0),"")</f>
        <v>Novosibirsk Tolmachevo OVB</v>
      </c>
      <c r="F816">
        <f>IF(ISNUMBER(SEARCH(Request!$N$19,G816)),MAX(F$1:$F815)+1,0)</f>
        <v>815</v>
      </c>
      <c r="G816" s="11" t="s">
        <v>4856</v>
      </c>
      <c r="H816" t="str">
        <f>IFERROR(VLOOKUP(ROWS($H$2:H816),F816:G2034,2,0),"")</f>
        <v>Novosibirsk Tolmachevo OVB</v>
      </c>
    </row>
    <row r="817" spans="1:8" x14ac:dyDescent="0.25">
      <c r="A817">
        <f>IF(ISNUMBER(SEARCH(Request!$I$19,B817)),MAX($A$1:A816)+1,0)</f>
        <v>816</v>
      </c>
      <c r="B817" s="11" t="s">
        <v>4857</v>
      </c>
      <c r="D817" t="str">
        <f>IFERROR(VLOOKUP(ROWS($D$2:D817),A817:B2035,2,0),"")</f>
        <v>Nuevo Laredo – Quetzalcoatl NLD</v>
      </c>
      <c r="F817">
        <f>IF(ISNUMBER(SEARCH(Request!$N$19,G817)),MAX(F$1:$F816)+1,0)</f>
        <v>816</v>
      </c>
      <c r="G817" s="11" t="s">
        <v>4857</v>
      </c>
      <c r="H817" t="str">
        <f>IFERROR(VLOOKUP(ROWS($H$2:H817),F817:G2035,2,0),"")</f>
        <v>Nuevo Laredo – Quetzalcoatl NLD</v>
      </c>
    </row>
    <row r="818" spans="1:8" x14ac:dyDescent="0.25">
      <c r="A818">
        <f>IF(ISNUMBER(SEARCH(Request!$I$19,B818)),MAX($A$1:A817)+1,0)</f>
        <v>817</v>
      </c>
      <c r="B818" s="11" t="s">
        <v>4858</v>
      </c>
      <c r="D818" t="str">
        <f>IFERROR(VLOOKUP(ROWS($D$2:D818),A818:B2036,2,0),"")</f>
        <v>Nuremberg NUE</v>
      </c>
      <c r="F818">
        <f>IF(ISNUMBER(SEARCH(Request!$N$19,G818)),MAX(F$1:$F817)+1,0)</f>
        <v>817</v>
      </c>
      <c r="G818" s="11" t="s">
        <v>4858</v>
      </c>
      <c r="H818" t="str">
        <f>IFERROR(VLOOKUP(ROWS($H$2:H818),F818:G2036,2,0),"")</f>
        <v>Nuremberg NUE</v>
      </c>
    </row>
    <row r="819" spans="1:8" x14ac:dyDescent="0.25">
      <c r="A819">
        <f>IF(ISNUMBER(SEARCH(Request!$I$19,B819)),MAX($A$1:A818)+1,0)</f>
        <v>818</v>
      </c>
      <c r="B819" s="11" t="s">
        <v>4860</v>
      </c>
      <c r="D819" t="str">
        <f>IFERROR(VLOOKUP(ROWS($D$2:D819),A819:B2037,2,0),"")</f>
        <v>Oakland OAK</v>
      </c>
      <c r="F819">
        <f>IF(ISNUMBER(SEARCH(Request!$N$19,G819)),MAX(F$1:$F818)+1,0)</f>
        <v>818</v>
      </c>
      <c r="G819" s="11" t="s">
        <v>4860</v>
      </c>
      <c r="H819" t="str">
        <f>IFERROR(VLOOKUP(ROWS($H$2:H819),F819:G2037,2,0),"")</f>
        <v>Oakland OAK</v>
      </c>
    </row>
    <row r="820" spans="1:8" x14ac:dyDescent="0.25">
      <c r="A820">
        <f>IF(ISNUMBER(SEARCH(Request!$I$19,B820)),MAX($A$1:A819)+1,0)</f>
        <v>819</v>
      </c>
      <c r="B820" s="11" t="s">
        <v>4861</v>
      </c>
      <c r="D820" t="str">
        <f>IFERROR(VLOOKUP(ROWS($D$2:D820),A820:B2038,2,0),"")</f>
        <v>Oaxaca OAX</v>
      </c>
      <c r="F820">
        <f>IF(ISNUMBER(SEARCH(Request!$N$19,G820)),MAX(F$1:$F819)+1,0)</f>
        <v>819</v>
      </c>
      <c r="G820" s="11" t="s">
        <v>4861</v>
      </c>
      <c r="H820" t="str">
        <f>IFERROR(VLOOKUP(ROWS($H$2:H820),F820:G2038,2,0),"")</f>
        <v>Oaxaca OAX</v>
      </c>
    </row>
    <row r="821" spans="1:8" x14ac:dyDescent="0.25">
      <c r="A821">
        <f>IF(ISNUMBER(SEARCH(Request!$I$19,B821)),MAX($A$1:A820)+1,0)</f>
        <v>820</v>
      </c>
      <c r="B821" s="11" t="s">
        <v>4862</v>
      </c>
      <c r="D821" t="str">
        <f>IFERROR(VLOOKUP(ROWS($D$2:D821),A821:B2039,2,0),"")</f>
        <v>Odense ODE</v>
      </c>
      <c r="F821">
        <f>IF(ISNUMBER(SEARCH(Request!$N$19,G821)),MAX(F$1:$F820)+1,0)</f>
        <v>820</v>
      </c>
      <c r="G821" s="11" t="s">
        <v>4862</v>
      </c>
      <c r="H821" t="str">
        <f>IFERROR(VLOOKUP(ROWS($H$2:H821),F821:G2039,2,0),"")</f>
        <v>Odense ODE</v>
      </c>
    </row>
    <row r="822" spans="1:8" x14ac:dyDescent="0.25">
      <c r="A822">
        <f>IF(ISNUMBER(SEARCH(Request!$I$19,B822)),MAX($A$1:A821)+1,0)</f>
        <v>821</v>
      </c>
      <c r="B822" s="11" t="s">
        <v>4863</v>
      </c>
      <c r="D822" t="str">
        <f>IFERROR(VLOOKUP(ROWS($D$2:D822),A822:B2040,2,0),"")</f>
        <v>Odessa ODS</v>
      </c>
      <c r="F822">
        <f>IF(ISNUMBER(SEARCH(Request!$N$19,G822)),MAX(F$1:$F821)+1,0)</f>
        <v>821</v>
      </c>
      <c r="G822" s="11" t="s">
        <v>4863</v>
      </c>
      <c r="H822" t="str">
        <f>IFERROR(VLOOKUP(ROWS($H$2:H822),F822:G2040,2,0),"")</f>
        <v>Odessa ODS</v>
      </c>
    </row>
    <row r="823" spans="1:8" x14ac:dyDescent="0.25">
      <c r="A823">
        <f>IF(ISNUMBER(SEARCH(Request!$I$19,B823)),MAX($A$1:A822)+1,0)</f>
        <v>822</v>
      </c>
      <c r="B823" s="11" t="s">
        <v>4864</v>
      </c>
      <c r="D823" t="str">
        <f>IFERROR(VLOOKUP(ROWS($D$2:D823),A823:B2041,2,0),"")</f>
        <v>Ohrid OHD</v>
      </c>
      <c r="F823">
        <f>IF(ISNUMBER(SEARCH(Request!$N$19,G823)),MAX(F$1:$F822)+1,0)</f>
        <v>822</v>
      </c>
      <c r="G823" s="11" t="s">
        <v>4864</v>
      </c>
      <c r="H823" t="str">
        <f>IFERROR(VLOOKUP(ROWS($H$2:H823),F823:G2041,2,0),"")</f>
        <v>Ohrid OHD</v>
      </c>
    </row>
    <row r="824" spans="1:8" x14ac:dyDescent="0.25">
      <c r="A824">
        <f>IF(ISNUMBER(SEARCH(Request!$I$19,B824)),MAX($A$1:A823)+1,0)</f>
        <v>823</v>
      </c>
      <c r="B824" s="11" t="s">
        <v>4865</v>
      </c>
      <c r="D824" t="str">
        <f>IFERROR(VLOOKUP(ROWS($D$2:D824),A824:B2042,2,0),"")</f>
        <v>Okayama OKJ</v>
      </c>
      <c r="F824">
        <f>IF(ISNUMBER(SEARCH(Request!$N$19,G824)),MAX(F$1:$F823)+1,0)</f>
        <v>823</v>
      </c>
      <c r="G824" s="11" t="s">
        <v>4865</v>
      </c>
      <c r="H824" t="str">
        <f>IFERROR(VLOOKUP(ROWS($H$2:H824),F824:G2042,2,0),"")</f>
        <v>Okayama OKJ</v>
      </c>
    </row>
    <row r="825" spans="1:8" x14ac:dyDescent="0.25">
      <c r="A825">
        <f>IF(ISNUMBER(SEARCH(Request!$I$19,B825)),MAX($A$1:A824)+1,0)</f>
        <v>824</v>
      </c>
      <c r="B825" s="11" t="s">
        <v>4866</v>
      </c>
      <c r="D825" t="str">
        <f>IFERROR(VLOOKUP(ROWS($D$2:D825),A825:B2043,2,0),"")</f>
        <v>Okinawa/Naha OKA</v>
      </c>
      <c r="F825">
        <f>IF(ISNUMBER(SEARCH(Request!$N$19,G825)),MAX(F$1:$F824)+1,0)</f>
        <v>824</v>
      </c>
      <c r="G825" s="11" t="s">
        <v>4866</v>
      </c>
      <c r="H825" t="str">
        <f>IFERROR(VLOOKUP(ROWS($H$2:H825),F825:G2043,2,0),"")</f>
        <v>Okinawa/Naha OKA</v>
      </c>
    </row>
    <row r="826" spans="1:8" x14ac:dyDescent="0.25">
      <c r="A826">
        <f>IF(ISNUMBER(SEARCH(Request!$I$19,B826)),MAX($A$1:A825)+1,0)</f>
        <v>825</v>
      </c>
      <c r="B826" s="11" t="s">
        <v>4867</v>
      </c>
      <c r="D826" t="str">
        <f>IFERROR(VLOOKUP(ROWS($D$2:D826),A826:B2044,2,0),"")</f>
        <v>Oklahoma City-Will Rogers World OKC</v>
      </c>
      <c r="F826">
        <f>IF(ISNUMBER(SEARCH(Request!$N$19,G826)),MAX(F$1:$F825)+1,0)</f>
        <v>825</v>
      </c>
      <c r="G826" s="11" t="s">
        <v>4867</v>
      </c>
      <c r="H826" t="str">
        <f>IFERROR(VLOOKUP(ROWS($H$2:H826),F826:G2044,2,0),"")</f>
        <v>Oklahoma City-Will Rogers World OKC</v>
      </c>
    </row>
    <row r="827" spans="1:8" x14ac:dyDescent="0.25">
      <c r="A827">
        <f>IF(ISNUMBER(SEARCH(Request!$I$19,B827)),MAX($A$1:A826)+1,0)</f>
        <v>826</v>
      </c>
      <c r="B827" s="11" t="s">
        <v>4868</v>
      </c>
      <c r="D827" t="str">
        <f>IFERROR(VLOOKUP(ROWS($D$2:D827),A827:B2045,2,0),"")</f>
        <v>Olbia-Costa Smerelda OLB</v>
      </c>
      <c r="F827">
        <f>IF(ISNUMBER(SEARCH(Request!$N$19,G827)),MAX(F$1:$F826)+1,0)</f>
        <v>826</v>
      </c>
      <c r="G827" s="11" t="s">
        <v>4868</v>
      </c>
      <c r="H827" t="str">
        <f>IFERROR(VLOOKUP(ROWS($H$2:H827),F827:G2045,2,0),"")</f>
        <v>Olbia-Costa Smerelda OLB</v>
      </c>
    </row>
    <row r="828" spans="1:8" x14ac:dyDescent="0.25">
      <c r="A828">
        <f>IF(ISNUMBER(SEARCH(Request!$I$19,B828)),MAX($A$1:A827)+1,0)</f>
        <v>827</v>
      </c>
      <c r="B828" s="11" t="s">
        <v>4869</v>
      </c>
      <c r="D828" t="str">
        <f>IFERROR(VLOOKUP(ROWS($D$2:D828),A828:B2046,2,0),"")</f>
        <v>Omaha-Eppley Airfield OMA</v>
      </c>
      <c r="F828">
        <f>IF(ISNUMBER(SEARCH(Request!$N$19,G828)),MAX(F$1:$F827)+1,0)</f>
        <v>827</v>
      </c>
      <c r="G828" s="11" t="s">
        <v>4869</v>
      </c>
      <c r="H828" t="str">
        <f>IFERROR(VLOOKUP(ROWS($H$2:H828),F828:G2046,2,0),"")</f>
        <v>Omaha-Eppley Airfield OMA</v>
      </c>
    </row>
    <row r="829" spans="1:8" x14ac:dyDescent="0.25">
      <c r="A829">
        <f>IF(ISNUMBER(SEARCH(Request!$I$19,B829)),MAX($A$1:A828)+1,0)</f>
        <v>828</v>
      </c>
      <c r="B829" s="11" t="s">
        <v>4870</v>
      </c>
      <c r="D829" t="str">
        <f>IFERROR(VLOOKUP(ROWS($D$2:D829),A829:B2047,2,0),"")</f>
        <v>Ontario Int´l ONT</v>
      </c>
      <c r="F829">
        <f>IF(ISNUMBER(SEARCH(Request!$N$19,G829)),MAX(F$1:$F828)+1,0)</f>
        <v>828</v>
      </c>
      <c r="G829" s="11" t="s">
        <v>4870</v>
      </c>
      <c r="H829" t="str">
        <f>IFERROR(VLOOKUP(ROWS($H$2:H829),F829:G2047,2,0),"")</f>
        <v>Ontario Int´l ONT</v>
      </c>
    </row>
    <row r="830" spans="1:8" x14ac:dyDescent="0.25">
      <c r="A830">
        <f>IF(ISNUMBER(SEARCH(Request!$I$19,B830)),MAX($A$1:A829)+1,0)</f>
        <v>829</v>
      </c>
      <c r="B830" s="11" t="s">
        <v>4871</v>
      </c>
      <c r="D830" t="str">
        <f>IFERROR(VLOOKUP(ROWS($D$2:D830),A830:B2048,2,0),"")</f>
        <v>Oporto – Fr SA Carneiro OPO</v>
      </c>
      <c r="F830">
        <f>IF(ISNUMBER(SEARCH(Request!$N$19,G830)),MAX(F$1:$F829)+1,0)</f>
        <v>829</v>
      </c>
      <c r="G830" s="11" t="s">
        <v>4871</v>
      </c>
      <c r="H830" t="str">
        <f>IFERROR(VLOOKUP(ROWS($H$2:H830),F830:G2048,2,0),"")</f>
        <v>Oporto – Fr SA Carneiro OPO</v>
      </c>
    </row>
    <row r="831" spans="1:8" x14ac:dyDescent="0.25">
      <c r="A831">
        <f>IF(ISNUMBER(SEARCH(Request!$I$19,B831)),MAX($A$1:A830)+1,0)</f>
        <v>830</v>
      </c>
      <c r="B831" s="11" t="s">
        <v>4872</v>
      </c>
      <c r="D831" t="str">
        <f>IFERROR(VLOOKUP(ROWS($D$2:D831),A831:B2049,2,0),"")</f>
        <v>Orkney Is – Eday Airstrip EOI</v>
      </c>
      <c r="F831">
        <f>IF(ISNUMBER(SEARCH(Request!$N$19,G831)),MAX(F$1:$F830)+1,0)</f>
        <v>830</v>
      </c>
      <c r="G831" s="11" t="s">
        <v>4872</v>
      </c>
      <c r="H831" t="str">
        <f>IFERROR(VLOOKUP(ROWS($H$2:H831),F831:G2049,2,0),"")</f>
        <v>Orkney Is – Eday Airstrip EOI</v>
      </c>
    </row>
    <row r="832" spans="1:8" x14ac:dyDescent="0.25">
      <c r="A832">
        <f>IF(ISNUMBER(SEARCH(Request!$I$19,B832)),MAX($A$1:A831)+1,0)</f>
        <v>831</v>
      </c>
      <c r="B832" s="11" t="s">
        <v>4873</v>
      </c>
      <c r="D832" t="str">
        <f>IFERROR(VLOOKUP(ROWS($D$2:D832),A832:B2050,2,0),"")</f>
        <v>Orkney Is – N Ronaldsay Airstrip NRL</v>
      </c>
      <c r="F832">
        <f>IF(ISNUMBER(SEARCH(Request!$N$19,G832)),MAX(F$1:$F831)+1,0)</f>
        <v>831</v>
      </c>
      <c r="G832" s="11" t="s">
        <v>4873</v>
      </c>
      <c r="H832" t="str">
        <f>IFERROR(VLOOKUP(ROWS($H$2:H832),F832:G2050,2,0),"")</f>
        <v>Orkney Is – N Ronaldsay Airstrip NRL</v>
      </c>
    </row>
    <row r="833" spans="1:8" x14ac:dyDescent="0.25">
      <c r="A833">
        <f>IF(ISNUMBER(SEARCH(Request!$I$19,B833)),MAX($A$1:A832)+1,0)</f>
        <v>832</v>
      </c>
      <c r="B833" s="11" t="s">
        <v>4874</v>
      </c>
      <c r="D833" t="str">
        <f>IFERROR(VLOOKUP(ROWS($D$2:D833),A833:B2051,2,0),"")</f>
        <v>Orlando MCO</v>
      </c>
      <c r="F833">
        <f>IF(ISNUMBER(SEARCH(Request!$N$19,G833)),MAX(F$1:$F832)+1,0)</f>
        <v>832</v>
      </c>
      <c r="G833" s="11" t="s">
        <v>4874</v>
      </c>
      <c r="H833" t="str">
        <f>IFERROR(VLOOKUP(ROWS($H$2:H833),F833:G2051,2,0),"")</f>
        <v>Orlando MCO</v>
      </c>
    </row>
    <row r="834" spans="1:8" x14ac:dyDescent="0.25">
      <c r="A834">
        <f>IF(ISNUMBER(SEARCH(Request!$I$19,B834)),MAX($A$1:A833)+1,0)</f>
        <v>833</v>
      </c>
      <c r="B834" s="11" t="s">
        <v>4875</v>
      </c>
      <c r="D834" t="str">
        <f>IFERROR(VLOOKUP(ROWS($D$2:D834),A834:B2052,2,0),"")</f>
        <v>Orlando/Sanford Central Florida Regional SFB</v>
      </c>
      <c r="F834">
        <f>IF(ISNUMBER(SEARCH(Request!$N$19,G834)),MAX(F$1:$F833)+1,0)</f>
        <v>833</v>
      </c>
      <c r="G834" s="11" t="s">
        <v>4875</v>
      </c>
      <c r="H834" t="str">
        <f>IFERROR(VLOOKUP(ROWS($H$2:H834),F834:G2052,2,0),"")</f>
        <v>Orlando/Sanford Central Florida Regional SFB</v>
      </c>
    </row>
    <row r="835" spans="1:8" x14ac:dyDescent="0.25">
      <c r="A835">
        <f>IF(ISNUMBER(SEARCH(Request!$I$19,B835)),MAX($A$1:A834)+1,0)</f>
        <v>834</v>
      </c>
      <c r="B835" s="11" t="s">
        <v>5259</v>
      </c>
      <c r="D835" t="str">
        <f>IFERROR(VLOOKUP(ROWS($D$2:D835),A835:B2053,2,0),"")</f>
        <v>Örnsköldsvik OER</v>
      </c>
      <c r="F835">
        <f>IF(ISNUMBER(SEARCH(Request!$N$19,G835)),MAX(F$1:$F834)+1,0)</f>
        <v>834</v>
      </c>
      <c r="G835" s="11" t="s">
        <v>5259</v>
      </c>
      <c r="H835" t="str">
        <f>IFERROR(VLOOKUP(ROWS($H$2:H835),F835:G2053,2,0),"")</f>
        <v>Örnsköldsvik OER</v>
      </c>
    </row>
    <row r="836" spans="1:8" x14ac:dyDescent="0.25">
      <c r="A836">
        <f>IF(ISNUMBER(SEARCH(Request!$I$19,B836)),MAX($A$1:A835)+1,0)</f>
        <v>835</v>
      </c>
      <c r="B836" s="11" t="s">
        <v>4876</v>
      </c>
      <c r="D836" t="str">
        <f>IFERROR(VLOOKUP(ROWS($D$2:D836),A836:B2054,2,0),"")</f>
        <v>Osaka – Itami ITM</v>
      </c>
      <c r="F836">
        <f>IF(ISNUMBER(SEARCH(Request!$N$19,G836)),MAX(F$1:$F835)+1,0)</f>
        <v>835</v>
      </c>
      <c r="G836" s="11" t="s">
        <v>4876</v>
      </c>
      <c r="H836" t="str">
        <f>IFERROR(VLOOKUP(ROWS($H$2:H836),F836:G2054,2,0),"")</f>
        <v>Osaka – Itami ITM</v>
      </c>
    </row>
    <row r="837" spans="1:8" x14ac:dyDescent="0.25">
      <c r="A837">
        <f>IF(ISNUMBER(SEARCH(Request!$I$19,B837)),MAX($A$1:A836)+1,0)</f>
        <v>836</v>
      </c>
      <c r="B837" s="11" t="s">
        <v>4877</v>
      </c>
      <c r="D837" t="str">
        <f>IFERROR(VLOOKUP(ROWS($D$2:D837),A837:B2055,2,0),"")</f>
        <v>Osaka – Kansai Co Ltd KIX</v>
      </c>
      <c r="F837">
        <f>IF(ISNUMBER(SEARCH(Request!$N$19,G837)),MAX(F$1:$F836)+1,0)</f>
        <v>836</v>
      </c>
      <c r="G837" s="11" t="s">
        <v>4877</v>
      </c>
      <c r="H837" t="str">
        <f>IFERROR(VLOOKUP(ROWS($H$2:H837),F837:G2055,2,0),"")</f>
        <v>Osaka – Kansai Co Ltd KIX</v>
      </c>
    </row>
    <row r="838" spans="1:8" x14ac:dyDescent="0.25">
      <c r="A838">
        <f>IF(ISNUMBER(SEARCH(Request!$I$19,B838)),MAX($A$1:A837)+1,0)</f>
        <v>837</v>
      </c>
      <c r="B838" s="11" t="s">
        <v>4878</v>
      </c>
      <c r="D838" t="str">
        <f>IFERROR(VLOOKUP(ROWS($D$2:D838),A838:B2056,2,0),"")</f>
        <v>Oslo – Gardermoen GEN</v>
      </c>
      <c r="F838">
        <f>IF(ISNUMBER(SEARCH(Request!$N$19,G838)),MAX(F$1:$F837)+1,0)</f>
        <v>837</v>
      </c>
      <c r="G838" s="11" t="s">
        <v>4878</v>
      </c>
      <c r="H838" t="str">
        <f>IFERROR(VLOOKUP(ROWS($H$2:H838),F838:G2056,2,0),"")</f>
        <v>Oslo – Gardermoen GEN</v>
      </c>
    </row>
    <row r="839" spans="1:8" x14ac:dyDescent="0.25">
      <c r="A839">
        <f>IF(ISNUMBER(SEARCH(Request!$I$19,B839)),MAX($A$1:A838)+1,0)</f>
        <v>838</v>
      </c>
      <c r="B839" s="11" t="s">
        <v>4879</v>
      </c>
      <c r="D839" t="str">
        <f>IFERROR(VLOOKUP(ROWS($D$2:D839),A839:B2057,2,0),"")</f>
        <v>Ostend OST</v>
      </c>
      <c r="F839">
        <f>IF(ISNUMBER(SEARCH(Request!$N$19,G839)),MAX(F$1:$F838)+1,0)</f>
        <v>838</v>
      </c>
      <c r="G839" s="11" t="s">
        <v>4879</v>
      </c>
      <c r="H839" t="str">
        <f>IFERROR(VLOOKUP(ROWS($H$2:H839),F839:G2057,2,0),"")</f>
        <v>Ostend OST</v>
      </c>
    </row>
    <row r="840" spans="1:8" x14ac:dyDescent="0.25">
      <c r="A840">
        <f>IF(ISNUMBER(SEARCH(Request!$I$19,B840)),MAX($A$1:A839)+1,0)</f>
        <v>839</v>
      </c>
      <c r="B840" s="11" t="s">
        <v>5260</v>
      </c>
      <c r="D840" t="str">
        <f>IFERROR(VLOOKUP(ROWS($D$2:D840),A840:B2058,2,0),"")</f>
        <v>Östersund OSD</v>
      </c>
      <c r="F840">
        <f>IF(ISNUMBER(SEARCH(Request!$N$19,G840)),MAX(F$1:$F839)+1,0)</f>
        <v>839</v>
      </c>
      <c r="G840" s="11" t="s">
        <v>5260</v>
      </c>
      <c r="H840" t="str">
        <f>IFERROR(VLOOKUP(ROWS($H$2:H840),F840:G2058,2,0),"")</f>
        <v>Östersund OSD</v>
      </c>
    </row>
    <row r="841" spans="1:8" x14ac:dyDescent="0.25">
      <c r="A841">
        <f>IF(ISNUMBER(SEARCH(Request!$I$19,B841)),MAX($A$1:A840)+1,0)</f>
        <v>840</v>
      </c>
      <c r="B841" s="11" t="s">
        <v>4880</v>
      </c>
      <c r="D841" t="str">
        <f>IFERROR(VLOOKUP(ROWS($D$2:D841),A841:B2059,2,0),"")</f>
        <v>Ostrava Int´l OSR</v>
      </c>
      <c r="F841">
        <f>IF(ISNUMBER(SEARCH(Request!$N$19,G841)),MAX(F$1:$F840)+1,0)</f>
        <v>840</v>
      </c>
      <c r="G841" s="11" t="s">
        <v>4880</v>
      </c>
      <c r="H841" t="str">
        <f>IFERROR(VLOOKUP(ROWS($H$2:H841),F841:G2059,2,0),"")</f>
        <v>Ostrava Int´l OSR</v>
      </c>
    </row>
    <row r="842" spans="1:8" x14ac:dyDescent="0.25">
      <c r="A842">
        <f>IF(ISNUMBER(SEARCH(Request!$I$19,B842)),MAX($A$1:A841)+1,0)</f>
        <v>841</v>
      </c>
      <c r="B842" s="11" t="s">
        <v>4881</v>
      </c>
      <c r="D842" t="str">
        <f>IFERROR(VLOOKUP(ROWS($D$2:D842),A842:B2060,2,0),"")</f>
        <v>Ottawa YOW</v>
      </c>
      <c r="F842">
        <f>IF(ISNUMBER(SEARCH(Request!$N$19,G842)),MAX(F$1:$F841)+1,0)</f>
        <v>841</v>
      </c>
      <c r="G842" s="11" t="s">
        <v>4881</v>
      </c>
      <c r="H842" t="str">
        <f>IFERROR(VLOOKUP(ROWS($H$2:H842),F842:G2060,2,0),"")</f>
        <v>Ottawa YOW</v>
      </c>
    </row>
    <row r="843" spans="1:8" x14ac:dyDescent="0.25">
      <c r="A843">
        <f>IF(ISNUMBER(SEARCH(Request!$I$19,B843)),MAX($A$1:A842)+1,0)</f>
        <v>842</v>
      </c>
      <c r="B843" s="11" t="s">
        <v>4882</v>
      </c>
      <c r="D843" t="str">
        <f>IFERROR(VLOOKUP(ROWS($D$2:D843),A843:B2061,2,0),"")</f>
        <v>Ouagadougou OUA</v>
      </c>
      <c r="F843">
        <f>IF(ISNUMBER(SEARCH(Request!$N$19,G843)),MAX(F$1:$F842)+1,0)</f>
        <v>842</v>
      </c>
      <c r="G843" s="11" t="s">
        <v>4882</v>
      </c>
      <c r="H843" t="str">
        <f>IFERROR(VLOOKUP(ROWS($H$2:H843),F843:G2061,2,0),"")</f>
        <v>Ouagadougou OUA</v>
      </c>
    </row>
    <row r="844" spans="1:8" x14ac:dyDescent="0.25">
      <c r="A844">
        <f>IF(ISNUMBER(SEARCH(Request!$I$19,B844)),MAX($A$1:A843)+1,0)</f>
        <v>843</v>
      </c>
      <c r="B844" s="11" t="s">
        <v>4883</v>
      </c>
      <c r="D844" t="str">
        <f>IFERROR(VLOOKUP(ROWS($D$2:D844),A844:B2062,2,0),"")</f>
        <v>Ouarzazate OZZ</v>
      </c>
      <c r="F844">
        <f>IF(ISNUMBER(SEARCH(Request!$N$19,G844)),MAX(F$1:$F843)+1,0)</f>
        <v>843</v>
      </c>
      <c r="G844" s="11" t="s">
        <v>4883</v>
      </c>
      <c r="H844" t="str">
        <f>IFERROR(VLOOKUP(ROWS($H$2:H844),F844:G2062,2,0),"")</f>
        <v>Ouarzazate OZZ</v>
      </c>
    </row>
    <row r="845" spans="1:8" x14ac:dyDescent="0.25">
      <c r="A845">
        <f>IF(ISNUMBER(SEARCH(Request!$I$19,B845)),MAX($A$1:A844)+1,0)</f>
        <v>844</v>
      </c>
      <c r="B845" s="11" t="s">
        <v>4884</v>
      </c>
      <c r="D845" t="str">
        <f>IFERROR(VLOOKUP(ROWS($D$2:D845),A845:B2063,2,0),"")</f>
        <v>Oujda Angads OUD</v>
      </c>
      <c r="F845">
        <f>IF(ISNUMBER(SEARCH(Request!$N$19,G845)),MAX(F$1:$F844)+1,0)</f>
        <v>844</v>
      </c>
      <c r="G845" s="11" t="s">
        <v>4884</v>
      </c>
      <c r="H845" t="str">
        <f>IFERROR(VLOOKUP(ROWS($H$2:H845),F845:G2063,2,0),"")</f>
        <v>Oujda Angads OUD</v>
      </c>
    </row>
    <row r="846" spans="1:8" x14ac:dyDescent="0.25">
      <c r="A846">
        <f>IF(ISNUMBER(SEARCH(Request!$I$19,B846)),MAX($A$1:A845)+1,0)</f>
        <v>845</v>
      </c>
      <c r="B846" s="11" t="s">
        <v>4885</v>
      </c>
      <c r="D846" t="str">
        <f>IFERROR(VLOOKUP(ROWS($D$2:D846),A846:B2064,2,0),"")</f>
        <v>Oulu OUL</v>
      </c>
      <c r="F846">
        <f>IF(ISNUMBER(SEARCH(Request!$N$19,G846)),MAX(F$1:$F845)+1,0)</f>
        <v>845</v>
      </c>
      <c r="G846" s="11" t="s">
        <v>4885</v>
      </c>
      <c r="H846" t="str">
        <f>IFERROR(VLOOKUP(ROWS($H$2:H846),F846:G2064,2,0),"")</f>
        <v>Oulu OUL</v>
      </c>
    </row>
    <row r="847" spans="1:8" x14ac:dyDescent="0.25">
      <c r="A847">
        <f>IF(ISNUMBER(SEARCH(Request!$I$19,B847)),MAX($A$1:A846)+1,0)</f>
        <v>846</v>
      </c>
      <c r="B847" s="11" t="s">
        <v>4886</v>
      </c>
      <c r="D847" t="str">
        <f>IFERROR(VLOOKUP(ROWS($D$2:D847),A847:B2065,2,0),"")</f>
        <v>Oxford OXF</v>
      </c>
      <c r="F847">
        <f>IF(ISNUMBER(SEARCH(Request!$N$19,G847)),MAX(F$1:$F846)+1,0)</f>
        <v>846</v>
      </c>
      <c r="G847" s="11" t="s">
        <v>4886</v>
      </c>
      <c r="H847" t="str">
        <f>IFERROR(VLOOKUP(ROWS($H$2:H847),F847:G2065,2,0),"")</f>
        <v>Oxford OXF</v>
      </c>
    </row>
    <row r="848" spans="1:8" x14ac:dyDescent="0.25">
      <c r="A848">
        <f>IF(ISNUMBER(SEARCH(Request!$I$19,B848)),MAX($A$1:A847)+1,0)</f>
        <v>847</v>
      </c>
      <c r="B848" s="11" t="s">
        <v>4966</v>
      </c>
      <c r="D848" t="str">
        <f>IFERROR(VLOOKUP(ROWS($D$2:D848),A848:B2066,2,0),"")</f>
        <v>P´yongyang-Sunan FNJ</v>
      </c>
      <c r="F848">
        <f>IF(ISNUMBER(SEARCH(Request!$N$19,G848)),MAX(F$1:$F847)+1,0)</f>
        <v>847</v>
      </c>
      <c r="G848" s="11" t="s">
        <v>4966</v>
      </c>
      <c r="H848" t="str">
        <f>IFERROR(VLOOKUP(ROWS($H$2:H848),F848:G2066,2,0),"")</f>
        <v>P´yongyang-Sunan FNJ</v>
      </c>
    </row>
    <row r="849" spans="1:8" x14ac:dyDescent="0.25">
      <c r="A849">
        <f>IF(ISNUMBER(SEARCH(Request!$I$19,B849)),MAX($A$1:A848)+1,0)</f>
        <v>848</v>
      </c>
      <c r="B849" s="11" t="s">
        <v>4887</v>
      </c>
      <c r="D849" t="str">
        <f>IFERROR(VLOOKUP(ROWS($D$2:D849),A849:B2067,2,0),"")</f>
        <v>Paderborn/Lippstadt PAD</v>
      </c>
      <c r="F849">
        <f>IF(ISNUMBER(SEARCH(Request!$N$19,G849)),MAX(F$1:$F848)+1,0)</f>
        <v>848</v>
      </c>
      <c r="G849" s="11" t="s">
        <v>4887</v>
      </c>
      <c r="H849" t="str">
        <f>IFERROR(VLOOKUP(ROWS($H$2:H849),F849:G2067,2,0),"")</f>
        <v>Paderborn/Lippstadt PAD</v>
      </c>
    </row>
    <row r="850" spans="1:8" x14ac:dyDescent="0.25">
      <c r="A850">
        <f>IF(ISNUMBER(SEARCH(Request!$I$19,B850)),MAX($A$1:A849)+1,0)</f>
        <v>849</v>
      </c>
      <c r="B850" s="11" t="s">
        <v>4888</v>
      </c>
      <c r="D850" t="str">
        <f>IFERROR(VLOOKUP(ROWS($D$2:D850),A850:B2068,2,0),"")</f>
        <v>Pago Pago PPG</v>
      </c>
      <c r="F850">
        <f>IF(ISNUMBER(SEARCH(Request!$N$19,G850)),MAX(F$1:$F849)+1,0)</f>
        <v>849</v>
      </c>
      <c r="G850" s="11" t="s">
        <v>4888</v>
      </c>
      <c r="H850" t="str">
        <f>IFERROR(VLOOKUP(ROWS($H$2:H850),F850:G2068,2,0),"")</f>
        <v>Pago Pago PPG</v>
      </c>
    </row>
    <row r="851" spans="1:8" x14ac:dyDescent="0.25">
      <c r="A851">
        <f>IF(ISNUMBER(SEARCH(Request!$I$19,B851)),MAX($A$1:A850)+1,0)</f>
        <v>850</v>
      </c>
      <c r="B851" s="11" t="s">
        <v>4889</v>
      </c>
      <c r="D851" t="str">
        <f>IFERROR(VLOOKUP(ROWS($D$2:D851),A851:B2069,2,0),"")</f>
        <v>Palanga PLQ</v>
      </c>
      <c r="F851">
        <f>IF(ISNUMBER(SEARCH(Request!$N$19,G851)),MAX(F$1:$F850)+1,0)</f>
        <v>850</v>
      </c>
      <c r="G851" s="11" t="s">
        <v>4889</v>
      </c>
      <c r="H851" t="str">
        <f>IFERROR(VLOOKUP(ROWS($H$2:H851),F851:G2069,2,0),"")</f>
        <v>Palanga PLQ</v>
      </c>
    </row>
    <row r="852" spans="1:8" x14ac:dyDescent="0.25">
      <c r="A852">
        <f>IF(ISNUMBER(SEARCH(Request!$I$19,B852)),MAX($A$1:A851)+1,0)</f>
        <v>851</v>
      </c>
      <c r="B852" s="11" t="s">
        <v>4890</v>
      </c>
      <c r="D852" t="str">
        <f>IFERROR(VLOOKUP(ROWS($D$2:D852),A852:B2070,2,0),"")</f>
        <v>Palembang – Sultan Mahmud Badaruddin II PLM</v>
      </c>
      <c r="F852">
        <f>IF(ISNUMBER(SEARCH(Request!$N$19,G852)),MAX(F$1:$F851)+1,0)</f>
        <v>851</v>
      </c>
      <c r="G852" s="11" t="s">
        <v>4890</v>
      </c>
      <c r="H852" t="str">
        <f>IFERROR(VLOOKUP(ROWS($H$2:H852),F852:G2070,2,0),"")</f>
        <v>Palembang – Sultan Mahmud Badaruddin II PLM</v>
      </c>
    </row>
    <row r="853" spans="1:8" x14ac:dyDescent="0.25">
      <c r="A853">
        <f>IF(ISNUMBER(SEARCH(Request!$I$19,B853)),MAX($A$1:A852)+1,0)</f>
        <v>852</v>
      </c>
      <c r="B853" s="11" t="s">
        <v>4891</v>
      </c>
      <c r="D853" t="str">
        <f>IFERROR(VLOOKUP(ROWS($D$2:D853),A853:B2071,2,0),"")</f>
        <v>Palermo -o Falcone e Borsellino PMO</v>
      </c>
      <c r="F853">
        <f>IF(ISNUMBER(SEARCH(Request!$N$19,G853)),MAX(F$1:$F852)+1,0)</f>
        <v>852</v>
      </c>
      <c r="G853" s="11" t="s">
        <v>4891</v>
      </c>
      <c r="H853" t="str">
        <f>IFERROR(VLOOKUP(ROWS($H$2:H853),F853:G2071,2,0),"")</f>
        <v>Palermo -o Falcone e Borsellino PMO</v>
      </c>
    </row>
    <row r="854" spans="1:8" x14ac:dyDescent="0.25">
      <c r="A854">
        <f>IF(ISNUMBER(SEARCH(Request!$I$19,B854)),MAX($A$1:A853)+1,0)</f>
        <v>853</v>
      </c>
      <c r="B854" s="11" t="s">
        <v>4892</v>
      </c>
      <c r="D854" t="str">
        <f>IFERROR(VLOOKUP(ROWS($D$2:D854),A854:B2072,2,0),"")</f>
        <v>Palm Beach Int´l PBI</v>
      </c>
      <c r="F854">
        <f>IF(ISNUMBER(SEARCH(Request!$N$19,G854)),MAX(F$1:$F853)+1,0)</f>
        <v>853</v>
      </c>
      <c r="G854" s="11" t="s">
        <v>4892</v>
      </c>
      <c r="H854" t="str">
        <f>IFERROR(VLOOKUP(ROWS($H$2:H854),F854:G2072,2,0),"")</f>
        <v>Palm Beach Int´l PBI</v>
      </c>
    </row>
    <row r="855" spans="1:8" x14ac:dyDescent="0.25">
      <c r="A855">
        <f>IF(ISNUMBER(SEARCH(Request!$I$19,B855)),MAX($A$1:A854)+1,0)</f>
        <v>854</v>
      </c>
      <c r="B855" s="11" t="s">
        <v>4893</v>
      </c>
      <c r="D855" t="str">
        <f>IFERROR(VLOOKUP(ROWS($D$2:D855),A855:B2073,2,0),"")</f>
        <v>Palm Springs Regional PSP</v>
      </c>
      <c r="F855">
        <f>IF(ISNUMBER(SEARCH(Request!$N$19,G855)),MAX(F$1:$F854)+1,0)</f>
        <v>854</v>
      </c>
      <c r="G855" s="11" t="s">
        <v>4893</v>
      </c>
      <c r="H855" t="str">
        <f>IFERROR(VLOOKUP(ROWS($H$2:H855),F855:G2073,2,0),"")</f>
        <v>Palm Springs Regional PSP</v>
      </c>
    </row>
    <row r="856" spans="1:8" x14ac:dyDescent="0.25">
      <c r="A856">
        <f>IF(ISNUMBER(SEARCH(Request!$I$19,B856)),MAX($A$1:A855)+1,0)</f>
        <v>855</v>
      </c>
      <c r="B856" s="11" t="s">
        <v>4894</v>
      </c>
      <c r="D856" t="str">
        <f>IFERROR(VLOOKUP(ROWS($D$2:D856),A856:B2074,2,0),"")</f>
        <v>Palma De Mallorca PMI</v>
      </c>
      <c r="F856">
        <f>IF(ISNUMBER(SEARCH(Request!$N$19,G856)),MAX(F$1:$F855)+1,0)</f>
        <v>855</v>
      </c>
      <c r="G856" s="11" t="s">
        <v>4894</v>
      </c>
      <c r="H856" t="str">
        <f>IFERROR(VLOOKUP(ROWS($H$2:H856),F856:G2074,2,0),"")</f>
        <v>Palma De Mallorca PMI</v>
      </c>
    </row>
    <row r="857" spans="1:8" x14ac:dyDescent="0.25">
      <c r="A857">
        <f>IF(ISNUMBER(SEARCH(Request!$I$19,B857)),MAX($A$1:A856)+1,0)</f>
        <v>856</v>
      </c>
      <c r="B857" s="11" t="s">
        <v>4895</v>
      </c>
      <c r="D857" t="str">
        <f>IFERROR(VLOOKUP(ROWS($D$2:D857),A857:B2075,2,0),"")</f>
        <v>Pamplona PNA</v>
      </c>
      <c r="F857">
        <f>IF(ISNUMBER(SEARCH(Request!$N$19,G857)),MAX(F$1:$F856)+1,0)</f>
        <v>856</v>
      </c>
      <c r="G857" s="11" t="s">
        <v>4895</v>
      </c>
      <c r="H857" t="str">
        <f>IFERROR(VLOOKUP(ROWS($H$2:H857),F857:G2075,2,0),"")</f>
        <v>Pamplona PNA</v>
      </c>
    </row>
    <row r="858" spans="1:8" x14ac:dyDescent="0.25">
      <c r="A858">
        <f>IF(ISNUMBER(SEARCH(Request!$I$19,B858)),MAX($A$1:A857)+1,0)</f>
        <v>857</v>
      </c>
      <c r="B858" s="11" t="s">
        <v>4897</v>
      </c>
      <c r="D858" t="str">
        <f>IFERROR(VLOOKUP(ROWS($D$2:D858),A858:B2076,2,0),"")</f>
        <v>Panama City/Bay County Int´l PFN</v>
      </c>
      <c r="F858">
        <f>IF(ISNUMBER(SEARCH(Request!$N$19,G858)),MAX(F$1:$F857)+1,0)</f>
        <v>857</v>
      </c>
      <c r="G858" s="11" t="s">
        <v>4897</v>
      </c>
      <c r="H858" t="str">
        <f>IFERROR(VLOOKUP(ROWS($H$2:H858),F858:G2076,2,0),"")</f>
        <v>Panama City/Bay County Int´l PFN</v>
      </c>
    </row>
    <row r="859" spans="1:8" x14ac:dyDescent="0.25">
      <c r="A859">
        <f>IF(ISNUMBER(SEARCH(Request!$I$19,B859)),MAX($A$1:A858)+1,0)</f>
        <v>858</v>
      </c>
      <c r="B859" s="11" t="s">
        <v>4896</v>
      </c>
      <c r="D859" t="str">
        <f>IFERROR(VLOOKUP(ROWS($D$2:D859),A859:B2077,2,0),"")</f>
        <v>Panama City-Tocumen PTY</v>
      </c>
      <c r="F859">
        <f>IF(ISNUMBER(SEARCH(Request!$N$19,G859)),MAX(F$1:$F858)+1,0)</f>
        <v>858</v>
      </c>
      <c r="G859" s="11" t="s">
        <v>4896</v>
      </c>
      <c r="H859" t="str">
        <f>IFERROR(VLOOKUP(ROWS($H$2:H859),F859:G2077,2,0),"")</f>
        <v>Panama City-Tocumen PTY</v>
      </c>
    </row>
    <row r="860" spans="1:8" x14ac:dyDescent="0.25">
      <c r="A860">
        <f>IF(ISNUMBER(SEARCH(Request!$I$19,B860)),MAX($A$1:A859)+1,0)</f>
        <v>859</v>
      </c>
      <c r="B860" s="11" t="s">
        <v>4898</v>
      </c>
      <c r="D860" t="str">
        <f>IFERROR(VLOOKUP(ROWS($D$2:D860),A860:B2078,2,0),"")</f>
        <v>Paphos PFO</v>
      </c>
      <c r="F860">
        <f>IF(ISNUMBER(SEARCH(Request!$N$19,G860)),MAX(F$1:$F859)+1,0)</f>
        <v>859</v>
      </c>
      <c r="G860" s="11" t="s">
        <v>4898</v>
      </c>
      <c r="H860" t="str">
        <f>IFERROR(VLOOKUP(ROWS($H$2:H860),F860:G2078,2,0),"")</f>
        <v>Paphos PFO</v>
      </c>
    </row>
    <row r="861" spans="1:8" x14ac:dyDescent="0.25">
      <c r="A861">
        <f>IF(ISNUMBER(SEARCH(Request!$I$19,B861)),MAX($A$1:A860)+1,0)</f>
        <v>860</v>
      </c>
      <c r="B861" s="11" t="s">
        <v>4899</v>
      </c>
      <c r="D861" t="str">
        <f>IFERROR(VLOOKUP(ROWS($D$2:D861),A861:B2079,2,0),"")</f>
        <v>Paramaribo – Johan Adolf Pengel Int´l PBM</v>
      </c>
      <c r="F861">
        <f>IF(ISNUMBER(SEARCH(Request!$N$19,G861)),MAX(F$1:$F860)+1,0)</f>
        <v>860</v>
      </c>
      <c r="G861" s="11" t="s">
        <v>4899</v>
      </c>
      <c r="H861" t="str">
        <f>IFERROR(VLOOKUP(ROWS($H$2:H861),F861:G2079,2,0),"")</f>
        <v>Paramaribo – Johan Adolf Pengel Int´l PBM</v>
      </c>
    </row>
    <row r="862" spans="1:8" x14ac:dyDescent="0.25">
      <c r="A862">
        <f>IF(ISNUMBER(SEARCH(Request!$I$19,B862)),MAX($A$1:A861)+1,0)</f>
        <v>861</v>
      </c>
      <c r="B862" s="11" t="s">
        <v>4900</v>
      </c>
      <c r="D862" t="str">
        <f>IFERROR(VLOOKUP(ROWS($D$2:D862),A862:B2080,2,0),"")</f>
        <v>Pardubice PED</v>
      </c>
      <c r="F862">
        <f>IF(ISNUMBER(SEARCH(Request!$N$19,G862)),MAX(F$1:$F861)+1,0)</f>
        <v>861</v>
      </c>
      <c r="G862" s="11" t="s">
        <v>4900</v>
      </c>
      <c r="H862" t="str">
        <f>IFERROR(VLOOKUP(ROWS($H$2:H862),F862:G2080,2,0),"")</f>
        <v>Pardubice PED</v>
      </c>
    </row>
    <row r="863" spans="1:8" x14ac:dyDescent="0.25">
      <c r="A863">
        <f>IF(ISNUMBER(SEARCH(Request!$I$19,B863)),MAX($A$1:A862)+1,0)</f>
        <v>862</v>
      </c>
      <c r="B863" s="11" t="s">
        <v>4901</v>
      </c>
      <c r="D863" t="str">
        <f>IFERROR(VLOOKUP(ROWS($D$2:D863),A863:B2081,2,0),"")</f>
        <v>Paris – Charles De Gaulle CDG</v>
      </c>
      <c r="F863">
        <f>IF(ISNUMBER(SEARCH(Request!$N$19,G863)),MAX(F$1:$F862)+1,0)</f>
        <v>862</v>
      </c>
      <c r="G863" s="11" t="s">
        <v>4901</v>
      </c>
      <c r="H863" t="str">
        <f>IFERROR(VLOOKUP(ROWS($H$2:H863),F863:G2081,2,0),"")</f>
        <v>Paris – Charles De Gaulle CDG</v>
      </c>
    </row>
    <row r="864" spans="1:8" x14ac:dyDescent="0.25">
      <c r="A864">
        <f>IF(ISNUMBER(SEARCH(Request!$I$19,B864)),MAX($A$1:A863)+1,0)</f>
        <v>863</v>
      </c>
      <c r="B864" s="11" t="s">
        <v>4902</v>
      </c>
      <c r="D864" t="str">
        <f>IFERROR(VLOOKUP(ROWS($D$2:D864),A864:B2082,2,0),"")</f>
        <v>Paris – Orly ORY</v>
      </c>
      <c r="F864">
        <f>IF(ISNUMBER(SEARCH(Request!$N$19,G864)),MAX(F$1:$F863)+1,0)</f>
        <v>863</v>
      </c>
      <c r="G864" s="11" t="s">
        <v>4902</v>
      </c>
      <c r="H864" t="str">
        <f>IFERROR(VLOOKUP(ROWS($H$2:H864),F864:G2082,2,0),"")</f>
        <v>Paris – Orly ORY</v>
      </c>
    </row>
    <row r="865" spans="1:8" x14ac:dyDescent="0.25">
      <c r="A865">
        <f>IF(ISNUMBER(SEARCH(Request!$I$19,B865)),MAX($A$1:A864)+1,0)</f>
        <v>864</v>
      </c>
      <c r="B865" s="11" t="s">
        <v>4903</v>
      </c>
      <c r="D865" t="str">
        <f>IFERROR(VLOOKUP(ROWS($D$2:D865),A865:B2083,2,0),"")</f>
        <v>Paris – Pontoise POX</v>
      </c>
      <c r="F865">
        <f>IF(ISNUMBER(SEARCH(Request!$N$19,G865)),MAX(F$1:$F864)+1,0)</f>
        <v>864</v>
      </c>
      <c r="G865" s="11" t="s">
        <v>4903</v>
      </c>
      <c r="H865" t="str">
        <f>IFERROR(VLOOKUP(ROWS($H$2:H865),F865:G2083,2,0),"")</f>
        <v>Paris – Pontoise POX</v>
      </c>
    </row>
    <row r="866" spans="1:8" x14ac:dyDescent="0.25">
      <c r="A866">
        <f>IF(ISNUMBER(SEARCH(Request!$I$19,B866)),MAX($A$1:A865)+1,0)</f>
        <v>865</v>
      </c>
      <c r="B866" s="11" t="s">
        <v>4904</v>
      </c>
      <c r="D866" t="str">
        <f>IFERROR(VLOOKUP(ROWS($D$2:D866),A866:B2084,2,0),"")</f>
        <v>Parkersburg – Mid-Ohio Valley Regional PKB</v>
      </c>
      <c r="F866">
        <f>IF(ISNUMBER(SEARCH(Request!$N$19,G866)),MAX(F$1:$F865)+1,0)</f>
        <v>865</v>
      </c>
      <c r="G866" s="11" t="s">
        <v>4904</v>
      </c>
      <c r="H866" t="str">
        <f>IFERROR(VLOOKUP(ROWS($H$2:H866),F866:G2084,2,0),"")</f>
        <v>Parkersburg – Mid-Ohio Valley Regional PKB</v>
      </c>
    </row>
    <row r="867" spans="1:8" x14ac:dyDescent="0.25">
      <c r="A867">
        <f>IF(ISNUMBER(SEARCH(Request!$I$19,B867)),MAX($A$1:A866)+1,0)</f>
        <v>866</v>
      </c>
      <c r="B867" s="11" t="s">
        <v>4905</v>
      </c>
      <c r="D867" t="str">
        <f>IFERROR(VLOOKUP(ROWS($D$2:D867),A867:B2085,2,0),"")</f>
        <v>Paro PBH</v>
      </c>
      <c r="F867">
        <f>IF(ISNUMBER(SEARCH(Request!$N$19,G867)),MAX(F$1:$F866)+1,0)</f>
        <v>866</v>
      </c>
      <c r="G867" s="11" t="s">
        <v>4905</v>
      </c>
      <c r="H867" t="str">
        <f>IFERROR(VLOOKUP(ROWS($H$2:H867),F867:G2085,2,0),"")</f>
        <v>Paro PBH</v>
      </c>
    </row>
    <row r="868" spans="1:8" x14ac:dyDescent="0.25">
      <c r="A868">
        <f>IF(ISNUMBER(SEARCH(Request!$I$19,B868)),MAX($A$1:A867)+1,0)</f>
        <v>867</v>
      </c>
      <c r="B868" s="11" t="s">
        <v>4906</v>
      </c>
      <c r="D868" t="str">
        <f>IFERROR(VLOOKUP(ROWS($D$2:D868),A868:B2086,2,0),"")</f>
        <v>Patna PAT</v>
      </c>
      <c r="F868">
        <f>IF(ISNUMBER(SEARCH(Request!$N$19,G868)),MAX(F$1:$F867)+1,0)</f>
        <v>867</v>
      </c>
      <c r="G868" s="11" t="s">
        <v>4906</v>
      </c>
      <c r="H868" t="str">
        <f>IFERROR(VLOOKUP(ROWS($H$2:H868),F868:G2086,2,0),"")</f>
        <v>Patna PAT</v>
      </c>
    </row>
    <row r="869" spans="1:8" x14ac:dyDescent="0.25">
      <c r="A869">
        <f>IF(ISNUMBER(SEARCH(Request!$I$19,B869)),MAX($A$1:A868)+1,0)</f>
        <v>868</v>
      </c>
      <c r="B869" s="11" t="s">
        <v>4907</v>
      </c>
      <c r="D869" t="str">
        <f>IFERROR(VLOOKUP(ROWS($D$2:D869),A869:B2087,2,0),"")</f>
        <v>Patras/Araxos National GPA</v>
      </c>
      <c r="F869">
        <f>IF(ISNUMBER(SEARCH(Request!$N$19,G869)),MAX(F$1:$F868)+1,0)</f>
        <v>868</v>
      </c>
      <c r="G869" s="11" t="s">
        <v>4907</v>
      </c>
      <c r="H869" t="str">
        <f>IFERROR(VLOOKUP(ROWS($H$2:H869),F869:G2087,2,0),"")</f>
        <v>Patras/Araxos National GPA</v>
      </c>
    </row>
    <row r="870" spans="1:8" x14ac:dyDescent="0.25">
      <c r="A870">
        <f>IF(ISNUMBER(SEARCH(Request!$I$19,B870)),MAX($A$1:A869)+1,0)</f>
        <v>869</v>
      </c>
      <c r="B870" s="11" t="s">
        <v>4908</v>
      </c>
      <c r="D870" t="str">
        <f>IFERROR(VLOOKUP(ROWS($D$2:D870),A870:B2088,2,0),"")</f>
        <v>Pau – Pyrenees PUF</v>
      </c>
      <c r="F870">
        <f>IF(ISNUMBER(SEARCH(Request!$N$19,G870)),MAX(F$1:$F869)+1,0)</f>
        <v>869</v>
      </c>
      <c r="G870" s="11" t="s">
        <v>4908</v>
      </c>
      <c r="H870" t="str">
        <f>IFERROR(VLOOKUP(ROWS($H$2:H870),F870:G2088,2,0),"")</f>
        <v>Pau – Pyrenees PUF</v>
      </c>
    </row>
    <row r="871" spans="1:8" x14ac:dyDescent="0.25">
      <c r="A871">
        <f>IF(ISNUMBER(SEARCH(Request!$I$19,B871)),MAX($A$1:A870)+1,0)</f>
        <v>870</v>
      </c>
      <c r="B871" s="11" t="s">
        <v>4909</v>
      </c>
      <c r="D871" t="str">
        <f>IFERROR(VLOOKUP(ROWS($D$2:D871),A871:B2089,2,0),"")</f>
        <v>Penang PEN</v>
      </c>
      <c r="F871">
        <f>IF(ISNUMBER(SEARCH(Request!$N$19,G871)),MAX(F$1:$F870)+1,0)</f>
        <v>870</v>
      </c>
      <c r="G871" s="11" t="s">
        <v>4909</v>
      </c>
      <c r="H871" t="str">
        <f>IFERROR(VLOOKUP(ROWS($H$2:H871),F871:G2089,2,0),"")</f>
        <v>Penang PEN</v>
      </c>
    </row>
    <row r="872" spans="1:8" x14ac:dyDescent="0.25">
      <c r="A872">
        <f>IF(ISNUMBER(SEARCH(Request!$I$19,B872)),MAX($A$1:A871)+1,0)</f>
        <v>871</v>
      </c>
      <c r="B872" s="11" t="s">
        <v>4910</v>
      </c>
      <c r="D872" t="str">
        <f>IFERROR(VLOOKUP(ROWS($D$2:D872),A872:B2090,2,0),"")</f>
        <v>Pendleton/Eastern Oregon Regional PDT</v>
      </c>
      <c r="F872">
        <f>IF(ISNUMBER(SEARCH(Request!$N$19,G872)),MAX(F$1:$F871)+1,0)</f>
        <v>871</v>
      </c>
      <c r="G872" s="11" t="s">
        <v>4910</v>
      </c>
      <c r="H872" t="str">
        <f>IFERROR(VLOOKUP(ROWS($H$2:H872),F872:G2090,2,0),"")</f>
        <v>Pendleton/Eastern Oregon Regional PDT</v>
      </c>
    </row>
    <row r="873" spans="1:8" x14ac:dyDescent="0.25">
      <c r="A873">
        <f>IF(ISNUMBER(SEARCH(Request!$I$19,B873)),MAX($A$1:A872)+1,0)</f>
        <v>872</v>
      </c>
      <c r="B873" s="11" t="s">
        <v>4911</v>
      </c>
      <c r="D873" t="str">
        <f>IFERROR(VLOOKUP(ROWS($D$2:D873),A873:B2091,2,0),"")</f>
        <v>Pensacola PNS</v>
      </c>
      <c r="F873">
        <f>IF(ISNUMBER(SEARCH(Request!$N$19,G873)),MAX(F$1:$F872)+1,0)</f>
        <v>872</v>
      </c>
      <c r="G873" s="11" t="s">
        <v>4911</v>
      </c>
      <c r="H873" t="str">
        <f>IFERROR(VLOOKUP(ROWS($H$2:H873),F873:G2091,2,0),"")</f>
        <v>Pensacola PNS</v>
      </c>
    </row>
    <row r="874" spans="1:8" x14ac:dyDescent="0.25">
      <c r="A874">
        <f>IF(ISNUMBER(SEARCH(Request!$I$19,B874)),MAX($A$1:A873)+1,0)</f>
        <v>873</v>
      </c>
      <c r="B874" s="11" t="s">
        <v>4912</v>
      </c>
      <c r="D874" t="str">
        <f>IFERROR(VLOOKUP(ROWS($D$2:D874),A874:B2092,2,0),"")</f>
        <v>Penzance Heliport PZE</v>
      </c>
      <c r="F874">
        <f>IF(ISNUMBER(SEARCH(Request!$N$19,G874)),MAX(F$1:$F873)+1,0)</f>
        <v>873</v>
      </c>
      <c r="G874" s="11" t="s">
        <v>4912</v>
      </c>
      <c r="H874" t="str">
        <f>IFERROR(VLOOKUP(ROWS($H$2:H874),F874:G2092,2,0),"")</f>
        <v>Penzance Heliport PZE</v>
      </c>
    </row>
    <row r="875" spans="1:8" x14ac:dyDescent="0.25">
      <c r="A875">
        <f>IF(ISNUMBER(SEARCH(Request!$I$19,B875)),MAX($A$1:A874)+1,0)</f>
        <v>874</v>
      </c>
      <c r="B875" s="11" t="s">
        <v>4913</v>
      </c>
      <c r="D875" t="str">
        <f>IFERROR(VLOOKUP(ROWS($D$2:D875),A875:B2093,2,0),"")</f>
        <v>Peoria – Greater Peoria Regional PIA</v>
      </c>
      <c r="F875">
        <f>IF(ISNUMBER(SEARCH(Request!$N$19,G875)),MAX(F$1:$F874)+1,0)</f>
        <v>874</v>
      </c>
      <c r="G875" s="11" t="s">
        <v>4913</v>
      </c>
      <c r="H875" t="str">
        <f>IFERROR(VLOOKUP(ROWS($H$2:H875),F875:G2093,2,0),"")</f>
        <v>Peoria – Greater Peoria Regional PIA</v>
      </c>
    </row>
    <row r="876" spans="1:8" x14ac:dyDescent="0.25">
      <c r="A876">
        <f>IF(ISNUMBER(SEARCH(Request!$I$19,B876)),MAX($A$1:A875)+1,0)</f>
        <v>875</v>
      </c>
      <c r="B876" s="11" t="s">
        <v>4914</v>
      </c>
      <c r="D876" t="str">
        <f>IFERROR(VLOOKUP(ROWS($D$2:D876),A876:B2094,2,0),"")</f>
        <v>Pereira-Matecana PEI</v>
      </c>
      <c r="F876">
        <f>IF(ISNUMBER(SEARCH(Request!$N$19,G876)),MAX(F$1:$F875)+1,0)</f>
        <v>875</v>
      </c>
      <c r="G876" s="11" t="s">
        <v>4914</v>
      </c>
      <c r="H876" t="str">
        <f>IFERROR(VLOOKUP(ROWS($H$2:H876),F876:G2094,2,0),"")</f>
        <v>Pereira-Matecana PEI</v>
      </c>
    </row>
    <row r="877" spans="1:8" x14ac:dyDescent="0.25">
      <c r="A877">
        <f>IF(ISNUMBER(SEARCH(Request!$I$19,B877)),MAX($A$1:A876)+1,0)</f>
        <v>876</v>
      </c>
      <c r="B877" s="11" t="s">
        <v>4915</v>
      </c>
      <c r="D877" t="str">
        <f>IFERROR(VLOOKUP(ROWS($D$2:D877),A877:B2095,2,0),"")</f>
        <v>Perpignan/Rivesaltes PGF</v>
      </c>
      <c r="F877">
        <f>IF(ISNUMBER(SEARCH(Request!$N$19,G877)),MAX(F$1:$F876)+1,0)</f>
        <v>876</v>
      </c>
      <c r="G877" s="11" t="s">
        <v>4915</v>
      </c>
      <c r="H877" t="str">
        <f>IFERROR(VLOOKUP(ROWS($H$2:H877),F877:G2095,2,0),"")</f>
        <v>Perpignan/Rivesaltes PGF</v>
      </c>
    </row>
    <row r="878" spans="1:8" x14ac:dyDescent="0.25">
      <c r="A878">
        <f>IF(ISNUMBER(SEARCH(Request!$I$19,B878)),MAX($A$1:A877)+1,0)</f>
        <v>877</v>
      </c>
      <c r="B878" s="11" t="s">
        <v>4916</v>
      </c>
      <c r="D878" t="str">
        <f>IFERROR(VLOOKUP(ROWS($D$2:D878),A878:B2096,2,0),"")</f>
        <v>Perth Int´l – Westralia Corporation PER</v>
      </c>
      <c r="F878">
        <f>IF(ISNUMBER(SEARCH(Request!$N$19,G878)),MAX(F$1:$F877)+1,0)</f>
        <v>877</v>
      </c>
      <c r="G878" s="11" t="s">
        <v>4916</v>
      </c>
      <c r="H878" t="str">
        <f>IFERROR(VLOOKUP(ROWS($H$2:H878),F878:G2096,2,0),"")</f>
        <v>Perth Int´l – Westralia Corporation PER</v>
      </c>
    </row>
    <row r="879" spans="1:8" x14ac:dyDescent="0.25">
      <c r="A879">
        <f>IF(ISNUMBER(SEARCH(Request!$I$19,B879)),MAX($A$1:A878)+1,0)</f>
        <v>878</v>
      </c>
      <c r="B879" s="11" t="s">
        <v>4917</v>
      </c>
      <c r="D879" t="str">
        <f>IFERROR(VLOOKUP(ROWS($D$2:D879),A879:B2097,2,0),"")</f>
        <v>Peru/Grissom Aeroplex IND</v>
      </c>
      <c r="F879">
        <f>IF(ISNUMBER(SEARCH(Request!$N$19,G879)),MAX(F$1:$F878)+1,0)</f>
        <v>878</v>
      </c>
      <c r="G879" s="11" t="s">
        <v>4917</v>
      </c>
      <c r="H879" t="str">
        <f>IFERROR(VLOOKUP(ROWS($H$2:H879),F879:G2097,2,0),"")</f>
        <v>Peru/Grissom Aeroplex IND</v>
      </c>
    </row>
    <row r="880" spans="1:8" x14ac:dyDescent="0.25">
      <c r="A880">
        <f>IF(ISNUMBER(SEARCH(Request!$I$19,B880)),MAX($A$1:A879)+1,0)</f>
        <v>879</v>
      </c>
      <c r="B880" s="11" t="s">
        <v>4918</v>
      </c>
      <c r="D880" t="str">
        <f>IFERROR(VLOOKUP(ROWS($D$2:D880),A880:B2098,2,0),"")</f>
        <v>Peshawar PEW</v>
      </c>
      <c r="F880">
        <f>IF(ISNUMBER(SEARCH(Request!$N$19,G880)),MAX(F$1:$F879)+1,0)</f>
        <v>879</v>
      </c>
      <c r="G880" s="11" t="s">
        <v>4918</v>
      </c>
      <c r="H880" t="str">
        <f>IFERROR(VLOOKUP(ROWS($H$2:H880),F880:G2098,2,0),"")</f>
        <v>Peshawar PEW</v>
      </c>
    </row>
    <row r="881" spans="1:8" x14ac:dyDescent="0.25">
      <c r="A881">
        <f>IF(ISNUMBER(SEARCH(Request!$I$19,B881)),MAX($A$1:A880)+1,0)</f>
        <v>880</v>
      </c>
      <c r="B881" s="11" t="s">
        <v>4919</v>
      </c>
      <c r="D881" t="str">
        <f>IFERROR(VLOOKUP(ROWS($D$2:D881),A881:B2099,2,0),"")</f>
        <v>Petropavlovsk-Kamchatsky – Yelizovo PKC</v>
      </c>
      <c r="F881">
        <f>IF(ISNUMBER(SEARCH(Request!$N$19,G881)),MAX(F$1:$F880)+1,0)</f>
        <v>880</v>
      </c>
      <c r="G881" s="11" t="s">
        <v>4919</v>
      </c>
      <c r="H881" t="str">
        <f>IFERROR(VLOOKUP(ROWS($H$2:H881),F881:G2099,2,0),"")</f>
        <v>Petropavlovsk-Kamchatsky – Yelizovo PKC</v>
      </c>
    </row>
    <row r="882" spans="1:8" x14ac:dyDescent="0.25">
      <c r="A882">
        <f>IF(ISNUMBER(SEARCH(Request!$I$19,B882)),MAX($A$1:A881)+1,0)</f>
        <v>881</v>
      </c>
      <c r="B882" s="11" t="s">
        <v>4920</v>
      </c>
      <c r="D882" t="str">
        <f>IFERROR(VLOOKUP(ROWS($D$2:D882),A882:B2100,2,0),"")</f>
        <v>Philadelphia PHL</v>
      </c>
      <c r="F882">
        <f>IF(ISNUMBER(SEARCH(Request!$N$19,G882)),MAX(F$1:$F881)+1,0)</f>
        <v>881</v>
      </c>
      <c r="G882" s="11" t="s">
        <v>4920</v>
      </c>
      <c r="H882" t="str">
        <f>IFERROR(VLOOKUP(ROWS($H$2:H882),F882:G2100,2,0),"")</f>
        <v>Philadelphia PHL</v>
      </c>
    </row>
    <row r="883" spans="1:8" x14ac:dyDescent="0.25">
      <c r="A883">
        <f>IF(ISNUMBER(SEARCH(Request!$I$19,B883)),MAX($A$1:A882)+1,0)</f>
        <v>882</v>
      </c>
      <c r="B883" s="11" t="s">
        <v>4921</v>
      </c>
      <c r="D883" t="str">
        <f>IFERROR(VLOOKUP(ROWS($D$2:D883),A883:B2101,2,0),"")</f>
        <v>Phnom Penh PNH</v>
      </c>
      <c r="F883">
        <f>IF(ISNUMBER(SEARCH(Request!$N$19,G883)),MAX(F$1:$F882)+1,0)</f>
        <v>882</v>
      </c>
      <c r="G883" s="11" t="s">
        <v>4921</v>
      </c>
      <c r="H883" t="str">
        <f>IFERROR(VLOOKUP(ROWS($H$2:H883),F883:G2101,2,0),"")</f>
        <v>Phnom Penh PNH</v>
      </c>
    </row>
    <row r="884" spans="1:8" x14ac:dyDescent="0.25">
      <c r="A884">
        <f>IF(ISNUMBER(SEARCH(Request!$I$19,B884)),MAX($A$1:A883)+1,0)</f>
        <v>883</v>
      </c>
      <c r="B884" s="11" t="s">
        <v>4922</v>
      </c>
      <c r="D884" t="str">
        <f>IFERROR(VLOOKUP(ROWS($D$2:D884),A884:B2102,2,0),"")</f>
        <v>Phoenix Sky Harbor Int´l PHX</v>
      </c>
      <c r="F884">
        <f>IF(ISNUMBER(SEARCH(Request!$N$19,G884)),MAX(F$1:$F883)+1,0)</f>
        <v>883</v>
      </c>
      <c r="G884" s="11" t="s">
        <v>4922</v>
      </c>
      <c r="H884" t="str">
        <f>IFERROR(VLOOKUP(ROWS($H$2:H884),F884:G2102,2,0),"")</f>
        <v>Phoenix Sky Harbor Int´l PHX</v>
      </c>
    </row>
    <row r="885" spans="1:8" x14ac:dyDescent="0.25">
      <c r="A885">
        <f>IF(ISNUMBER(SEARCH(Request!$I$19,B885)),MAX($A$1:A884)+1,0)</f>
        <v>884</v>
      </c>
      <c r="B885" s="11" t="s">
        <v>4923</v>
      </c>
      <c r="D885" t="str">
        <f>IFERROR(VLOOKUP(ROWS($D$2:D885),A885:B2103,2,0),"")</f>
        <v>Phuket Int´l HKT</v>
      </c>
      <c r="F885">
        <f>IF(ISNUMBER(SEARCH(Request!$N$19,G885)),MAX(F$1:$F884)+1,0)</f>
        <v>884</v>
      </c>
      <c r="G885" s="11" t="s">
        <v>4923</v>
      </c>
      <c r="H885" t="str">
        <f>IFERROR(VLOOKUP(ROWS($H$2:H885),F885:G2103,2,0),"")</f>
        <v>Phuket Int´l HKT</v>
      </c>
    </row>
    <row r="886" spans="1:8" x14ac:dyDescent="0.25">
      <c r="A886">
        <f>IF(ISNUMBER(SEARCH(Request!$I$19,B886)),MAX($A$1:A885)+1,0)</f>
        <v>885</v>
      </c>
      <c r="B886" s="11" t="s">
        <v>4924</v>
      </c>
      <c r="D886" t="str">
        <f>IFERROR(VLOOKUP(ROWS($D$2:D886),A886:B2104,2,0),"")</f>
        <v>Piarco POS</v>
      </c>
      <c r="F886">
        <f>IF(ISNUMBER(SEARCH(Request!$N$19,G886)),MAX(F$1:$F885)+1,0)</f>
        <v>885</v>
      </c>
      <c r="G886" s="11" t="s">
        <v>4924</v>
      </c>
      <c r="H886" t="str">
        <f>IFERROR(VLOOKUP(ROWS($H$2:H886),F886:G2104,2,0),"")</f>
        <v>Piarco POS</v>
      </c>
    </row>
    <row r="887" spans="1:8" x14ac:dyDescent="0.25">
      <c r="A887">
        <f>IF(ISNUMBER(SEARCH(Request!$I$19,B887)),MAX($A$1:A886)+1,0)</f>
        <v>886</v>
      </c>
      <c r="B887" s="11" t="s">
        <v>4925</v>
      </c>
      <c r="D887" t="str">
        <f>IFERROR(VLOOKUP(ROWS($D$2:D887),A887:B2105,2,0),"")</f>
        <v>Piedmont Triad Int´l GSO</v>
      </c>
      <c r="F887">
        <f>IF(ISNUMBER(SEARCH(Request!$N$19,G887)),MAX(F$1:$F886)+1,0)</f>
        <v>886</v>
      </c>
      <c r="G887" s="11" t="s">
        <v>4925</v>
      </c>
      <c r="H887" t="str">
        <f>IFERROR(VLOOKUP(ROWS($H$2:H887),F887:G2105,2,0),"")</f>
        <v>Piedmont Triad Int´l GSO</v>
      </c>
    </row>
    <row r="888" spans="1:8" x14ac:dyDescent="0.25">
      <c r="A888">
        <f>IF(ISNUMBER(SEARCH(Request!$I$19,B888)),MAX($A$1:A887)+1,0)</f>
        <v>887</v>
      </c>
      <c r="B888" s="11" t="s">
        <v>4926</v>
      </c>
      <c r="D888" t="str">
        <f>IFERROR(VLOOKUP(ROWS($D$2:D888),A888:B2106,2,0),"")</f>
        <v>Piestany PZY</v>
      </c>
      <c r="F888">
        <f>IF(ISNUMBER(SEARCH(Request!$N$19,G888)),MAX(F$1:$F887)+1,0)</f>
        <v>887</v>
      </c>
      <c r="G888" s="11" t="s">
        <v>4926</v>
      </c>
      <c r="H888" t="str">
        <f>IFERROR(VLOOKUP(ROWS($H$2:H888),F888:G2106,2,0),"")</f>
        <v>Piestany PZY</v>
      </c>
    </row>
    <row r="889" spans="1:8" x14ac:dyDescent="0.25">
      <c r="A889">
        <f>IF(ISNUMBER(SEARCH(Request!$I$19,B889)),MAX($A$1:A888)+1,0)</f>
        <v>888</v>
      </c>
      <c r="B889" s="11" t="s">
        <v>4927</v>
      </c>
      <c r="D889" t="str">
        <f>IFERROR(VLOOKUP(ROWS($D$2:D889),A889:B2107,2,0),"")</f>
        <v>Pilanesburg NTY</v>
      </c>
      <c r="F889">
        <f>IF(ISNUMBER(SEARCH(Request!$N$19,G889)),MAX(F$1:$F888)+1,0)</f>
        <v>888</v>
      </c>
      <c r="G889" s="11" t="s">
        <v>4927</v>
      </c>
      <c r="H889" t="str">
        <f>IFERROR(VLOOKUP(ROWS($H$2:H889),F889:G2107,2,0),"")</f>
        <v>Pilanesburg NTY</v>
      </c>
    </row>
    <row r="890" spans="1:8" x14ac:dyDescent="0.25">
      <c r="A890">
        <f>IF(ISNUMBER(SEARCH(Request!$I$19,B890)),MAX($A$1:A889)+1,0)</f>
        <v>889</v>
      </c>
      <c r="B890" s="11" t="s">
        <v>4928</v>
      </c>
      <c r="D890" t="str">
        <f>IFERROR(VLOOKUP(ROWS($D$2:D890),A890:B2108,2,0),"")</f>
        <v>Pisa PSA</v>
      </c>
      <c r="F890">
        <f>IF(ISNUMBER(SEARCH(Request!$N$19,G890)),MAX(F$1:$F889)+1,0)</f>
        <v>889</v>
      </c>
      <c r="G890" s="11" t="s">
        <v>4928</v>
      </c>
      <c r="H890" t="str">
        <f>IFERROR(VLOOKUP(ROWS($H$2:H890),F890:G2108,2,0),"")</f>
        <v>Pisa PSA</v>
      </c>
    </row>
    <row r="891" spans="1:8" x14ac:dyDescent="0.25">
      <c r="A891">
        <f>IF(ISNUMBER(SEARCH(Request!$I$19,B891)),MAX($A$1:A890)+1,0)</f>
        <v>890</v>
      </c>
      <c r="B891" s="11" t="s">
        <v>4929</v>
      </c>
      <c r="D891" t="str">
        <f>IFERROR(VLOOKUP(ROWS($D$2:D891),A891:B2109,2,0),"")</f>
        <v>Pittsburgh DTP</v>
      </c>
      <c r="F891">
        <f>IF(ISNUMBER(SEARCH(Request!$N$19,G891)),MAX(F$1:$F890)+1,0)</f>
        <v>890</v>
      </c>
      <c r="G891" s="11" t="s">
        <v>4929</v>
      </c>
      <c r="H891" t="str">
        <f>IFERROR(VLOOKUP(ROWS($H$2:H891),F891:G2109,2,0),"")</f>
        <v>Pittsburgh DTP</v>
      </c>
    </row>
    <row r="892" spans="1:8" x14ac:dyDescent="0.25">
      <c r="A892">
        <f>IF(ISNUMBER(SEARCH(Request!$I$19,B892)),MAX($A$1:A891)+1,0)</f>
        <v>891</v>
      </c>
      <c r="B892" s="11" t="s">
        <v>4930</v>
      </c>
      <c r="D892" t="str">
        <f>IFERROR(VLOOKUP(ROWS($D$2:D892),A892:B2110,2,0),"")</f>
        <v>Piura PIU</v>
      </c>
      <c r="F892">
        <f>IF(ISNUMBER(SEARCH(Request!$N$19,G892)),MAX(F$1:$F891)+1,0)</f>
        <v>891</v>
      </c>
      <c r="G892" s="11" t="s">
        <v>4930</v>
      </c>
      <c r="H892" t="str">
        <f>IFERROR(VLOOKUP(ROWS($H$2:H892),F892:G2110,2,0),"")</f>
        <v>Piura PIU</v>
      </c>
    </row>
    <row r="893" spans="1:8" x14ac:dyDescent="0.25">
      <c r="A893">
        <f>IF(ISNUMBER(SEARCH(Request!$I$19,B893)),MAX($A$1:A892)+1,0)</f>
        <v>892</v>
      </c>
      <c r="B893" s="11" t="s">
        <v>4931</v>
      </c>
      <c r="D893" t="str">
        <f>IFERROR(VLOOKUP(ROWS($D$2:D893),A893:B2111,2,0),"")</f>
        <v>Plattsburgh Clinton County PLB</v>
      </c>
      <c r="F893">
        <f>IF(ISNUMBER(SEARCH(Request!$N$19,G893)),MAX(F$1:$F892)+1,0)</f>
        <v>892</v>
      </c>
      <c r="G893" s="11" t="s">
        <v>4931</v>
      </c>
      <c r="H893" t="str">
        <f>IFERROR(VLOOKUP(ROWS($H$2:H893),F893:G2111,2,0),"")</f>
        <v>Plattsburgh Clinton County PLB</v>
      </c>
    </row>
    <row r="894" spans="1:8" x14ac:dyDescent="0.25">
      <c r="A894">
        <f>IF(ISNUMBER(SEARCH(Request!$I$19,B894)),MAX($A$1:A893)+1,0)</f>
        <v>893</v>
      </c>
      <c r="B894" s="11" t="s">
        <v>4932</v>
      </c>
      <c r="D894" t="str">
        <f>IFERROR(VLOOKUP(ROWS($D$2:D894),A894:B2112,2,0),"")</f>
        <v>Plattsburgh Int´l AFB PBG</v>
      </c>
      <c r="F894">
        <f>IF(ISNUMBER(SEARCH(Request!$N$19,G894)),MAX(F$1:$F893)+1,0)</f>
        <v>893</v>
      </c>
      <c r="G894" s="11" t="s">
        <v>4932</v>
      </c>
      <c r="H894" t="str">
        <f>IFERROR(VLOOKUP(ROWS($H$2:H894),F894:G2112,2,0),"")</f>
        <v>Plattsburgh Int´l AFB PBG</v>
      </c>
    </row>
    <row r="895" spans="1:8" x14ac:dyDescent="0.25">
      <c r="A895">
        <f>IF(ISNUMBER(SEARCH(Request!$I$19,B895)),MAX($A$1:A894)+1,0)</f>
        <v>894</v>
      </c>
      <c r="B895" s="11" t="s">
        <v>4933</v>
      </c>
      <c r="D895" t="str">
        <f>IFERROR(VLOOKUP(ROWS($D$2:D895),A895:B2113,2,0),"")</f>
        <v>Plovdiv PDV</v>
      </c>
      <c r="F895">
        <f>IF(ISNUMBER(SEARCH(Request!$N$19,G895)),MAX(F$1:$F894)+1,0)</f>
        <v>894</v>
      </c>
      <c r="G895" s="11" t="s">
        <v>4933</v>
      </c>
      <c r="H895" t="str">
        <f>IFERROR(VLOOKUP(ROWS($H$2:H895),F895:G2113,2,0),"")</f>
        <v>Plovdiv PDV</v>
      </c>
    </row>
    <row r="896" spans="1:8" x14ac:dyDescent="0.25">
      <c r="A896">
        <f>IF(ISNUMBER(SEARCH(Request!$I$19,B896)),MAX($A$1:A895)+1,0)</f>
        <v>895</v>
      </c>
      <c r="B896" s="11" t="s">
        <v>4934</v>
      </c>
      <c r="D896" t="str">
        <f>IFERROR(VLOOKUP(ROWS($D$2:D896),A896:B2114,2,0),"")</f>
        <v>Plymouth City PLH</v>
      </c>
      <c r="F896">
        <f>IF(ISNUMBER(SEARCH(Request!$N$19,G896)),MAX(F$1:$F895)+1,0)</f>
        <v>895</v>
      </c>
      <c r="G896" s="11" t="s">
        <v>4934</v>
      </c>
      <c r="H896" t="str">
        <f>IFERROR(VLOOKUP(ROWS($H$2:H896),F896:G2114,2,0),"")</f>
        <v>Plymouth City PLH</v>
      </c>
    </row>
    <row r="897" spans="1:8" x14ac:dyDescent="0.25">
      <c r="A897">
        <f>IF(ISNUMBER(SEARCH(Request!$I$19,B897)),MAX($A$1:A896)+1,0)</f>
        <v>896</v>
      </c>
      <c r="B897" s="11" t="s">
        <v>4935</v>
      </c>
      <c r="D897" t="str">
        <f>IFERROR(VLOOKUP(ROWS($D$2:D897),A897:B2115,2,0),"")</f>
        <v>Point-a-Pitre Le Raizet PTP</v>
      </c>
      <c r="F897">
        <f>IF(ISNUMBER(SEARCH(Request!$N$19,G897)),MAX(F$1:$F896)+1,0)</f>
        <v>896</v>
      </c>
      <c r="G897" s="11" t="s">
        <v>4935</v>
      </c>
      <c r="H897" t="str">
        <f>IFERROR(VLOOKUP(ROWS($H$2:H897),F897:G2115,2,0),"")</f>
        <v>Point-a-Pitre Le Raizet PTP</v>
      </c>
    </row>
    <row r="898" spans="1:8" x14ac:dyDescent="0.25">
      <c r="A898">
        <f>IF(ISNUMBER(SEARCH(Request!$I$19,B898)),MAX($A$1:A897)+1,0)</f>
        <v>897</v>
      </c>
      <c r="B898" s="11" t="s">
        <v>4936</v>
      </c>
      <c r="D898" t="str">
        <f>IFERROR(VLOOKUP(ROWS($D$2:D898),A898:B2116,2,0),"")</f>
        <v>Pointe – Noire Aerodrome PNR</v>
      </c>
      <c r="F898">
        <f>IF(ISNUMBER(SEARCH(Request!$N$19,G898)),MAX(F$1:$F897)+1,0)</f>
        <v>897</v>
      </c>
      <c r="G898" s="11" t="s">
        <v>4936</v>
      </c>
      <c r="H898" t="str">
        <f>IFERROR(VLOOKUP(ROWS($H$2:H898),F898:G2116,2,0),"")</f>
        <v>Pointe – Noire Aerodrome PNR</v>
      </c>
    </row>
    <row r="899" spans="1:8" x14ac:dyDescent="0.25">
      <c r="A899">
        <f>IF(ISNUMBER(SEARCH(Request!$I$19,B899)),MAX($A$1:A898)+1,0)</f>
        <v>898</v>
      </c>
      <c r="B899" s="11" t="s">
        <v>4937</v>
      </c>
      <c r="D899" t="str">
        <f>IFERROR(VLOOKUP(ROWS($D$2:D899),A899:B2117,2,0),"")</f>
        <v>Poitiers – Biard PIS</v>
      </c>
      <c r="F899">
        <f>IF(ISNUMBER(SEARCH(Request!$N$19,G899)),MAX(F$1:$F898)+1,0)</f>
        <v>898</v>
      </c>
      <c r="G899" s="11" t="s">
        <v>4937</v>
      </c>
      <c r="H899" t="str">
        <f>IFERROR(VLOOKUP(ROWS($H$2:H899),F899:G2117,2,0),"")</f>
        <v>Poitiers – Biard PIS</v>
      </c>
    </row>
    <row r="900" spans="1:8" x14ac:dyDescent="0.25">
      <c r="A900">
        <f>IF(ISNUMBER(SEARCH(Request!$I$19,B900)),MAX($A$1:A899)+1,0)</f>
        <v>899</v>
      </c>
      <c r="B900" s="11" t="s">
        <v>4938</v>
      </c>
      <c r="D900" t="str">
        <f>IFERROR(VLOOKUP(ROWS($D$2:D900),A900:B2118,2,0),"")</f>
        <v>Ponta Pora Int´l PMG</v>
      </c>
      <c r="F900">
        <f>IF(ISNUMBER(SEARCH(Request!$N$19,G900)),MAX(F$1:$F899)+1,0)</f>
        <v>899</v>
      </c>
      <c r="G900" s="11" t="s">
        <v>4938</v>
      </c>
      <c r="H900" t="str">
        <f>IFERROR(VLOOKUP(ROWS($H$2:H900),F900:G2118,2,0),"")</f>
        <v>Ponta Pora Int´l PMG</v>
      </c>
    </row>
    <row r="901" spans="1:8" x14ac:dyDescent="0.25">
      <c r="A901">
        <f>IF(ISNUMBER(SEARCH(Request!$I$19,B901)),MAX($A$1:A900)+1,0)</f>
        <v>900</v>
      </c>
      <c r="B901" s="11" t="s">
        <v>4939</v>
      </c>
      <c r="D901" t="str">
        <f>IFERROR(VLOOKUP(ROWS($D$2:D901),A901:B2119,2,0),"")</f>
        <v>Pontianak – Supadio PNK</v>
      </c>
      <c r="F901">
        <f>IF(ISNUMBER(SEARCH(Request!$N$19,G901)),MAX(F$1:$F900)+1,0)</f>
        <v>900</v>
      </c>
      <c r="G901" s="11" t="s">
        <v>4939</v>
      </c>
      <c r="H901" t="str">
        <f>IFERROR(VLOOKUP(ROWS($H$2:H901),F901:G2119,2,0),"")</f>
        <v>Pontianak – Supadio PNK</v>
      </c>
    </row>
    <row r="902" spans="1:8" x14ac:dyDescent="0.25">
      <c r="A902">
        <f>IF(ISNUMBER(SEARCH(Request!$I$19,B902)),MAX($A$1:A901)+1,0)</f>
        <v>901</v>
      </c>
      <c r="B902" s="11" t="s">
        <v>4940</v>
      </c>
      <c r="D902" t="str">
        <f>IFERROR(VLOOKUP(ROWS($D$2:D902),A902:B2120,2,0),"")</f>
        <v>Poprad-Tatry TAT</v>
      </c>
      <c r="F902">
        <f>IF(ISNUMBER(SEARCH(Request!$N$19,G902)),MAX(F$1:$F901)+1,0)</f>
        <v>901</v>
      </c>
      <c r="G902" s="11" t="s">
        <v>4940</v>
      </c>
      <c r="H902" t="str">
        <f>IFERROR(VLOOKUP(ROWS($H$2:H902),F902:G2120,2,0),"")</f>
        <v>Poprad-Tatry TAT</v>
      </c>
    </row>
    <row r="903" spans="1:8" x14ac:dyDescent="0.25">
      <c r="A903">
        <f>IF(ISNUMBER(SEARCH(Request!$I$19,B903)),MAX($A$1:A902)+1,0)</f>
        <v>902</v>
      </c>
      <c r="B903" s="11" t="s">
        <v>4941</v>
      </c>
      <c r="D903" t="str">
        <f>IFERROR(VLOOKUP(ROWS($D$2:D903),A903:B2121,2,0),"")</f>
        <v>Pori POR</v>
      </c>
      <c r="F903">
        <f>IF(ISNUMBER(SEARCH(Request!$N$19,G903)),MAX(F$1:$F902)+1,0)</f>
        <v>902</v>
      </c>
      <c r="G903" s="11" t="s">
        <v>4941</v>
      </c>
      <c r="H903" t="str">
        <f>IFERROR(VLOOKUP(ROWS($H$2:H903),F903:G2121,2,0),"")</f>
        <v>Pori POR</v>
      </c>
    </row>
    <row r="904" spans="1:8" x14ac:dyDescent="0.25">
      <c r="A904">
        <f>IF(ISNUMBER(SEARCH(Request!$I$19,B904)),MAX($A$1:A903)+1,0)</f>
        <v>903</v>
      </c>
      <c r="B904" s="11" t="s">
        <v>4942</v>
      </c>
      <c r="D904" t="str">
        <f>IFERROR(VLOOKUP(ROWS($D$2:D904),A904:B2122,2,0),"")</f>
        <v>Port Angeles-William R Fairchild Int´l CLM</v>
      </c>
      <c r="F904">
        <f>IF(ISNUMBER(SEARCH(Request!$N$19,G904)),MAX(F$1:$F903)+1,0)</f>
        <v>903</v>
      </c>
      <c r="G904" s="11" t="s">
        <v>4942</v>
      </c>
      <c r="H904" t="str">
        <f>IFERROR(VLOOKUP(ROWS($H$2:H904),F904:G2122,2,0),"")</f>
        <v>Port Angeles-William R Fairchild Int´l CLM</v>
      </c>
    </row>
    <row r="905" spans="1:8" x14ac:dyDescent="0.25">
      <c r="A905">
        <f>IF(ISNUMBER(SEARCH(Request!$I$19,B905)),MAX($A$1:A904)+1,0)</f>
        <v>904</v>
      </c>
      <c r="B905" s="11" t="s">
        <v>4943</v>
      </c>
      <c r="D905" t="str">
        <f>IFERROR(VLOOKUP(ROWS($D$2:D905),A905:B2123,2,0),"")</f>
        <v>Port Elizabeth PLZ</v>
      </c>
      <c r="F905">
        <f>IF(ISNUMBER(SEARCH(Request!$N$19,G905)),MAX(F$1:$F904)+1,0)</f>
        <v>904</v>
      </c>
      <c r="G905" s="11" t="s">
        <v>4943</v>
      </c>
      <c r="H905" t="str">
        <f>IFERROR(VLOOKUP(ROWS($H$2:H905),F905:G2123,2,0),"")</f>
        <v>Port Elizabeth PLZ</v>
      </c>
    </row>
    <row r="906" spans="1:8" x14ac:dyDescent="0.25">
      <c r="A906">
        <f>IF(ISNUMBER(SEARCH(Request!$I$19,B906)),MAX($A$1:A905)+1,0)</f>
        <v>905</v>
      </c>
      <c r="B906" s="11" t="s">
        <v>4944</v>
      </c>
      <c r="D906" t="str">
        <f>IFERROR(VLOOKUP(ROWS($D$2:D906),A906:B2124,2,0),"")</f>
        <v>Port Gentil POG</v>
      </c>
      <c r="F906">
        <f>IF(ISNUMBER(SEARCH(Request!$N$19,G906)),MAX(F$1:$F905)+1,0)</f>
        <v>905</v>
      </c>
      <c r="G906" s="11" t="s">
        <v>4944</v>
      </c>
      <c r="H906" t="str">
        <f>IFERROR(VLOOKUP(ROWS($H$2:H906),F906:G2124,2,0),"")</f>
        <v>Port Gentil POG</v>
      </c>
    </row>
    <row r="907" spans="1:8" x14ac:dyDescent="0.25">
      <c r="A907">
        <f>IF(ISNUMBER(SEARCH(Request!$I$19,B907)),MAX($A$1:A906)+1,0)</f>
        <v>906</v>
      </c>
      <c r="B907" s="11" t="s">
        <v>4945</v>
      </c>
      <c r="D907" t="str">
        <f>IFERROR(VLOOKUP(ROWS($D$2:D907),A907:B2125,2,0),"")</f>
        <v>Port Harcourt PHC</v>
      </c>
      <c r="F907">
        <f>IF(ISNUMBER(SEARCH(Request!$N$19,G907)),MAX(F$1:$F906)+1,0)</f>
        <v>906</v>
      </c>
      <c r="G907" s="11" t="s">
        <v>4945</v>
      </c>
      <c r="H907" t="str">
        <f>IFERROR(VLOOKUP(ROWS($H$2:H907),F907:G2125,2,0),"")</f>
        <v>Port Harcourt PHC</v>
      </c>
    </row>
    <row r="908" spans="1:8" x14ac:dyDescent="0.25">
      <c r="A908">
        <f>IF(ISNUMBER(SEARCH(Request!$I$19,B908)),MAX($A$1:A907)+1,0)</f>
        <v>907</v>
      </c>
      <c r="B908" s="11" t="s">
        <v>4946</v>
      </c>
      <c r="D908" t="str">
        <f>IFERROR(VLOOKUP(ROWS($D$2:D908),A908:B2126,2,0),"")</f>
        <v>Port Moresby/Jacksons POM</v>
      </c>
      <c r="F908">
        <f>IF(ISNUMBER(SEARCH(Request!$N$19,G908)),MAX(F$1:$F907)+1,0)</f>
        <v>907</v>
      </c>
      <c r="G908" s="11" t="s">
        <v>4946</v>
      </c>
      <c r="H908" t="str">
        <f>IFERROR(VLOOKUP(ROWS($H$2:H908),F908:G2126,2,0),"")</f>
        <v>Port Moresby/Jacksons POM</v>
      </c>
    </row>
    <row r="909" spans="1:8" x14ac:dyDescent="0.25">
      <c r="A909">
        <f>IF(ISNUMBER(SEARCH(Request!$I$19,B909)),MAX($A$1:A908)+1,0)</f>
        <v>908</v>
      </c>
      <c r="B909" s="11" t="s">
        <v>4947</v>
      </c>
      <c r="D909" t="str">
        <f>IFERROR(VLOOKUP(ROWS($D$2:D909),A909:B2127,2,0),"")</f>
        <v>Port Vila – Bauerfield VLI</v>
      </c>
      <c r="F909">
        <f>IF(ISNUMBER(SEARCH(Request!$N$19,G909)),MAX(F$1:$F908)+1,0)</f>
        <v>908</v>
      </c>
      <c r="G909" s="11" t="s">
        <v>4947</v>
      </c>
      <c r="H909" t="str">
        <f>IFERROR(VLOOKUP(ROWS($H$2:H909),F909:G2127,2,0),"")</f>
        <v>Port Vila – Bauerfield VLI</v>
      </c>
    </row>
    <row r="910" spans="1:8" x14ac:dyDescent="0.25">
      <c r="A910">
        <f>IF(ISNUMBER(SEARCH(Request!$I$19,B910)),MAX($A$1:A909)+1,0)</f>
        <v>909</v>
      </c>
      <c r="B910" s="11" t="s">
        <v>4948</v>
      </c>
      <c r="D910" t="str">
        <f>IFERROR(VLOOKUP(ROWS($D$2:D910),A910:B2128,2,0),"")</f>
        <v>Port-au-Prince PAP</v>
      </c>
      <c r="F910">
        <f>IF(ISNUMBER(SEARCH(Request!$N$19,G910)),MAX(F$1:$F909)+1,0)</f>
        <v>909</v>
      </c>
      <c r="G910" s="11" t="s">
        <v>4948</v>
      </c>
      <c r="H910" t="str">
        <f>IFERROR(VLOOKUP(ROWS($H$2:H910),F910:G2128,2,0),"")</f>
        <v>Port-au-Prince PAP</v>
      </c>
    </row>
    <row r="911" spans="1:8" x14ac:dyDescent="0.25">
      <c r="A911">
        <f>IF(ISNUMBER(SEARCH(Request!$I$19,B911)),MAX($A$1:A910)+1,0)</f>
        <v>910</v>
      </c>
      <c r="B911" s="11" t="s">
        <v>4949</v>
      </c>
      <c r="D911" t="str">
        <f>IFERROR(VLOOKUP(ROWS($D$2:D911),A911:B2129,2,0),"")</f>
        <v>Portland PDX</v>
      </c>
      <c r="F911">
        <f>IF(ISNUMBER(SEARCH(Request!$N$19,G911)),MAX(F$1:$F910)+1,0)</f>
        <v>910</v>
      </c>
      <c r="G911" s="11" t="s">
        <v>4949</v>
      </c>
      <c r="H911" t="str">
        <f>IFERROR(VLOOKUP(ROWS($H$2:H911),F911:G2129,2,0),"")</f>
        <v>Portland PDX</v>
      </c>
    </row>
    <row r="912" spans="1:8" x14ac:dyDescent="0.25">
      <c r="A912">
        <f>IF(ISNUMBER(SEARCH(Request!$I$19,B912)),MAX($A$1:A911)+1,0)</f>
        <v>911</v>
      </c>
      <c r="B912" s="11" t="s">
        <v>4950</v>
      </c>
      <c r="D912" t="str">
        <f>IFERROR(VLOOKUP(ROWS($D$2:D912),A912:B2130,2,0),"")</f>
        <v>Porto Alegre – Salgado Filho Int´l POA</v>
      </c>
      <c r="F912">
        <f>IF(ISNUMBER(SEARCH(Request!$N$19,G912)),MAX(F$1:$F911)+1,0)</f>
        <v>911</v>
      </c>
      <c r="G912" s="11" t="s">
        <v>4950</v>
      </c>
      <c r="H912" t="str">
        <f>IFERROR(VLOOKUP(ROWS($H$2:H912),F912:G2130,2,0),"")</f>
        <v>Porto Alegre – Salgado Filho Int´l POA</v>
      </c>
    </row>
    <row r="913" spans="1:8" x14ac:dyDescent="0.25">
      <c r="A913">
        <f>IF(ISNUMBER(SEARCH(Request!$I$19,B913)),MAX($A$1:A912)+1,0)</f>
        <v>912</v>
      </c>
      <c r="B913" s="11" t="s">
        <v>4951</v>
      </c>
      <c r="D913" t="str">
        <f>IFERROR(VLOOKUP(ROWS($D$2:D913),A913:B2131,2,0),"")</f>
        <v>Porto Santo PXO</v>
      </c>
      <c r="F913">
        <f>IF(ISNUMBER(SEARCH(Request!$N$19,G913)),MAX(F$1:$F912)+1,0)</f>
        <v>912</v>
      </c>
      <c r="G913" s="11" t="s">
        <v>4951</v>
      </c>
      <c r="H913" t="str">
        <f>IFERROR(VLOOKUP(ROWS($H$2:H913),F913:G2131,2,0),"")</f>
        <v>Porto Santo PXO</v>
      </c>
    </row>
    <row r="914" spans="1:8" x14ac:dyDescent="0.25">
      <c r="A914">
        <f>IF(ISNUMBER(SEARCH(Request!$I$19,B914)),MAX($A$1:A913)+1,0)</f>
        <v>913</v>
      </c>
      <c r="B914" s="11" t="s">
        <v>4952</v>
      </c>
      <c r="D914" t="str">
        <f>IFERROR(VLOOKUP(ROWS($D$2:D914),A914:B2132,2,0),"")</f>
        <v>Poughkeepsie – Dutchess County POU</v>
      </c>
      <c r="F914">
        <f>IF(ISNUMBER(SEARCH(Request!$N$19,G914)),MAX(F$1:$F913)+1,0)</f>
        <v>913</v>
      </c>
      <c r="G914" s="11" t="s">
        <v>4952</v>
      </c>
      <c r="H914" t="str">
        <f>IFERROR(VLOOKUP(ROWS($H$2:H914),F914:G2132,2,0),"")</f>
        <v>Poughkeepsie – Dutchess County POU</v>
      </c>
    </row>
    <row r="915" spans="1:8" x14ac:dyDescent="0.25">
      <c r="A915">
        <f>IF(ISNUMBER(SEARCH(Request!$I$19,B915)),MAX($A$1:A914)+1,0)</f>
        <v>914</v>
      </c>
      <c r="B915" s="11" t="s">
        <v>4953</v>
      </c>
      <c r="D915" t="str">
        <f>IFERROR(VLOOKUP(ROWS($D$2:D915),A915:B2133,2,0),"")</f>
        <v>Poza Rica – Tajin PAZ</v>
      </c>
      <c r="F915">
        <f>IF(ISNUMBER(SEARCH(Request!$N$19,G915)),MAX(F$1:$F914)+1,0)</f>
        <v>914</v>
      </c>
      <c r="G915" s="11" t="s">
        <v>4953</v>
      </c>
      <c r="H915" t="str">
        <f>IFERROR(VLOOKUP(ROWS($H$2:H915),F915:G2133,2,0),"")</f>
        <v>Poza Rica – Tajin PAZ</v>
      </c>
    </row>
    <row r="916" spans="1:8" x14ac:dyDescent="0.25">
      <c r="A916">
        <f>IF(ISNUMBER(SEARCH(Request!$I$19,B916)),MAX($A$1:A915)+1,0)</f>
        <v>915</v>
      </c>
      <c r="B916" s="11" t="s">
        <v>4954</v>
      </c>
      <c r="D916" t="str">
        <f>IFERROR(VLOOKUP(ROWS($D$2:D916),A916:B2134,2,0),"")</f>
        <v>Poznan-Lawica POZ</v>
      </c>
      <c r="F916">
        <f>IF(ISNUMBER(SEARCH(Request!$N$19,G916)),MAX(F$1:$F915)+1,0)</f>
        <v>915</v>
      </c>
      <c r="G916" s="11" t="s">
        <v>4954</v>
      </c>
      <c r="H916" t="str">
        <f>IFERROR(VLOOKUP(ROWS($H$2:H916),F916:G2134,2,0),"")</f>
        <v>Poznan-Lawica POZ</v>
      </c>
    </row>
    <row r="917" spans="1:8" x14ac:dyDescent="0.25">
      <c r="A917">
        <f>IF(ISNUMBER(SEARCH(Request!$I$19,B917)),MAX($A$1:A916)+1,0)</f>
        <v>916</v>
      </c>
      <c r="B917" s="11" t="s">
        <v>4955</v>
      </c>
      <c r="D917" t="str">
        <f>IFERROR(VLOOKUP(ROWS($D$2:D917),A917:B2135,2,0),"")</f>
        <v>Prague-Ruzyne PRG</v>
      </c>
      <c r="F917">
        <f>IF(ISNUMBER(SEARCH(Request!$N$19,G917)),MAX(F$1:$F916)+1,0)</f>
        <v>916</v>
      </c>
      <c r="G917" s="11" t="s">
        <v>4955</v>
      </c>
      <c r="H917" t="str">
        <f>IFERROR(VLOOKUP(ROWS($H$2:H917),F917:G2135,2,0),"")</f>
        <v>Prague-Ruzyne PRG</v>
      </c>
    </row>
    <row r="918" spans="1:8" x14ac:dyDescent="0.25">
      <c r="A918">
        <f>IF(ISNUMBER(SEARCH(Request!$I$19,B918)),MAX($A$1:A917)+1,0)</f>
        <v>917</v>
      </c>
      <c r="B918" s="11" t="s">
        <v>4956</v>
      </c>
      <c r="D918" t="str">
        <f>IFERROR(VLOOKUP(ROWS($D$2:D918),A918:B2136,2,0),"")</f>
        <v>Prince George YXS</v>
      </c>
      <c r="F918">
        <f>IF(ISNUMBER(SEARCH(Request!$N$19,G918)),MAX(F$1:$F917)+1,0)</f>
        <v>917</v>
      </c>
      <c r="G918" s="11" t="s">
        <v>4956</v>
      </c>
      <c r="H918" t="str">
        <f>IFERROR(VLOOKUP(ROWS($H$2:H918),F918:G2136,2,0),"")</f>
        <v>Prince George YXS</v>
      </c>
    </row>
    <row r="919" spans="1:8" x14ac:dyDescent="0.25">
      <c r="A919">
        <f>IF(ISNUMBER(SEARCH(Request!$I$19,B919)),MAX($A$1:A918)+1,0)</f>
        <v>918</v>
      </c>
      <c r="B919" s="11" t="s">
        <v>4957</v>
      </c>
      <c r="D919" t="str">
        <f>IFERROR(VLOOKUP(ROWS($D$2:D919),A919:B2137,2,0),"")</f>
        <v>Providence-Theodore Francis Green PVD</v>
      </c>
      <c r="F919">
        <f>IF(ISNUMBER(SEARCH(Request!$N$19,G919)),MAX(F$1:$F918)+1,0)</f>
        <v>918</v>
      </c>
      <c r="G919" s="11" t="s">
        <v>4957</v>
      </c>
      <c r="H919" t="str">
        <f>IFERROR(VLOOKUP(ROWS($H$2:H919),F919:G2137,2,0),"")</f>
        <v>Providence-Theodore Francis Green PVD</v>
      </c>
    </row>
    <row r="920" spans="1:8" x14ac:dyDescent="0.25">
      <c r="A920">
        <f>IF(ISNUMBER(SEARCH(Request!$I$19,B920)),MAX($A$1:A919)+1,0)</f>
        <v>919</v>
      </c>
      <c r="B920" s="11" t="s">
        <v>4958</v>
      </c>
      <c r="D920" t="str">
        <f>IFERROR(VLOOKUP(ROWS($D$2:D920),A920:B2138,2,0),"")</f>
        <v>Providenciales PLS</v>
      </c>
      <c r="F920">
        <f>IF(ISNUMBER(SEARCH(Request!$N$19,G920)),MAX(F$1:$F919)+1,0)</f>
        <v>919</v>
      </c>
      <c r="G920" s="11" t="s">
        <v>4958</v>
      </c>
      <c r="H920" t="str">
        <f>IFERROR(VLOOKUP(ROWS($H$2:H920),F920:G2138,2,0),"")</f>
        <v>Providenciales PLS</v>
      </c>
    </row>
    <row r="921" spans="1:8" x14ac:dyDescent="0.25">
      <c r="A921">
        <f>IF(ISNUMBER(SEARCH(Request!$I$19,B921)),MAX($A$1:A920)+1,0)</f>
        <v>920</v>
      </c>
      <c r="B921" s="11" t="s">
        <v>4959</v>
      </c>
      <c r="D921" t="str">
        <f>IFERROR(VLOOKUP(ROWS($D$2:D921),A921:B2139,2,0),"")</f>
        <v>Provincetown Municipal PNN</v>
      </c>
      <c r="F921">
        <f>IF(ISNUMBER(SEARCH(Request!$N$19,G921)),MAX(F$1:$F920)+1,0)</f>
        <v>920</v>
      </c>
      <c r="G921" s="11" t="s">
        <v>4959</v>
      </c>
      <c r="H921" t="str">
        <f>IFERROR(VLOOKUP(ROWS($H$2:H921),F921:G2139,2,0),"")</f>
        <v>Provincetown Municipal PNN</v>
      </c>
    </row>
    <row r="922" spans="1:8" x14ac:dyDescent="0.25">
      <c r="A922">
        <f>IF(ISNUMBER(SEARCH(Request!$I$19,B922)),MAX($A$1:A921)+1,0)</f>
        <v>921</v>
      </c>
      <c r="B922" s="11" t="s">
        <v>4960</v>
      </c>
      <c r="D922" t="str">
        <f>IFERROR(VLOOKUP(ROWS($D$2:D922),A922:B2140,2,0),"")</f>
        <v>Puebla – Hermanos Serdan PBC</v>
      </c>
      <c r="F922">
        <f>IF(ISNUMBER(SEARCH(Request!$N$19,G922)),MAX(F$1:$F921)+1,0)</f>
        <v>921</v>
      </c>
      <c r="G922" s="11" t="s">
        <v>4960</v>
      </c>
      <c r="H922" t="str">
        <f>IFERROR(VLOOKUP(ROWS($H$2:H922),F922:G2140,2,0),"")</f>
        <v>Puebla – Hermanos Serdan PBC</v>
      </c>
    </row>
    <row r="923" spans="1:8" x14ac:dyDescent="0.25">
      <c r="A923">
        <f>IF(ISNUMBER(SEARCH(Request!$I$19,B923)),MAX($A$1:A922)+1,0)</f>
        <v>922</v>
      </c>
      <c r="B923" s="11" t="s">
        <v>4961</v>
      </c>
      <c r="D923" t="str">
        <f>IFERROR(VLOOKUP(ROWS($D$2:D923),A923:B2141,2,0),"")</f>
        <v>Puerto Montt-El Tepual PMC</v>
      </c>
      <c r="F923">
        <f>IF(ISNUMBER(SEARCH(Request!$N$19,G923)),MAX(F$1:$F922)+1,0)</f>
        <v>922</v>
      </c>
      <c r="G923" s="11" t="s">
        <v>4961</v>
      </c>
      <c r="H923" t="str">
        <f>IFERROR(VLOOKUP(ROWS($H$2:H923),F923:G2141,2,0),"")</f>
        <v>Puerto Montt-El Tepual PMC</v>
      </c>
    </row>
    <row r="924" spans="1:8" x14ac:dyDescent="0.25">
      <c r="A924">
        <f>IF(ISNUMBER(SEARCH(Request!$I$19,B924)),MAX($A$1:A923)+1,0)</f>
        <v>923</v>
      </c>
      <c r="B924" s="11" t="s">
        <v>4962</v>
      </c>
      <c r="D924" t="str">
        <f>IFERROR(VLOOKUP(ROWS($D$2:D924),A924:B2142,2,0),"")</f>
        <v>Puerto Plata POP</v>
      </c>
      <c r="F924">
        <f>IF(ISNUMBER(SEARCH(Request!$N$19,G924)),MAX(F$1:$F923)+1,0)</f>
        <v>923</v>
      </c>
      <c r="G924" s="11" t="s">
        <v>4962</v>
      </c>
      <c r="H924" t="str">
        <f>IFERROR(VLOOKUP(ROWS($H$2:H924),F924:G2142,2,0),"")</f>
        <v>Puerto Plata POP</v>
      </c>
    </row>
    <row r="925" spans="1:8" x14ac:dyDescent="0.25">
      <c r="A925">
        <f>IF(ISNUMBER(SEARCH(Request!$I$19,B925)),MAX($A$1:A924)+1,0)</f>
        <v>924</v>
      </c>
      <c r="B925" s="11" t="s">
        <v>4963</v>
      </c>
      <c r="D925" t="str">
        <f>IFERROR(VLOOKUP(ROWS($D$2:D925),A925:B2143,2,0),"")</f>
        <v>Puerto Vallarta Int´l – Gustavo Diaz Ordaz PVR</v>
      </c>
      <c r="F925">
        <f>IF(ISNUMBER(SEARCH(Request!$N$19,G925)),MAX(F$1:$F924)+1,0)</f>
        <v>924</v>
      </c>
      <c r="G925" s="11" t="s">
        <v>4963</v>
      </c>
      <c r="H925" t="str">
        <f>IFERROR(VLOOKUP(ROWS($H$2:H925),F925:G2143,2,0),"")</f>
        <v>Puerto Vallarta Int´l – Gustavo Diaz Ordaz PVR</v>
      </c>
    </row>
    <row r="926" spans="1:8" x14ac:dyDescent="0.25">
      <c r="A926">
        <f>IF(ISNUMBER(SEARCH(Request!$I$19,B926)),MAX($A$1:A925)+1,0)</f>
        <v>925</v>
      </c>
      <c r="B926" s="11" t="s">
        <v>4964</v>
      </c>
      <c r="D926" t="str">
        <f>IFERROR(VLOOKUP(ROWS($D$2:D926),A926:B2144,2,0),"")</f>
        <v>Pula PUY</v>
      </c>
      <c r="F926">
        <f>IF(ISNUMBER(SEARCH(Request!$N$19,G926)),MAX(F$1:$F925)+1,0)</f>
        <v>925</v>
      </c>
      <c r="G926" s="11" t="s">
        <v>4964</v>
      </c>
      <c r="H926" t="str">
        <f>IFERROR(VLOOKUP(ROWS($H$2:H926),F926:G2144,2,0),"")</f>
        <v>Pula PUY</v>
      </c>
    </row>
    <row r="927" spans="1:8" x14ac:dyDescent="0.25">
      <c r="A927">
        <f>IF(ISNUMBER(SEARCH(Request!$I$19,B927)),MAX($A$1:A926)+1,0)</f>
        <v>926</v>
      </c>
      <c r="B927" s="11" t="s">
        <v>4965</v>
      </c>
      <c r="D927" t="str">
        <f>IFERROR(VLOOKUP(ROWS($D$2:D927),A927:B2145,2,0),"")</f>
        <v>Punta Arenas PUQ</v>
      </c>
      <c r="F927">
        <f>IF(ISNUMBER(SEARCH(Request!$N$19,G927)),MAX(F$1:$F926)+1,0)</f>
        <v>926</v>
      </c>
      <c r="G927" s="11" t="s">
        <v>4965</v>
      </c>
      <c r="H927" t="str">
        <f>IFERROR(VLOOKUP(ROWS($H$2:H927),F927:G2145,2,0),"")</f>
        <v>Punta Arenas PUQ</v>
      </c>
    </row>
    <row r="928" spans="1:8" x14ac:dyDescent="0.25">
      <c r="A928">
        <f>IF(ISNUMBER(SEARCH(Request!$I$19,B928)),MAX($A$1:A927)+1,0)</f>
        <v>927</v>
      </c>
      <c r="B928" s="11" t="s">
        <v>4967</v>
      </c>
      <c r="D928" t="str">
        <f>IFERROR(VLOOKUP(ROWS($D$2:D928),A928:B2146,2,0),"")</f>
        <v>Quaid-e-Azam KHI</v>
      </c>
      <c r="F928">
        <f>IF(ISNUMBER(SEARCH(Request!$N$19,G928)),MAX(F$1:$F927)+1,0)</f>
        <v>927</v>
      </c>
      <c r="G928" s="11" t="s">
        <v>4967</v>
      </c>
      <c r="H928" t="str">
        <f>IFERROR(VLOOKUP(ROWS($H$2:H928),F928:G2146,2,0),"")</f>
        <v>Quaid-e-Azam KHI</v>
      </c>
    </row>
    <row r="929" spans="1:8" x14ac:dyDescent="0.25">
      <c r="A929">
        <f>IF(ISNUMBER(SEARCH(Request!$I$19,B929)),MAX($A$1:A928)+1,0)</f>
        <v>928</v>
      </c>
      <c r="B929" s="11" t="s">
        <v>4971</v>
      </c>
      <c r="D929" t="str">
        <f>IFERROR(VLOOKUP(ROWS($D$2:D929),A929:B2147,2,0),"")</f>
        <v>Québec YQB</v>
      </c>
      <c r="F929">
        <f>IF(ISNUMBER(SEARCH(Request!$N$19,G929)),MAX(F$1:$F928)+1,0)</f>
        <v>928</v>
      </c>
      <c r="G929" s="11" t="s">
        <v>4971</v>
      </c>
      <c r="H929" t="str">
        <f>IFERROR(VLOOKUP(ROWS($H$2:H929),F929:G2147,2,0),"")</f>
        <v>Québec YQB</v>
      </c>
    </row>
    <row r="930" spans="1:8" x14ac:dyDescent="0.25">
      <c r="A930">
        <f>IF(ISNUMBER(SEARCH(Request!$I$19,B930)),MAX($A$1:A929)+1,0)</f>
        <v>929</v>
      </c>
      <c r="B930" s="11" t="s">
        <v>4968</v>
      </c>
      <c r="D930" t="str">
        <f>IFERROR(VLOOKUP(ROWS($D$2:D930),A930:B2148,2,0),"")</f>
        <v>Querétaro – Ingeniero F Espinoza Gutierrez Int´l QRO</v>
      </c>
      <c r="F930">
        <f>IF(ISNUMBER(SEARCH(Request!$N$19,G930)),MAX(F$1:$F929)+1,0)</f>
        <v>929</v>
      </c>
      <c r="G930" s="11" t="s">
        <v>4968</v>
      </c>
      <c r="H930" t="str">
        <f>IFERROR(VLOOKUP(ROWS($H$2:H930),F930:G2148,2,0),"")</f>
        <v>Querétaro – Ingeniero F Espinoza Gutierrez Int´l QRO</v>
      </c>
    </row>
    <row r="931" spans="1:8" x14ac:dyDescent="0.25">
      <c r="A931">
        <f>IF(ISNUMBER(SEARCH(Request!$I$19,B931)),MAX($A$1:A930)+1,0)</f>
        <v>930</v>
      </c>
      <c r="B931" s="11" t="s">
        <v>4969</v>
      </c>
      <c r="D931" t="str">
        <f>IFERROR(VLOOKUP(ROWS($D$2:D931),A931:B2149,2,0),"")</f>
        <v>Quimper – Pluguffan UIP</v>
      </c>
      <c r="F931">
        <f>IF(ISNUMBER(SEARCH(Request!$N$19,G931)),MAX(F$1:$F930)+1,0)</f>
        <v>930</v>
      </c>
      <c r="G931" s="11" t="s">
        <v>4969</v>
      </c>
      <c r="H931" t="str">
        <f>IFERROR(VLOOKUP(ROWS($H$2:H931),F931:G2149,2,0),"")</f>
        <v>Quimper – Pluguffan UIP</v>
      </c>
    </row>
    <row r="932" spans="1:8" x14ac:dyDescent="0.25">
      <c r="A932">
        <f>IF(ISNUMBER(SEARCH(Request!$I$19,B932)),MAX($A$1:A931)+1,0)</f>
        <v>931</v>
      </c>
      <c r="B932" s="11" t="s">
        <v>4970</v>
      </c>
      <c r="D932" t="str">
        <f>IFERROR(VLOOKUP(ROWS($D$2:D932),A932:B2150,2,0),"")</f>
        <v>Quito-Mariscal Sucre UIO</v>
      </c>
      <c r="F932">
        <f>IF(ISNUMBER(SEARCH(Request!$N$19,G932)),MAX(F$1:$F931)+1,0)</f>
        <v>931</v>
      </c>
      <c r="G932" s="11" t="s">
        <v>4970</v>
      </c>
      <c r="H932" t="str">
        <f>IFERROR(VLOOKUP(ROWS($H$2:H932),F932:G2150,2,0),"")</f>
        <v>Quito-Mariscal Sucre UIO</v>
      </c>
    </row>
    <row r="933" spans="1:8" x14ac:dyDescent="0.25">
      <c r="A933">
        <f>IF(ISNUMBER(SEARCH(Request!$I$19,B933)),MAX($A$1:A932)+1,0)</f>
        <v>932</v>
      </c>
      <c r="B933" s="11" t="s">
        <v>4972</v>
      </c>
      <c r="D933" t="str">
        <f>IFERROR(VLOOKUP(ROWS($D$2:D933),A933:B2151,2,0),"")</f>
        <v>Rabat-Sale RBA</v>
      </c>
      <c r="F933">
        <f>IF(ISNUMBER(SEARCH(Request!$N$19,G933)),MAX(F$1:$F932)+1,0)</f>
        <v>932</v>
      </c>
      <c r="G933" s="11" t="s">
        <v>4972</v>
      </c>
      <c r="H933" t="str">
        <f>IFERROR(VLOOKUP(ROWS($H$2:H933),F933:G2151,2,0),"")</f>
        <v>Rabat-Sale RBA</v>
      </c>
    </row>
    <row r="934" spans="1:8" x14ac:dyDescent="0.25">
      <c r="A934">
        <f>IF(ISNUMBER(SEARCH(Request!$I$19,B934)),MAX($A$1:A933)+1,0)</f>
        <v>933</v>
      </c>
      <c r="B934" s="11" t="s">
        <v>4973</v>
      </c>
      <c r="D934" t="str">
        <f>IFERROR(VLOOKUP(ROWS($D$2:D934),A934:B2152,2,0),"")</f>
        <v>Rabaul-Lakunai RAB</v>
      </c>
      <c r="F934">
        <f>IF(ISNUMBER(SEARCH(Request!$N$19,G934)),MAX(F$1:$F933)+1,0)</f>
        <v>933</v>
      </c>
      <c r="G934" s="11" t="s">
        <v>4973</v>
      </c>
      <c r="H934" t="str">
        <f>IFERROR(VLOOKUP(ROWS($H$2:H934),F934:G2152,2,0),"")</f>
        <v>Rabaul-Lakunai RAB</v>
      </c>
    </row>
    <row r="935" spans="1:8" x14ac:dyDescent="0.25">
      <c r="A935">
        <f>IF(ISNUMBER(SEARCH(Request!$I$19,B935)),MAX($A$1:A934)+1,0)</f>
        <v>934</v>
      </c>
      <c r="B935" s="11" t="s">
        <v>4974</v>
      </c>
      <c r="D935" t="str">
        <f>IFERROR(VLOOKUP(ROWS($D$2:D935),A935:B2153,2,0),"")</f>
        <v>Rafha RAH</v>
      </c>
      <c r="F935">
        <f>IF(ISNUMBER(SEARCH(Request!$N$19,G935)),MAX(F$1:$F934)+1,0)</f>
        <v>934</v>
      </c>
      <c r="G935" s="11" t="s">
        <v>4974</v>
      </c>
      <c r="H935" t="str">
        <f>IFERROR(VLOOKUP(ROWS($H$2:H935),F935:G2153,2,0),"")</f>
        <v>Rafha RAH</v>
      </c>
    </row>
    <row r="936" spans="1:8" x14ac:dyDescent="0.25">
      <c r="A936">
        <f>IF(ISNUMBER(SEARCH(Request!$I$19,B936)),MAX($A$1:A935)+1,0)</f>
        <v>935</v>
      </c>
      <c r="B936" s="11" t="s">
        <v>4975</v>
      </c>
      <c r="D936" t="str">
        <f>IFERROR(VLOOKUP(ROWS($D$2:D936),A936:B2154,2,0),"")</f>
        <v>Raleigh – Durham Int´l RDU</v>
      </c>
      <c r="F936">
        <f>IF(ISNUMBER(SEARCH(Request!$N$19,G936)),MAX(F$1:$F935)+1,0)</f>
        <v>935</v>
      </c>
      <c r="G936" s="11" t="s">
        <v>4975</v>
      </c>
      <c r="H936" t="str">
        <f>IFERROR(VLOOKUP(ROWS($H$2:H936),F936:G2154,2,0),"")</f>
        <v>Raleigh – Durham Int´l RDU</v>
      </c>
    </row>
    <row r="937" spans="1:8" x14ac:dyDescent="0.25">
      <c r="A937">
        <f>IF(ISNUMBER(SEARCH(Request!$I$19,B937)),MAX($A$1:A936)+1,0)</f>
        <v>936</v>
      </c>
      <c r="B937" s="11" t="s">
        <v>4976</v>
      </c>
      <c r="D937" t="str">
        <f>IFERROR(VLOOKUP(ROWS($D$2:D937),A937:B2155,2,0),"")</f>
        <v>Rapid City Regional RAP</v>
      </c>
      <c r="F937">
        <f>IF(ISNUMBER(SEARCH(Request!$N$19,G937)),MAX(F$1:$F936)+1,0)</f>
        <v>936</v>
      </c>
      <c r="G937" s="11" t="s">
        <v>4976</v>
      </c>
      <c r="H937" t="str">
        <f>IFERROR(VLOOKUP(ROWS($H$2:H937),F937:G2155,2,0),"")</f>
        <v>Rapid City Regional RAP</v>
      </c>
    </row>
    <row r="938" spans="1:8" x14ac:dyDescent="0.25">
      <c r="A938">
        <f>IF(ISNUMBER(SEARCH(Request!$I$19,B938)),MAX($A$1:A937)+1,0)</f>
        <v>937</v>
      </c>
      <c r="B938" s="11" t="s">
        <v>4977</v>
      </c>
      <c r="D938" t="str">
        <f>IFERROR(VLOOKUP(ROWS($D$2:D938),A938:B2156,2,0),"")</f>
        <v>Ras Al Khaimah RKT</v>
      </c>
      <c r="F938">
        <f>IF(ISNUMBER(SEARCH(Request!$N$19,G938)),MAX(F$1:$F937)+1,0)</f>
        <v>937</v>
      </c>
      <c r="G938" s="11" t="s">
        <v>4977</v>
      </c>
      <c r="H938" t="str">
        <f>IFERROR(VLOOKUP(ROWS($H$2:H938),F938:G2156,2,0),"")</f>
        <v>Ras Al Khaimah RKT</v>
      </c>
    </row>
    <row r="939" spans="1:8" x14ac:dyDescent="0.25">
      <c r="A939">
        <f>IF(ISNUMBER(SEARCH(Request!$I$19,B939)),MAX($A$1:A938)+1,0)</f>
        <v>938</v>
      </c>
      <c r="B939" s="11" t="s">
        <v>4978</v>
      </c>
      <c r="D939" t="str">
        <f>IFERROR(VLOOKUP(ROWS($D$2:D939),A939:B2157,2,0),"")</f>
        <v>Reading Regional RDG</v>
      </c>
      <c r="F939">
        <f>IF(ISNUMBER(SEARCH(Request!$N$19,G939)),MAX(F$1:$F938)+1,0)</f>
        <v>938</v>
      </c>
      <c r="G939" s="11" t="s">
        <v>4978</v>
      </c>
      <c r="H939" t="str">
        <f>IFERROR(VLOOKUP(ROWS($H$2:H939),F939:G2157,2,0),"")</f>
        <v>Reading Regional RDG</v>
      </c>
    </row>
    <row r="940" spans="1:8" x14ac:dyDescent="0.25">
      <c r="A940">
        <f>IF(ISNUMBER(SEARCH(Request!$I$19,B940)),MAX($A$1:A939)+1,0)</f>
        <v>939</v>
      </c>
      <c r="B940" s="11" t="s">
        <v>4979</v>
      </c>
      <c r="D940" t="str">
        <f>IFERROR(VLOOKUP(ROWS($D$2:D940),A940:B2158,2,0),"")</f>
        <v>Recife – Guararapes/Gilberto Freyre Int´l REC</v>
      </c>
      <c r="F940">
        <f>IF(ISNUMBER(SEARCH(Request!$N$19,G940)),MAX(F$1:$F939)+1,0)</f>
        <v>939</v>
      </c>
      <c r="G940" s="11" t="s">
        <v>4979</v>
      </c>
      <c r="H940" t="str">
        <f>IFERROR(VLOOKUP(ROWS($H$2:H940),F940:G2158,2,0),"")</f>
        <v>Recife – Guararapes/Gilberto Freyre Int´l REC</v>
      </c>
    </row>
    <row r="941" spans="1:8" x14ac:dyDescent="0.25">
      <c r="A941">
        <f>IF(ISNUMBER(SEARCH(Request!$I$19,B941)),MAX($A$1:A940)+1,0)</f>
        <v>940</v>
      </c>
      <c r="B941" s="11" t="s">
        <v>4980</v>
      </c>
      <c r="D941" t="str">
        <f>IFERROR(VLOOKUP(ROWS($D$2:D941),A941:B2159,2,0),"")</f>
        <v>Redmond Municipal – Roberts Field RDM</v>
      </c>
      <c r="F941">
        <f>IF(ISNUMBER(SEARCH(Request!$N$19,G941)),MAX(F$1:$F940)+1,0)</f>
        <v>940</v>
      </c>
      <c r="G941" s="11" t="s">
        <v>4980</v>
      </c>
      <c r="H941" t="str">
        <f>IFERROR(VLOOKUP(ROWS($H$2:H941),F941:G2159,2,0),"")</f>
        <v>Redmond Municipal – Roberts Field RDM</v>
      </c>
    </row>
    <row r="942" spans="1:8" x14ac:dyDescent="0.25">
      <c r="A942">
        <f>IF(ISNUMBER(SEARCH(Request!$I$19,B942)),MAX($A$1:A941)+1,0)</f>
        <v>941</v>
      </c>
      <c r="B942" s="11" t="s">
        <v>4981</v>
      </c>
      <c r="D942" t="str">
        <f>IFERROR(VLOOKUP(ROWS($D$2:D942),A942:B2160,2,0),"")</f>
        <v>Reims/Champagne RHE</v>
      </c>
      <c r="F942">
        <f>IF(ISNUMBER(SEARCH(Request!$N$19,G942)),MAX(F$1:$F941)+1,0)</f>
        <v>941</v>
      </c>
      <c r="G942" s="11" t="s">
        <v>4981</v>
      </c>
      <c r="H942" t="str">
        <f>IFERROR(VLOOKUP(ROWS($H$2:H942),F942:G2160,2,0),"")</f>
        <v>Reims/Champagne RHE</v>
      </c>
    </row>
    <row r="943" spans="1:8" x14ac:dyDescent="0.25">
      <c r="A943">
        <f>IF(ISNUMBER(SEARCH(Request!$I$19,B943)),MAX($A$1:A942)+1,0)</f>
        <v>942</v>
      </c>
      <c r="B943" s="11" t="s">
        <v>4982</v>
      </c>
      <c r="D943" t="str">
        <f>IFERROR(VLOOKUP(ROWS($D$2:D943),A943:B2161,2,0),"")</f>
        <v>Rennes/Saint-Jacques RNS</v>
      </c>
      <c r="F943">
        <f>IF(ISNUMBER(SEARCH(Request!$N$19,G943)),MAX(F$1:$F942)+1,0)</f>
        <v>942</v>
      </c>
      <c r="G943" s="11" t="s">
        <v>4982</v>
      </c>
      <c r="H943" t="str">
        <f>IFERROR(VLOOKUP(ROWS($H$2:H943),F943:G2161,2,0),"")</f>
        <v>Rennes/Saint-Jacques RNS</v>
      </c>
    </row>
    <row r="944" spans="1:8" x14ac:dyDescent="0.25">
      <c r="A944">
        <f>IF(ISNUMBER(SEARCH(Request!$I$19,B944)),MAX($A$1:A943)+1,0)</f>
        <v>943</v>
      </c>
      <c r="B944" s="11" t="s">
        <v>4983</v>
      </c>
      <c r="D944" t="str">
        <f>IFERROR(VLOOKUP(ROWS($D$2:D944),A944:B2162,2,0),"")</f>
        <v>Reno/Tahoe RNO</v>
      </c>
      <c r="F944">
        <f>IF(ISNUMBER(SEARCH(Request!$N$19,G944)),MAX(F$1:$F943)+1,0)</f>
        <v>943</v>
      </c>
      <c r="G944" s="11" t="s">
        <v>4983</v>
      </c>
      <c r="H944" t="str">
        <f>IFERROR(VLOOKUP(ROWS($H$2:H944),F944:G2162,2,0),"")</f>
        <v>Reno/Tahoe RNO</v>
      </c>
    </row>
    <row r="945" spans="1:8" x14ac:dyDescent="0.25">
      <c r="A945">
        <f>IF(ISNUMBER(SEARCH(Request!$I$19,B945)),MAX($A$1:A944)+1,0)</f>
        <v>944</v>
      </c>
      <c r="B945" s="11" t="s">
        <v>4984</v>
      </c>
      <c r="D945" t="str">
        <f>IFERROR(VLOOKUP(ROWS($D$2:D945),A945:B2163,2,0),"")</f>
        <v>Reus REU</v>
      </c>
      <c r="F945">
        <f>IF(ISNUMBER(SEARCH(Request!$N$19,G945)),MAX(F$1:$F944)+1,0)</f>
        <v>944</v>
      </c>
      <c r="G945" s="11" t="s">
        <v>4984</v>
      </c>
      <c r="H945" t="str">
        <f>IFERROR(VLOOKUP(ROWS($H$2:H945),F945:G2163,2,0),"")</f>
        <v>Reus REU</v>
      </c>
    </row>
    <row r="946" spans="1:8" x14ac:dyDescent="0.25">
      <c r="A946">
        <f>IF(ISNUMBER(SEARCH(Request!$I$19,B946)),MAX($A$1:A945)+1,0)</f>
        <v>945</v>
      </c>
      <c r="B946" s="11" t="s">
        <v>4985</v>
      </c>
      <c r="D946" t="str">
        <f>IFERROR(VLOOKUP(ROWS($D$2:D946),A946:B2164,2,0),"")</f>
        <v>Reykjavik REK</v>
      </c>
      <c r="F946">
        <f>IF(ISNUMBER(SEARCH(Request!$N$19,G946)),MAX(F$1:$F945)+1,0)</f>
        <v>945</v>
      </c>
      <c r="G946" s="11" t="s">
        <v>4985</v>
      </c>
      <c r="H946" t="str">
        <f>IFERROR(VLOOKUP(ROWS($H$2:H946),F946:G2164,2,0),"")</f>
        <v>Reykjavik REK</v>
      </c>
    </row>
    <row r="947" spans="1:8" x14ac:dyDescent="0.25">
      <c r="A947">
        <f>IF(ISNUMBER(SEARCH(Request!$I$19,B947)),MAX($A$1:A946)+1,0)</f>
        <v>946</v>
      </c>
      <c r="B947" s="11" t="s">
        <v>4986</v>
      </c>
      <c r="D947" t="str">
        <f>IFERROR(VLOOKUP(ROWS($D$2:D947),A947:B2165,2,0),"")</f>
        <v>Rhinelander – Oneida County RHI</v>
      </c>
      <c r="F947">
        <f>IF(ISNUMBER(SEARCH(Request!$N$19,G947)),MAX(F$1:$F946)+1,0)</f>
        <v>946</v>
      </c>
      <c r="G947" s="11" t="s">
        <v>4986</v>
      </c>
      <c r="H947" t="str">
        <f>IFERROR(VLOOKUP(ROWS($H$2:H947),F947:G2165,2,0),"")</f>
        <v>Rhinelander – Oneida County RHI</v>
      </c>
    </row>
    <row r="948" spans="1:8" x14ac:dyDescent="0.25">
      <c r="A948">
        <f>IF(ISNUMBER(SEARCH(Request!$I$19,B948)),MAX($A$1:A947)+1,0)</f>
        <v>947</v>
      </c>
      <c r="B948" s="11" t="s">
        <v>4987</v>
      </c>
      <c r="D948" t="str">
        <f>IFERROR(VLOOKUP(ROWS($D$2:D948),A948:B2166,2,0),"")</f>
        <v>Rhodes-Diagoras RHQ</v>
      </c>
      <c r="F948">
        <f>IF(ISNUMBER(SEARCH(Request!$N$19,G948)),MAX(F$1:$F947)+1,0)</f>
        <v>947</v>
      </c>
      <c r="G948" s="11" t="s">
        <v>4987</v>
      </c>
      <c r="H948" t="str">
        <f>IFERROR(VLOOKUP(ROWS($H$2:H948),F948:G2166,2,0),"")</f>
        <v>Rhodes-Diagoras RHQ</v>
      </c>
    </row>
    <row r="949" spans="1:8" x14ac:dyDescent="0.25">
      <c r="A949">
        <f>IF(ISNUMBER(SEARCH(Request!$I$19,B949)),MAX($A$1:A948)+1,0)</f>
        <v>948</v>
      </c>
      <c r="B949" s="11" t="s">
        <v>4988</v>
      </c>
      <c r="D949" t="str">
        <f>IFERROR(VLOOKUP(ROWS($D$2:D949),A949:B2167,2,0),"")</f>
        <v>Richmond RIC</v>
      </c>
      <c r="F949">
        <f>IF(ISNUMBER(SEARCH(Request!$N$19,G949)),MAX(F$1:$F948)+1,0)</f>
        <v>948</v>
      </c>
      <c r="G949" s="11" t="s">
        <v>4988</v>
      </c>
      <c r="H949" t="str">
        <f>IFERROR(VLOOKUP(ROWS($H$2:H949),F949:G2167,2,0),"")</f>
        <v>Richmond RIC</v>
      </c>
    </row>
    <row r="950" spans="1:8" x14ac:dyDescent="0.25">
      <c r="A950">
        <f>IF(ISNUMBER(SEARCH(Request!$I$19,B950)),MAX($A$1:A949)+1,0)</f>
        <v>949</v>
      </c>
      <c r="B950" s="11" t="s">
        <v>4989</v>
      </c>
      <c r="D950" t="str">
        <f>IFERROR(VLOOKUP(ROWS($D$2:D950),A950:B2168,2,0),"")</f>
        <v>Rickenbacker LCK</v>
      </c>
      <c r="F950">
        <f>IF(ISNUMBER(SEARCH(Request!$N$19,G950)),MAX(F$1:$F949)+1,0)</f>
        <v>949</v>
      </c>
      <c r="G950" s="11" t="s">
        <v>4989</v>
      </c>
      <c r="H950" t="str">
        <f>IFERROR(VLOOKUP(ROWS($H$2:H950),F950:G2168,2,0),"")</f>
        <v>Rickenbacker LCK</v>
      </c>
    </row>
    <row r="951" spans="1:8" x14ac:dyDescent="0.25">
      <c r="A951">
        <f>IF(ISNUMBER(SEARCH(Request!$I$19,B951)),MAX($A$1:A950)+1,0)</f>
        <v>950</v>
      </c>
      <c r="B951" s="11" t="s">
        <v>4990</v>
      </c>
      <c r="D951" t="str">
        <f>IFERROR(VLOOKUP(ROWS($D$2:D951),A951:B2169,2,0),"")</f>
        <v>Riga RIX</v>
      </c>
      <c r="F951">
        <f>IF(ISNUMBER(SEARCH(Request!$N$19,G951)),MAX(F$1:$F950)+1,0)</f>
        <v>950</v>
      </c>
      <c r="G951" s="11" t="s">
        <v>4990</v>
      </c>
      <c r="H951" t="str">
        <f>IFERROR(VLOOKUP(ROWS($H$2:H951),F951:G2169,2,0),"")</f>
        <v>Riga RIX</v>
      </c>
    </row>
    <row r="952" spans="1:8" x14ac:dyDescent="0.25">
      <c r="A952">
        <f>IF(ISNUMBER(SEARCH(Request!$I$19,B952)),MAX($A$1:A951)+1,0)</f>
        <v>951</v>
      </c>
      <c r="B952" s="11" t="s">
        <v>4991</v>
      </c>
      <c r="D952" t="str">
        <f>IFERROR(VLOOKUP(ROWS($D$2:D952),A952:B2170,2,0),"")</f>
        <v>Rijeka-Riviera Kvarner RJK</v>
      </c>
      <c r="F952">
        <f>IF(ISNUMBER(SEARCH(Request!$N$19,G952)),MAX(F$1:$F951)+1,0)</f>
        <v>951</v>
      </c>
      <c r="G952" s="11" t="s">
        <v>4991</v>
      </c>
      <c r="H952" t="str">
        <f>IFERROR(VLOOKUP(ROWS($H$2:H952),F952:G2170,2,0),"")</f>
        <v>Rijeka-Riviera Kvarner RJK</v>
      </c>
    </row>
    <row r="953" spans="1:8" x14ac:dyDescent="0.25">
      <c r="A953">
        <f>IF(ISNUMBER(SEARCH(Request!$I$19,B953)),MAX($A$1:A952)+1,0)</f>
        <v>952</v>
      </c>
      <c r="B953" s="11" t="s">
        <v>4992</v>
      </c>
      <c r="D953" t="str">
        <f>IFERROR(VLOOKUP(ROWS($D$2:D953),A953:B2171,2,0),"")</f>
        <v>Rimini – Miramareo RMI</v>
      </c>
      <c r="F953">
        <f>IF(ISNUMBER(SEARCH(Request!$N$19,G953)),MAX(F$1:$F952)+1,0)</f>
        <v>952</v>
      </c>
      <c r="G953" s="11" t="s">
        <v>4992</v>
      </c>
      <c r="H953" t="str">
        <f>IFERROR(VLOOKUP(ROWS($H$2:H953),F953:G2171,2,0),"")</f>
        <v>Rimini – Miramareo RMI</v>
      </c>
    </row>
    <row r="954" spans="1:8" x14ac:dyDescent="0.25">
      <c r="A954">
        <f>IF(ISNUMBER(SEARCH(Request!$I$19,B954)),MAX($A$1:A953)+1,0)</f>
        <v>953</v>
      </c>
      <c r="B954" s="11" t="s">
        <v>4993</v>
      </c>
      <c r="D954" t="str">
        <f>IFERROR(VLOOKUP(ROWS($D$2:D954),A954:B2172,2,0),"")</f>
        <v>Rio Branco – Presidente Medici RBR</v>
      </c>
      <c r="F954">
        <f>IF(ISNUMBER(SEARCH(Request!$N$19,G954)),MAX(F$1:$F953)+1,0)</f>
        <v>953</v>
      </c>
      <c r="G954" s="11" t="s">
        <v>4993</v>
      </c>
      <c r="H954" t="str">
        <f>IFERROR(VLOOKUP(ROWS($H$2:H954),F954:G2172,2,0),"")</f>
        <v>Rio Branco – Presidente Medici RBR</v>
      </c>
    </row>
    <row r="955" spans="1:8" x14ac:dyDescent="0.25">
      <c r="A955">
        <f>IF(ISNUMBER(SEARCH(Request!$I$19,B955)),MAX($A$1:A954)+1,0)</f>
        <v>954</v>
      </c>
      <c r="B955" s="11" t="s">
        <v>4994</v>
      </c>
      <c r="D955" t="str">
        <f>IFERROR(VLOOKUP(ROWS($D$2:D955),A955:B2173,2,0),"")</f>
        <v>Rio De Janeiro – Santos Dumont GIG</v>
      </c>
      <c r="F955">
        <f>IF(ISNUMBER(SEARCH(Request!$N$19,G955)),MAX(F$1:$F954)+1,0)</f>
        <v>954</v>
      </c>
      <c r="G955" s="11" t="s">
        <v>4994</v>
      </c>
      <c r="H955" t="str">
        <f>IFERROR(VLOOKUP(ROWS($H$2:H955),F955:G2173,2,0),"")</f>
        <v>Rio De Janeiro – Santos Dumont GIG</v>
      </c>
    </row>
    <row r="956" spans="1:8" x14ac:dyDescent="0.25">
      <c r="A956">
        <f>IF(ISNUMBER(SEARCH(Request!$I$19,B956)),MAX($A$1:A955)+1,0)</f>
        <v>955</v>
      </c>
      <c r="B956" s="11" t="s">
        <v>4995</v>
      </c>
      <c r="D956" t="str">
        <f>IFERROR(VLOOKUP(ROWS($D$2:D956),A956:B2174,2,0),"")</f>
        <v>Rio de Janeiro-Galeão – Antonio Carlos Jobim International A GIG</v>
      </c>
      <c r="F956">
        <f>IF(ISNUMBER(SEARCH(Request!$N$19,G956)),MAX(F$1:$F955)+1,0)</f>
        <v>955</v>
      </c>
      <c r="G956" s="11" t="s">
        <v>4995</v>
      </c>
      <c r="H956" t="str">
        <f>IFERROR(VLOOKUP(ROWS($H$2:H956),F956:G2174,2,0),"")</f>
        <v>Rio de Janeiro-Galeão – Antonio Carlos Jobim International A GIG</v>
      </c>
    </row>
    <row r="957" spans="1:8" x14ac:dyDescent="0.25">
      <c r="A957">
        <f>IF(ISNUMBER(SEARCH(Request!$I$19,B957)),MAX($A$1:A956)+1,0)</f>
        <v>956</v>
      </c>
      <c r="B957" s="11" t="s">
        <v>4996</v>
      </c>
      <c r="D957" t="str">
        <f>IFERROR(VLOOKUP(ROWS($D$2:D957),A957:B2175,2,0),"")</f>
        <v>Riyadh – King Khaled RUH</v>
      </c>
      <c r="F957">
        <f>IF(ISNUMBER(SEARCH(Request!$N$19,G957)),MAX(F$1:$F956)+1,0)</f>
        <v>956</v>
      </c>
      <c r="G957" s="11" t="s">
        <v>4996</v>
      </c>
      <c r="H957" t="str">
        <f>IFERROR(VLOOKUP(ROWS($H$2:H957),F957:G2175,2,0),"")</f>
        <v>Riyadh – King Khaled RUH</v>
      </c>
    </row>
    <row r="958" spans="1:8" x14ac:dyDescent="0.25">
      <c r="A958">
        <f>IF(ISNUMBER(SEARCH(Request!$I$19,B958)),MAX($A$1:A957)+1,0)</f>
        <v>957</v>
      </c>
      <c r="B958" s="11" t="s">
        <v>4997</v>
      </c>
      <c r="D958" t="str">
        <f>IFERROR(VLOOKUP(ROWS($D$2:D958),A958:B2176,2,0),"")</f>
        <v>Roanoke Regional ROA</v>
      </c>
      <c r="F958">
        <f>IF(ISNUMBER(SEARCH(Request!$N$19,G958)),MAX(F$1:$F957)+1,0)</f>
        <v>957</v>
      </c>
      <c r="G958" s="11" t="s">
        <v>4997</v>
      </c>
      <c r="H958" t="str">
        <f>IFERROR(VLOOKUP(ROWS($H$2:H958),F958:G2176,2,0),"")</f>
        <v>Roanoke Regional ROA</v>
      </c>
    </row>
    <row r="959" spans="1:8" x14ac:dyDescent="0.25">
      <c r="A959">
        <f>IF(ISNUMBER(SEARCH(Request!$I$19,B959)),MAX($A$1:A958)+1,0)</f>
        <v>958</v>
      </c>
      <c r="B959" s="11" t="s">
        <v>4998</v>
      </c>
      <c r="D959" t="str">
        <f>IFERROR(VLOOKUP(ROWS($D$2:D959),A959:B2177,2,0),"")</f>
        <v>Rochester RST</v>
      </c>
      <c r="F959">
        <f>IF(ISNUMBER(SEARCH(Request!$N$19,G959)),MAX(F$1:$F958)+1,0)</f>
        <v>958</v>
      </c>
      <c r="G959" s="11" t="s">
        <v>4998</v>
      </c>
      <c r="H959" t="str">
        <f>IFERROR(VLOOKUP(ROWS($H$2:H959),F959:G2177,2,0),"")</f>
        <v>Rochester RST</v>
      </c>
    </row>
    <row r="960" spans="1:8" x14ac:dyDescent="0.25">
      <c r="A960">
        <f>IF(ISNUMBER(SEARCH(Request!$I$19,B960)),MAX($A$1:A959)+1,0)</f>
        <v>959</v>
      </c>
      <c r="B960" s="11" t="s">
        <v>4999</v>
      </c>
      <c r="D960" t="str">
        <f>IFERROR(VLOOKUP(ROWS($D$2:D960),A960:B2178,2,0),"")</f>
        <v>Rock Sound RSD</v>
      </c>
      <c r="F960">
        <f>IF(ISNUMBER(SEARCH(Request!$N$19,G960)),MAX(F$1:$F959)+1,0)</f>
        <v>959</v>
      </c>
      <c r="G960" s="11" t="s">
        <v>4999</v>
      </c>
      <c r="H960" t="str">
        <f>IFERROR(VLOOKUP(ROWS($H$2:H960),F960:G2178,2,0),"")</f>
        <v>Rock Sound RSD</v>
      </c>
    </row>
    <row r="961" spans="1:8" x14ac:dyDescent="0.25">
      <c r="A961">
        <f>IF(ISNUMBER(SEARCH(Request!$I$19,B961)),MAX($A$1:A960)+1,0)</f>
        <v>960</v>
      </c>
      <c r="B961" s="11" t="s">
        <v>5000</v>
      </c>
      <c r="D961" t="str">
        <f>IFERROR(VLOOKUP(ROWS($D$2:D961),A961:B2179,2,0),"")</f>
        <v>Rocky Mount/Wilson Regional RWI</v>
      </c>
      <c r="F961">
        <f>IF(ISNUMBER(SEARCH(Request!$N$19,G961)),MAX(F$1:$F960)+1,0)</f>
        <v>960</v>
      </c>
      <c r="G961" s="11" t="s">
        <v>5000</v>
      </c>
      <c r="H961" t="str">
        <f>IFERROR(VLOOKUP(ROWS($H$2:H961),F961:G2179,2,0),"")</f>
        <v>Rocky Mount/Wilson Regional RWI</v>
      </c>
    </row>
    <row r="962" spans="1:8" x14ac:dyDescent="0.25">
      <c r="A962">
        <f>IF(ISNUMBER(SEARCH(Request!$I$19,B962)),MAX($A$1:A961)+1,0)</f>
        <v>961</v>
      </c>
      <c r="B962" s="11" t="s">
        <v>5001</v>
      </c>
      <c r="D962" t="str">
        <f>IFERROR(VLOOKUP(ROWS($D$2:D962),A962:B2180,2,0),"")</f>
        <v>Rodez/Marcillac RDZ</v>
      </c>
      <c r="F962">
        <f>IF(ISNUMBER(SEARCH(Request!$N$19,G962)),MAX(F$1:$F961)+1,0)</f>
        <v>961</v>
      </c>
      <c r="G962" s="11" t="s">
        <v>5001</v>
      </c>
      <c r="H962" t="str">
        <f>IFERROR(VLOOKUP(ROWS($H$2:H962),F962:G2180,2,0),"")</f>
        <v>Rodez/Marcillac RDZ</v>
      </c>
    </row>
    <row r="963" spans="1:8" x14ac:dyDescent="0.25">
      <c r="A963">
        <f>IF(ISNUMBER(SEARCH(Request!$I$19,B963)),MAX($A$1:A962)+1,0)</f>
        <v>962</v>
      </c>
      <c r="B963" s="11" t="s">
        <v>5002</v>
      </c>
      <c r="D963" t="str">
        <f>IFERROR(VLOOKUP(ROWS($D$2:D963),A963:B2181,2,0),"")</f>
        <v>Roland Garros RUN</v>
      </c>
      <c r="F963">
        <f>IF(ISNUMBER(SEARCH(Request!$N$19,G963)),MAX(F$1:$F962)+1,0)</f>
        <v>962</v>
      </c>
      <c r="G963" s="11" t="s">
        <v>5002</v>
      </c>
      <c r="H963" t="str">
        <f>IFERROR(VLOOKUP(ROWS($H$2:H963),F963:G2181,2,0),"")</f>
        <v>Roland Garros RUN</v>
      </c>
    </row>
    <row r="964" spans="1:8" x14ac:dyDescent="0.25">
      <c r="A964">
        <f>IF(ISNUMBER(SEARCH(Request!$I$19,B964)),MAX($A$1:A963)+1,0)</f>
        <v>963</v>
      </c>
      <c r="B964" s="11" t="s">
        <v>5003</v>
      </c>
      <c r="D964" t="str">
        <f>IFERROR(VLOOKUP(ROWS($D$2:D964),A964:B2182,2,0),"")</f>
        <v>Rome – Ciampino CIA</v>
      </c>
      <c r="F964">
        <f>IF(ISNUMBER(SEARCH(Request!$N$19,G964)),MAX(F$1:$F963)+1,0)</f>
        <v>963</v>
      </c>
      <c r="G964" s="11" t="s">
        <v>5003</v>
      </c>
      <c r="H964" t="str">
        <f>IFERROR(VLOOKUP(ROWS($H$2:H964),F964:G2182,2,0),"")</f>
        <v>Rome – Ciampino CIA</v>
      </c>
    </row>
    <row r="965" spans="1:8" x14ac:dyDescent="0.25">
      <c r="A965">
        <f>IF(ISNUMBER(SEARCH(Request!$I$19,B965)),MAX($A$1:A964)+1,0)</f>
        <v>964</v>
      </c>
      <c r="B965" s="11" t="s">
        <v>5004</v>
      </c>
      <c r="D965" t="str">
        <f>IFERROR(VLOOKUP(ROWS($D$2:D965),A965:B2183,2,0),"")</f>
        <v>Rome-Leonardo da Vinci Fiumicino FCO</v>
      </c>
      <c r="F965">
        <f>IF(ISNUMBER(SEARCH(Request!$N$19,G965)),MAX(F$1:$F964)+1,0)</f>
        <v>964</v>
      </c>
      <c r="G965" s="11" t="s">
        <v>5004</v>
      </c>
      <c r="H965" t="str">
        <f>IFERROR(VLOOKUP(ROWS($H$2:H965),F965:G2183,2,0),"")</f>
        <v>Rome-Leonardo da Vinci Fiumicino FCO</v>
      </c>
    </row>
    <row r="966" spans="1:8" x14ac:dyDescent="0.25">
      <c r="A966">
        <f>IF(ISNUMBER(SEARCH(Request!$I$19,B966)),MAX($A$1:A965)+1,0)</f>
        <v>965</v>
      </c>
      <c r="B966" s="11" t="s">
        <v>5005</v>
      </c>
      <c r="D966" t="str">
        <f>IFERROR(VLOOKUP(ROWS($D$2:D966),A966:B2184,2,0),"")</f>
        <v>Rosh Pina – Mahanaim Ben Yaakov RPN</v>
      </c>
      <c r="F966">
        <f>IF(ISNUMBER(SEARCH(Request!$N$19,G966)),MAX(F$1:$F965)+1,0)</f>
        <v>965</v>
      </c>
      <c r="G966" s="11" t="s">
        <v>5005</v>
      </c>
      <c r="H966" t="str">
        <f>IFERROR(VLOOKUP(ROWS($H$2:H966),F966:G2184,2,0),"")</f>
        <v>Rosh Pina – Mahanaim Ben Yaakov RPN</v>
      </c>
    </row>
    <row r="967" spans="1:8" x14ac:dyDescent="0.25">
      <c r="A967">
        <f>IF(ISNUMBER(SEARCH(Request!$I$19,B967)),MAX($A$1:A966)+1,0)</f>
        <v>966</v>
      </c>
      <c r="B967" s="11" t="s">
        <v>5006</v>
      </c>
      <c r="D967" t="str">
        <f>IFERROR(VLOOKUP(ROWS($D$2:D967),A967:B2185,2,0),"")</f>
        <v>Roswell Industrial Air Center ROW</v>
      </c>
      <c r="F967">
        <f>IF(ISNUMBER(SEARCH(Request!$N$19,G967)),MAX(F$1:$F966)+1,0)</f>
        <v>966</v>
      </c>
      <c r="G967" s="11" t="s">
        <v>5006</v>
      </c>
      <c r="H967" t="str">
        <f>IFERROR(VLOOKUP(ROWS($H$2:H967),F967:G2185,2,0),"")</f>
        <v>Roswell Industrial Air Center ROW</v>
      </c>
    </row>
    <row r="968" spans="1:8" x14ac:dyDescent="0.25">
      <c r="A968">
        <f>IF(ISNUMBER(SEARCH(Request!$I$19,B968)),MAX($A$1:A967)+1,0)</f>
        <v>967</v>
      </c>
      <c r="B968" s="11" t="s">
        <v>5007</v>
      </c>
      <c r="D968" t="str">
        <f>IFERROR(VLOOKUP(ROWS($D$2:D968),A968:B2186,2,0),"")</f>
        <v>Rotterdam RTM</v>
      </c>
      <c r="F968">
        <f>IF(ISNUMBER(SEARCH(Request!$N$19,G968)),MAX(F$1:$F967)+1,0)</f>
        <v>967</v>
      </c>
      <c r="G968" s="11" t="s">
        <v>5007</v>
      </c>
      <c r="H968" t="str">
        <f>IFERROR(VLOOKUP(ROWS($H$2:H968),F968:G2186,2,0),"")</f>
        <v>Rotterdam RTM</v>
      </c>
    </row>
    <row r="969" spans="1:8" x14ac:dyDescent="0.25">
      <c r="A969">
        <f>IF(ISNUMBER(SEARCH(Request!$I$19,B969)),MAX($A$1:A968)+1,0)</f>
        <v>968</v>
      </c>
      <c r="B969" s="11" t="s">
        <v>5008</v>
      </c>
      <c r="D969" t="str">
        <f>IFERROR(VLOOKUP(ROWS($D$2:D969),A969:B2187,2,0),"")</f>
        <v>Rovaniemi RVN</v>
      </c>
      <c r="F969">
        <f>IF(ISNUMBER(SEARCH(Request!$N$19,G969)),MAX(F$1:$F968)+1,0)</f>
        <v>968</v>
      </c>
      <c r="G969" s="11" t="s">
        <v>5008</v>
      </c>
      <c r="H969" t="str">
        <f>IFERROR(VLOOKUP(ROWS($H$2:H969),F969:G2187,2,0),"")</f>
        <v>Rovaniemi RVN</v>
      </c>
    </row>
    <row r="970" spans="1:8" x14ac:dyDescent="0.25">
      <c r="A970">
        <f>IF(ISNUMBER(SEARCH(Request!$I$19,B970)),MAX($A$1:A969)+1,0)</f>
        <v>969</v>
      </c>
      <c r="B970" s="11" t="s">
        <v>5009</v>
      </c>
      <c r="D970" t="str">
        <f>IFERROR(VLOOKUP(ROWS($D$2:D970),A970:B2188,2,0),"")</f>
        <v>Rzeszow-Jasionka RZE</v>
      </c>
      <c r="F970">
        <f>IF(ISNUMBER(SEARCH(Request!$N$19,G970)),MAX(F$1:$F969)+1,0)</f>
        <v>969</v>
      </c>
      <c r="G970" s="11" t="s">
        <v>5009</v>
      </c>
      <c r="H970" t="str">
        <f>IFERROR(VLOOKUP(ROWS($H$2:H970),F970:G2188,2,0),"")</f>
        <v>Rzeszow-Jasionka RZE</v>
      </c>
    </row>
    <row r="971" spans="1:8" x14ac:dyDescent="0.25">
      <c r="A971">
        <f>IF(ISNUMBER(SEARCH(Request!$I$19,B971)),MAX($A$1:A970)+1,0)</f>
        <v>970</v>
      </c>
      <c r="B971" s="11" t="s">
        <v>5010</v>
      </c>
      <c r="D971" t="str">
        <f>IFERROR(VLOOKUP(ROWS($D$2:D971),A971:B2189,2,0),"")</f>
        <v>Saarbrucken SCN</v>
      </c>
      <c r="F971">
        <f>IF(ISNUMBER(SEARCH(Request!$N$19,G971)),MAX(F$1:$F970)+1,0)</f>
        <v>970</v>
      </c>
      <c r="G971" s="11" t="s">
        <v>5010</v>
      </c>
      <c r="H971" t="str">
        <f>IFERROR(VLOOKUP(ROWS($H$2:H971),F971:G2189,2,0),"")</f>
        <v>Saarbrucken SCN</v>
      </c>
    </row>
    <row r="972" spans="1:8" x14ac:dyDescent="0.25">
      <c r="A972">
        <f>IF(ISNUMBER(SEARCH(Request!$I$19,B972)),MAX($A$1:A971)+1,0)</f>
        <v>971</v>
      </c>
      <c r="B972" s="11" t="s">
        <v>5011</v>
      </c>
      <c r="D972" t="str">
        <f>IFERROR(VLOOKUP(ROWS($D$2:D972),A972:B2190,2,0),"")</f>
        <v>Sabadell QSA</v>
      </c>
      <c r="F972">
        <f>IF(ISNUMBER(SEARCH(Request!$N$19,G972)),MAX(F$1:$F971)+1,0)</f>
        <v>971</v>
      </c>
      <c r="G972" s="11" t="s">
        <v>5011</v>
      </c>
      <c r="H972" t="str">
        <f>IFERROR(VLOOKUP(ROWS($H$2:H972),F972:G2190,2,0),"")</f>
        <v>Sabadell QSA</v>
      </c>
    </row>
    <row r="973" spans="1:8" x14ac:dyDescent="0.25">
      <c r="A973">
        <f>IF(ISNUMBER(SEARCH(Request!$I$19,B973)),MAX($A$1:A972)+1,0)</f>
        <v>972</v>
      </c>
      <c r="B973" s="11" t="s">
        <v>5012</v>
      </c>
      <c r="D973" t="str">
        <f>IFERROR(VLOOKUP(ROWS($D$2:D973),A973:B2191,2,0),"")</f>
        <v>Sacramento County System SMF</v>
      </c>
      <c r="F973">
        <f>IF(ISNUMBER(SEARCH(Request!$N$19,G973)),MAX(F$1:$F972)+1,0)</f>
        <v>972</v>
      </c>
      <c r="G973" s="11" t="s">
        <v>5012</v>
      </c>
      <c r="H973" t="str">
        <f>IFERROR(VLOOKUP(ROWS($H$2:H973),F973:G2191,2,0),"")</f>
        <v>Sacramento County System SMF</v>
      </c>
    </row>
    <row r="974" spans="1:8" x14ac:dyDescent="0.25">
      <c r="A974">
        <f>IF(ISNUMBER(SEARCH(Request!$I$19,B974)),MAX($A$1:A973)+1,0)</f>
        <v>973</v>
      </c>
      <c r="B974" s="11" t="s">
        <v>5013</v>
      </c>
      <c r="D974" t="str">
        <f>IFERROR(VLOOKUP(ROWS($D$2:D974),A974:B2192,2,0),"")</f>
        <v>Saint Brieuc-Armor SBK</v>
      </c>
      <c r="F974">
        <f>IF(ISNUMBER(SEARCH(Request!$N$19,G974)),MAX(F$1:$F973)+1,0)</f>
        <v>973</v>
      </c>
      <c r="G974" s="11" t="s">
        <v>5013</v>
      </c>
      <c r="H974" t="str">
        <f>IFERROR(VLOOKUP(ROWS($H$2:H974),F974:G2192,2,0),"")</f>
        <v>Saint Brieuc-Armor SBK</v>
      </c>
    </row>
    <row r="975" spans="1:8" x14ac:dyDescent="0.25">
      <c r="A975">
        <f>IF(ISNUMBER(SEARCH(Request!$I$19,B975)),MAX($A$1:A974)+1,0)</f>
        <v>974</v>
      </c>
      <c r="B975" s="11" t="s">
        <v>5014</v>
      </c>
      <c r="D975" t="str">
        <f>IFERROR(VLOOKUP(ROWS($D$2:D975),A975:B2193,2,0),"")</f>
        <v>Saint Croix – Henry E Rohlsen STX</v>
      </c>
      <c r="F975">
        <f>IF(ISNUMBER(SEARCH(Request!$N$19,G975)),MAX(F$1:$F974)+1,0)</f>
        <v>974</v>
      </c>
      <c r="G975" s="11" t="s">
        <v>5014</v>
      </c>
      <c r="H975" t="str">
        <f>IFERROR(VLOOKUP(ROWS($H$2:H975),F975:G2193,2,0),"")</f>
        <v>Saint Croix – Henry E Rohlsen STX</v>
      </c>
    </row>
    <row r="976" spans="1:8" x14ac:dyDescent="0.25">
      <c r="A976">
        <f>IF(ISNUMBER(SEARCH(Request!$I$19,B976)),MAX($A$1:A975)+1,0)</f>
        <v>975</v>
      </c>
      <c r="B976" s="11" t="s">
        <v>5015</v>
      </c>
      <c r="D976" t="str">
        <f>IFERROR(VLOOKUP(ROWS($D$2:D976),A976:B2194,2,0),"")</f>
        <v>Saint Etienne/Boutheon EBU</v>
      </c>
      <c r="F976">
        <f>IF(ISNUMBER(SEARCH(Request!$N$19,G976)),MAX(F$1:$F975)+1,0)</f>
        <v>975</v>
      </c>
      <c r="G976" s="11" t="s">
        <v>5015</v>
      </c>
      <c r="H976" t="str">
        <f>IFERROR(VLOOKUP(ROWS($H$2:H976),F976:G2194,2,0),"")</f>
        <v>Saint Etienne/Boutheon EBU</v>
      </c>
    </row>
    <row r="977" spans="1:8" x14ac:dyDescent="0.25">
      <c r="A977">
        <f>IF(ISNUMBER(SEARCH(Request!$I$19,B977)),MAX($A$1:A976)+1,0)</f>
        <v>976</v>
      </c>
      <c r="B977" s="11" t="s">
        <v>5016</v>
      </c>
      <c r="D977" t="str">
        <f>IFERROR(VLOOKUP(ROWS($D$2:D977),A977:B2195,2,0),"")</f>
        <v>Saint Kitts – Robert Bradshaw SKB</v>
      </c>
      <c r="F977">
        <f>IF(ISNUMBER(SEARCH(Request!$N$19,G977)),MAX(F$1:$F976)+1,0)</f>
        <v>976</v>
      </c>
      <c r="G977" s="11" t="s">
        <v>5016</v>
      </c>
      <c r="H977" t="str">
        <f>IFERROR(VLOOKUP(ROWS($H$2:H977),F977:G2195,2,0),"")</f>
        <v>Saint Kitts – Robert Bradshaw SKB</v>
      </c>
    </row>
    <row r="978" spans="1:8" x14ac:dyDescent="0.25">
      <c r="A978">
        <f>IF(ISNUMBER(SEARCH(Request!$I$19,B978)),MAX($A$1:A977)+1,0)</f>
        <v>977</v>
      </c>
      <c r="B978" s="11" t="s">
        <v>5017</v>
      </c>
      <c r="D978" t="str">
        <f>IFERROR(VLOOKUP(ROWS($D$2:D978),A978:B2196,2,0),"")</f>
        <v>Saint Louis – Lambert Int´l STL</v>
      </c>
      <c r="F978">
        <f>IF(ISNUMBER(SEARCH(Request!$N$19,G978)),MAX(F$1:$F977)+1,0)</f>
        <v>977</v>
      </c>
      <c r="G978" s="11" t="s">
        <v>5017</v>
      </c>
      <c r="H978" t="str">
        <f>IFERROR(VLOOKUP(ROWS($H$2:H978),F978:G2196,2,0),"")</f>
        <v>Saint Louis – Lambert Int´l STL</v>
      </c>
    </row>
    <row r="979" spans="1:8" x14ac:dyDescent="0.25">
      <c r="A979">
        <f>IF(ISNUMBER(SEARCH(Request!$I$19,B979)),MAX($A$1:A978)+1,0)</f>
        <v>978</v>
      </c>
      <c r="B979" s="11" t="s">
        <v>5018</v>
      </c>
      <c r="D979" t="str">
        <f>IFERROR(VLOOKUP(ROWS($D$2:D979),A979:B2197,2,0),"")</f>
        <v>Saint Lucia – Hewanorra UVW</v>
      </c>
      <c r="F979">
        <f>IF(ISNUMBER(SEARCH(Request!$N$19,G979)),MAX(F$1:$F978)+1,0)</f>
        <v>978</v>
      </c>
      <c r="G979" s="11" t="s">
        <v>5018</v>
      </c>
      <c r="H979" t="str">
        <f>IFERROR(VLOOKUP(ROWS($H$2:H979),F979:G2197,2,0),"")</f>
        <v>Saint Lucia – Hewanorra UVW</v>
      </c>
    </row>
    <row r="980" spans="1:8" x14ac:dyDescent="0.25">
      <c r="A980">
        <f>IF(ISNUMBER(SEARCH(Request!$I$19,B980)),MAX($A$1:A979)+1,0)</f>
        <v>979</v>
      </c>
      <c r="B980" s="11" t="s">
        <v>5019</v>
      </c>
      <c r="D980" t="str">
        <f>IFERROR(VLOOKUP(ROWS($D$2:D980),A980:B2198,2,0),"")</f>
        <v>Saint Lucia-Vigie SLU</v>
      </c>
      <c r="F980">
        <f>IF(ISNUMBER(SEARCH(Request!$N$19,G980)),MAX(F$1:$F979)+1,0)</f>
        <v>979</v>
      </c>
      <c r="G980" s="11" t="s">
        <v>5019</v>
      </c>
      <c r="H980" t="str">
        <f>IFERROR(VLOOKUP(ROWS($H$2:H980),F980:G2198,2,0),"")</f>
        <v>Saint Lucia-Vigie SLU</v>
      </c>
    </row>
    <row r="981" spans="1:8" x14ac:dyDescent="0.25">
      <c r="A981">
        <f>IF(ISNUMBER(SEARCH(Request!$I$19,B981)),MAX($A$1:A980)+1,0)</f>
        <v>980</v>
      </c>
      <c r="B981" s="11" t="s">
        <v>5020</v>
      </c>
      <c r="D981" t="str">
        <f>IFERROR(VLOOKUP(ROWS($D$2:D981),A981:B2199,2,0),"")</f>
        <v>Saint Maarten-Princess Juliana SXM</v>
      </c>
      <c r="F981">
        <f>IF(ISNUMBER(SEARCH(Request!$N$19,G981)),MAX(F$1:$F980)+1,0)</f>
        <v>980</v>
      </c>
      <c r="G981" s="11" t="s">
        <v>5020</v>
      </c>
      <c r="H981" t="str">
        <f>IFERROR(VLOOKUP(ROWS($H$2:H981),F981:G2199,2,0),"")</f>
        <v>Saint Maarten-Princess Juliana SXM</v>
      </c>
    </row>
    <row r="982" spans="1:8" x14ac:dyDescent="0.25">
      <c r="A982">
        <f>IF(ISNUMBER(SEARCH(Request!$I$19,B982)),MAX($A$1:A981)+1,0)</f>
        <v>981</v>
      </c>
      <c r="B982" s="11" t="s">
        <v>5021</v>
      </c>
      <c r="D982" t="str">
        <f>IFERROR(VLOOKUP(ROWS($D$2:D982),A982:B2200,2,0),"")</f>
        <v>Saint Thomas-Cyril E King STT</v>
      </c>
      <c r="F982">
        <f>IF(ISNUMBER(SEARCH(Request!$N$19,G982)),MAX(F$1:$F981)+1,0)</f>
        <v>981</v>
      </c>
      <c r="G982" s="11" t="s">
        <v>5021</v>
      </c>
      <c r="H982" t="str">
        <f>IFERROR(VLOOKUP(ROWS($H$2:H982),F982:G2200,2,0),"")</f>
        <v>Saint Thomas-Cyril E King STT</v>
      </c>
    </row>
    <row r="983" spans="1:8" x14ac:dyDescent="0.25">
      <c r="A983">
        <f>IF(ISNUMBER(SEARCH(Request!$I$19,B983)),MAX($A$1:A982)+1,0)</f>
        <v>982</v>
      </c>
      <c r="B983" s="11" t="s">
        <v>5022</v>
      </c>
      <c r="D983" t="str">
        <f>IFERROR(VLOOKUP(ROWS($D$2:D983),A983:B2201,2,0),"")</f>
        <v>Saint Vincent-E T Joshua SVD</v>
      </c>
      <c r="F983">
        <f>IF(ISNUMBER(SEARCH(Request!$N$19,G983)),MAX(F$1:$F982)+1,0)</f>
        <v>982</v>
      </c>
      <c r="G983" s="11" t="s">
        <v>5022</v>
      </c>
      <c r="H983" t="str">
        <f>IFERROR(VLOOKUP(ROWS($H$2:H983),F983:G2201,2,0),"")</f>
        <v>Saint Vincent-E T Joshua SVD</v>
      </c>
    </row>
    <row r="984" spans="1:8" x14ac:dyDescent="0.25">
      <c r="A984">
        <f>IF(ISNUMBER(SEARCH(Request!$I$19,B984)),MAX($A$1:A983)+1,0)</f>
        <v>983</v>
      </c>
      <c r="B984" s="11" t="s">
        <v>5023</v>
      </c>
      <c r="D984" t="str">
        <f>IFERROR(VLOOKUP(ROWS($D$2:D984),A984:B2202,2,0),"")</f>
        <v>Saipan SPN</v>
      </c>
      <c r="F984">
        <f>IF(ISNUMBER(SEARCH(Request!$N$19,G984)),MAX(F$1:$F983)+1,0)</f>
        <v>983</v>
      </c>
      <c r="G984" s="11" t="s">
        <v>5023</v>
      </c>
      <c r="H984" t="str">
        <f>IFERROR(VLOOKUP(ROWS($H$2:H984),F984:G2202,2,0),"")</f>
        <v>Saipan SPN</v>
      </c>
    </row>
    <row r="985" spans="1:8" x14ac:dyDescent="0.25">
      <c r="A985">
        <f>IF(ISNUMBER(SEARCH(Request!$I$19,B985)),MAX($A$1:A984)+1,0)</f>
        <v>984</v>
      </c>
      <c r="B985" s="11" t="s">
        <v>5024</v>
      </c>
      <c r="D985" t="str">
        <f>IFERROR(VLOOKUP(ROWS($D$2:D985),A985:B2203,2,0),"")</f>
        <v>Salalah SLL</v>
      </c>
      <c r="F985">
        <f>IF(ISNUMBER(SEARCH(Request!$N$19,G985)),MAX(F$1:$F984)+1,0)</f>
        <v>984</v>
      </c>
      <c r="G985" s="11" t="s">
        <v>5024</v>
      </c>
      <c r="H985" t="str">
        <f>IFERROR(VLOOKUP(ROWS($H$2:H985),F985:G2203,2,0),"")</f>
        <v>Salalah SLL</v>
      </c>
    </row>
    <row r="986" spans="1:8" x14ac:dyDescent="0.25">
      <c r="A986">
        <f>IF(ISNUMBER(SEARCH(Request!$I$19,B986)),MAX($A$1:A985)+1,0)</f>
        <v>985</v>
      </c>
      <c r="B986" s="11" t="s">
        <v>5025</v>
      </c>
      <c r="D986" t="str">
        <f>IFERROR(VLOOKUP(ROWS($D$2:D986),A986:B2204,2,0),"")</f>
        <v>Salamanca SLM</v>
      </c>
      <c r="F986">
        <f>IF(ISNUMBER(SEARCH(Request!$N$19,G986)),MAX(F$1:$F985)+1,0)</f>
        <v>985</v>
      </c>
      <c r="G986" s="11" t="s">
        <v>5025</v>
      </c>
      <c r="H986" t="str">
        <f>IFERROR(VLOOKUP(ROWS($H$2:H986),F986:G2204,2,0),"")</f>
        <v>Salamanca SLM</v>
      </c>
    </row>
    <row r="987" spans="1:8" x14ac:dyDescent="0.25">
      <c r="A987">
        <f>IF(ISNUMBER(SEARCH(Request!$I$19,B987)),MAX($A$1:A986)+1,0)</f>
        <v>986</v>
      </c>
      <c r="B987" s="11" t="s">
        <v>5026</v>
      </c>
      <c r="D987" t="str">
        <f>IFERROR(VLOOKUP(ROWS($D$2:D987),A987:B2205,2,0),"")</f>
        <v>Salina SLN</v>
      </c>
      <c r="F987">
        <f>IF(ISNUMBER(SEARCH(Request!$N$19,G987)),MAX(F$1:$F986)+1,0)</f>
        <v>986</v>
      </c>
      <c r="G987" s="11" t="s">
        <v>5026</v>
      </c>
      <c r="H987" t="str">
        <f>IFERROR(VLOOKUP(ROWS($H$2:H987),F987:G2205,2,0),"")</f>
        <v>Salina SLN</v>
      </c>
    </row>
    <row r="988" spans="1:8" x14ac:dyDescent="0.25">
      <c r="A988">
        <f>IF(ISNUMBER(SEARCH(Request!$I$19,B988)),MAX($A$1:A987)+1,0)</f>
        <v>987</v>
      </c>
      <c r="B988" s="11" t="s">
        <v>5027</v>
      </c>
      <c r="D988" t="str">
        <f>IFERROR(VLOOKUP(ROWS($D$2:D988),A988:B2206,2,0),"")</f>
        <v>Salisbury/Ocean City Regional SBY</v>
      </c>
      <c r="F988">
        <f>IF(ISNUMBER(SEARCH(Request!$N$19,G988)),MAX(F$1:$F987)+1,0)</f>
        <v>987</v>
      </c>
      <c r="G988" s="11" t="s">
        <v>5027</v>
      </c>
      <c r="H988" t="str">
        <f>IFERROR(VLOOKUP(ROWS($H$2:H988),F988:G2206,2,0),"")</f>
        <v>Salisbury/Ocean City Regional SBY</v>
      </c>
    </row>
    <row r="989" spans="1:8" x14ac:dyDescent="0.25">
      <c r="A989">
        <f>IF(ISNUMBER(SEARCH(Request!$I$19,B989)),MAX($A$1:A988)+1,0)</f>
        <v>988</v>
      </c>
      <c r="B989" s="11" t="s">
        <v>5028</v>
      </c>
      <c r="D989" t="str">
        <f>IFERROR(VLOOKUP(ROWS($D$2:D989),A989:B2207,2,0),"")</f>
        <v>Salt Lake City SLC</v>
      </c>
      <c r="F989">
        <f>IF(ISNUMBER(SEARCH(Request!$N$19,G989)),MAX(F$1:$F988)+1,0)</f>
        <v>988</v>
      </c>
      <c r="G989" s="11" t="s">
        <v>5028</v>
      </c>
      <c r="H989" t="str">
        <f>IFERROR(VLOOKUP(ROWS($H$2:H989),F989:G2207,2,0),"")</f>
        <v>Salt Lake City SLC</v>
      </c>
    </row>
    <row r="990" spans="1:8" x14ac:dyDescent="0.25">
      <c r="A990">
        <f>IF(ISNUMBER(SEARCH(Request!$I$19,B990)),MAX($A$1:A989)+1,0)</f>
        <v>989</v>
      </c>
      <c r="B990" s="11" t="s">
        <v>5029</v>
      </c>
      <c r="D990" t="str">
        <f>IFERROR(VLOOKUP(ROWS($D$2:D990),A990:B2208,2,0),"")</f>
        <v>Salta SLA</v>
      </c>
      <c r="F990">
        <f>IF(ISNUMBER(SEARCH(Request!$N$19,G990)),MAX(F$1:$F989)+1,0)</f>
        <v>989</v>
      </c>
      <c r="G990" s="11" t="s">
        <v>5029</v>
      </c>
      <c r="H990" t="str">
        <f>IFERROR(VLOOKUP(ROWS($H$2:H990),F990:G2208,2,0),"")</f>
        <v>Salta SLA</v>
      </c>
    </row>
    <row r="991" spans="1:8" x14ac:dyDescent="0.25">
      <c r="A991">
        <f>IF(ISNUMBER(SEARCH(Request!$I$19,B991)),MAX($A$1:A990)+1,0)</f>
        <v>990</v>
      </c>
      <c r="B991" s="11" t="s">
        <v>5030</v>
      </c>
      <c r="D991" t="str">
        <f>IFERROR(VLOOKUP(ROWS($D$2:D991),A991:B2209,2,0),"")</f>
        <v>Salzburg – W A Mozart SZG</v>
      </c>
      <c r="F991">
        <f>IF(ISNUMBER(SEARCH(Request!$N$19,G991)),MAX(F$1:$F990)+1,0)</f>
        <v>990</v>
      </c>
      <c r="G991" s="11" t="s">
        <v>5030</v>
      </c>
      <c r="H991" t="str">
        <f>IFERROR(VLOOKUP(ROWS($H$2:H991),F991:G2209,2,0),"")</f>
        <v>Salzburg – W A Mozart SZG</v>
      </c>
    </row>
    <row r="992" spans="1:8" x14ac:dyDescent="0.25">
      <c r="A992">
        <f>IF(ISNUMBER(SEARCH(Request!$I$19,B992)),MAX($A$1:A991)+1,0)</f>
        <v>991</v>
      </c>
      <c r="B992" s="11" t="s">
        <v>5031</v>
      </c>
      <c r="D992" t="str">
        <f>IFERROR(VLOOKUP(ROWS($D$2:D992),A992:B2210,2,0),"")</f>
        <v>Samarkand SKD</v>
      </c>
      <c r="F992">
        <f>IF(ISNUMBER(SEARCH(Request!$N$19,G992)),MAX(F$1:$F991)+1,0)</f>
        <v>991</v>
      </c>
      <c r="G992" s="11" t="s">
        <v>5031</v>
      </c>
      <c r="H992" t="str">
        <f>IFERROR(VLOOKUP(ROWS($H$2:H992),F992:G2210,2,0),"")</f>
        <v>Samarkand SKD</v>
      </c>
    </row>
    <row r="993" spans="1:8" x14ac:dyDescent="0.25">
      <c r="A993">
        <f>IF(ISNUMBER(SEARCH(Request!$I$19,B993)),MAX($A$1:A992)+1,0)</f>
        <v>992</v>
      </c>
      <c r="B993" s="11" t="s">
        <v>5032</v>
      </c>
      <c r="D993" t="str">
        <f>IFERROR(VLOOKUP(ROWS($D$2:D993),A993:B2211,2,0),"")</f>
        <v>Samos SMI</v>
      </c>
      <c r="F993">
        <f>IF(ISNUMBER(SEARCH(Request!$N$19,G993)),MAX(F$1:$F992)+1,0)</f>
        <v>992</v>
      </c>
      <c r="G993" s="11" t="s">
        <v>5032</v>
      </c>
      <c r="H993" t="str">
        <f>IFERROR(VLOOKUP(ROWS($H$2:H993),F993:G2211,2,0),"")</f>
        <v>Samos SMI</v>
      </c>
    </row>
    <row r="994" spans="1:8" x14ac:dyDescent="0.25">
      <c r="A994">
        <f>IF(ISNUMBER(SEARCH(Request!$I$19,B994)),MAX($A$1:A993)+1,0)</f>
        <v>993</v>
      </c>
      <c r="B994" s="11" t="s">
        <v>5033</v>
      </c>
      <c r="D994" t="str">
        <f>IFERROR(VLOOKUP(ROWS($D$2:D994),A994:B2212,2,0),"")</f>
        <v>San Andres – Gustavo Rojas Pinilla ADZ</v>
      </c>
      <c r="F994">
        <f>IF(ISNUMBER(SEARCH(Request!$N$19,G994)),MAX(F$1:$F993)+1,0)</f>
        <v>993</v>
      </c>
      <c r="G994" s="11" t="s">
        <v>5033</v>
      </c>
      <c r="H994" t="str">
        <f>IFERROR(VLOOKUP(ROWS($H$2:H994),F994:G2212,2,0),"")</f>
        <v>San Andres – Gustavo Rojas Pinilla ADZ</v>
      </c>
    </row>
    <row r="995" spans="1:8" x14ac:dyDescent="0.25">
      <c r="A995">
        <f>IF(ISNUMBER(SEARCH(Request!$I$19,B995)),MAX($A$1:A994)+1,0)</f>
        <v>994</v>
      </c>
      <c r="B995" s="11" t="s">
        <v>5034</v>
      </c>
      <c r="D995" t="str">
        <f>IFERROR(VLOOKUP(ROWS($D$2:D995),A995:B2213,2,0),"")</f>
        <v>San Angelo Regional/Mathis Field SJT</v>
      </c>
      <c r="F995">
        <f>IF(ISNUMBER(SEARCH(Request!$N$19,G995)),MAX(F$1:$F994)+1,0)</f>
        <v>994</v>
      </c>
      <c r="G995" s="11" t="s">
        <v>5034</v>
      </c>
      <c r="H995" t="str">
        <f>IFERROR(VLOOKUP(ROWS($H$2:H995),F995:G2213,2,0),"")</f>
        <v>San Angelo Regional/Mathis Field SJT</v>
      </c>
    </row>
    <row r="996" spans="1:8" x14ac:dyDescent="0.25">
      <c r="A996">
        <f>IF(ISNUMBER(SEARCH(Request!$I$19,B996)),MAX($A$1:A995)+1,0)</f>
        <v>995</v>
      </c>
      <c r="B996" s="11" t="s">
        <v>5035</v>
      </c>
      <c r="D996" t="str">
        <f>IFERROR(VLOOKUP(ROWS($D$2:D996),A996:B2214,2,0),"")</f>
        <v>San Antonio SAT</v>
      </c>
      <c r="F996">
        <f>IF(ISNUMBER(SEARCH(Request!$N$19,G996)),MAX(F$1:$F995)+1,0)</f>
        <v>995</v>
      </c>
      <c r="G996" s="11" t="s">
        <v>5035</v>
      </c>
      <c r="H996" t="str">
        <f>IFERROR(VLOOKUP(ROWS($H$2:H996),F996:G2214,2,0),"")</f>
        <v>San Antonio SAT</v>
      </c>
    </row>
    <row r="997" spans="1:8" x14ac:dyDescent="0.25">
      <c r="A997">
        <f>IF(ISNUMBER(SEARCH(Request!$I$19,B997)),MAX($A$1:A996)+1,0)</f>
        <v>996</v>
      </c>
      <c r="B997" s="11" t="s">
        <v>5036</v>
      </c>
      <c r="D997" t="str">
        <f>IFERROR(VLOOKUP(ROWS($D$2:D997),A997:B2215,2,0),"")</f>
        <v>San Diego SAN</v>
      </c>
      <c r="F997">
        <f>IF(ISNUMBER(SEARCH(Request!$N$19,G997)),MAX(F$1:$F996)+1,0)</f>
        <v>996</v>
      </c>
      <c r="G997" s="11" t="s">
        <v>5036</v>
      </c>
      <c r="H997" t="str">
        <f>IFERROR(VLOOKUP(ROWS($H$2:H997),F997:G2215,2,0),"")</f>
        <v>San Diego SAN</v>
      </c>
    </row>
    <row r="998" spans="1:8" x14ac:dyDescent="0.25">
      <c r="A998">
        <f>IF(ISNUMBER(SEARCH(Request!$I$19,B998)),MAX($A$1:A997)+1,0)</f>
        <v>997</v>
      </c>
      <c r="B998" s="11" t="s">
        <v>5037</v>
      </c>
      <c r="D998" t="str">
        <f>IFERROR(VLOOKUP(ROWS($D$2:D998),A998:B2216,2,0),"")</f>
        <v>San Francisco SFO</v>
      </c>
      <c r="F998">
        <f>IF(ISNUMBER(SEARCH(Request!$N$19,G998)),MAX(F$1:$F997)+1,0)</f>
        <v>997</v>
      </c>
      <c r="G998" s="11" t="s">
        <v>5037</v>
      </c>
      <c r="H998" t="str">
        <f>IFERROR(VLOOKUP(ROWS($H$2:H998),F998:G2216,2,0),"")</f>
        <v>San Francisco SFO</v>
      </c>
    </row>
    <row r="999" spans="1:8" x14ac:dyDescent="0.25">
      <c r="A999">
        <f>IF(ISNUMBER(SEARCH(Request!$I$19,B999)),MAX($A$1:A998)+1,0)</f>
        <v>998</v>
      </c>
      <c r="B999" s="11" t="s">
        <v>5038</v>
      </c>
      <c r="D999" t="str">
        <f>IFERROR(VLOOKUP(ROWS($D$2:D999),A999:B2217,2,0),"")</f>
        <v>San Javier/Murcia MJV</v>
      </c>
      <c r="F999">
        <f>IF(ISNUMBER(SEARCH(Request!$N$19,G999)),MAX(F$1:$F998)+1,0)</f>
        <v>998</v>
      </c>
      <c r="G999" s="11" t="s">
        <v>5038</v>
      </c>
      <c r="H999" t="str">
        <f>IFERROR(VLOOKUP(ROWS($H$2:H999),F999:G2217,2,0),"")</f>
        <v>San Javier/Murcia MJV</v>
      </c>
    </row>
    <row r="1000" spans="1:8" x14ac:dyDescent="0.25">
      <c r="A1000">
        <f>IF(ISNUMBER(SEARCH(Request!$I$19,B1000)),MAX($A$1:A999)+1,0)</f>
        <v>999</v>
      </c>
      <c r="B1000" s="11" t="s">
        <v>5040</v>
      </c>
      <c r="D1000" t="str">
        <f>IFERROR(VLOOKUP(ROWS($D$2:D1000),A1000:B2218,2,0),"")</f>
        <v>San Jose – Juan Santamaria SJO</v>
      </c>
      <c r="F1000">
        <f>IF(ISNUMBER(SEARCH(Request!$N$19,G1000)),MAX(F$1:$F999)+1,0)</f>
        <v>999</v>
      </c>
      <c r="G1000" s="11" t="s">
        <v>5040</v>
      </c>
      <c r="H1000" t="str">
        <f>IFERROR(VLOOKUP(ROWS($H$2:H1000),F1000:G2218,2,0),"")</f>
        <v>San Jose – Juan Santamaria SJO</v>
      </c>
    </row>
    <row r="1001" spans="1:8" x14ac:dyDescent="0.25">
      <c r="A1001">
        <f>IF(ISNUMBER(SEARCH(Request!$I$19,B1001)),MAX($A$1:A1000)+1,0)</f>
        <v>1000</v>
      </c>
      <c r="B1001" s="11" t="s">
        <v>5041</v>
      </c>
      <c r="D1001" t="str">
        <f>IFERROR(VLOOKUP(ROWS($D$2:D1001),A1001:B2219,2,0),"")</f>
        <v>San José – Tobias Bolanos SYQ</v>
      </c>
      <c r="F1001">
        <f>IF(ISNUMBER(SEARCH(Request!$N$19,G1001)),MAX(F$1:$F1000)+1,0)</f>
        <v>1000</v>
      </c>
      <c r="G1001" s="11" t="s">
        <v>5041</v>
      </c>
      <c r="H1001" t="str">
        <f>IFERROR(VLOOKUP(ROWS($H$2:H1001),F1001:G2219,2,0),"")</f>
        <v>San José – Tobias Bolanos SYQ</v>
      </c>
    </row>
    <row r="1002" spans="1:8" x14ac:dyDescent="0.25">
      <c r="A1002">
        <f>IF(ISNUMBER(SEARCH(Request!$I$19,B1002)),MAX($A$1:A1001)+1,0)</f>
        <v>1001</v>
      </c>
      <c r="B1002" s="11" t="s">
        <v>5039</v>
      </c>
      <c r="D1002" t="str">
        <f>IFERROR(VLOOKUP(ROWS($D$2:D1002),A1002:B2220,2,0),"")</f>
        <v>San Jose SJC</v>
      </c>
      <c r="F1002">
        <f>IF(ISNUMBER(SEARCH(Request!$N$19,G1002)),MAX(F$1:$F1001)+1,0)</f>
        <v>1001</v>
      </c>
      <c r="G1002" s="11" t="s">
        <v>5039</v>
      </c>
      <c r="H1002" t="str">
        <f>IFERROR(VLOOKUP(ROWS($H$2:H1002),F1002:G2220,2,0),"")</f>
        <v>San Jose SJC</v>
      </c>
    </row>
    <row r="1003" spans="1:8" x14ac:dyDescent="0.25">
      <c r="A1003">
        <f>IF(ISNUMBER(SEARCH(Request!$I$19,B1003)),MAX($A$1:A1002)+1,0)</f>
        <v>1002</v>
      </c>
      <c r="B1003" s="11" t="s">
        <v>5042</v>
      </c>
      <c r="D1003" t="str">
        <f>IFERROR(VLOOKUP(ROWS($D$2:D1003),A1003:B2221,2,0),"")</f>
        <v>San Juan – Luiz Munoz Marin SJU</v>
      </c>
      <c r="F1003">
        <f>IF(ISNUMBER(SEARCH(Request!$N$19,G1003)),MAX(F$1:$F1002)+1,0)</f>
        <v>1002</v>
      </c>
      <c r="G1003" s="11" t="s">
        <v>5042</v>
      </c>
      <c r="H1003" t="str">
        <f>IFERROR(VLOOKUP(ROWS($H$2:H1003),F1003:G2221,2,0),"")</f>
        <v>San Juan – Luiz Munoz Marin SJU</v>
      </c>
    </row>
    <row r="1004" spans="1:8" x14ac:dyDescent="0.25">
      <c r="A1004">
        <f>IF(ISNUMBER(SEARCH(Request!$I$19,B1004)),MAX($A$1:A1003)+1,0)</f>
        <v>1003</v>
      </c>
      <c r="B1004" s="11" t="s">
        <v>5043</v>
      </c>
      <c r="D1004" t="str">
        <f>IFERROR(VLOOKUP(ROWS($D$2:D1004),A1004:B2222,2,0),"")</f>
        <v>San Luis County Regional SBP</v>
      </c>
      <c r="F1004">
        <f>IF(ISNUMBER(SEARCH(Request!$N$19,G1004)),MAX(F$1:$F1003)+1,0)</f>
        <v>1003</v>
      </c>
      <c r="G1004" s="11" t="s">
        <v>5043</v>
      </c>
      <c r="H1004" t="str">
        <f>IFERROR(VLOOKUP(ROWS($H$2:H1004),F1004:G2222,2,0),"")</f>
        <v>San Luis County Regional SBP</v>
      </c>
    </row>
    <row r="1005" spans="1:8" x14ac:dyDescent="0.25">
      <c r="A1005">
        <f>IF(ISNUMBER(SEARCH(Request!$I$19,B1005)),MAX($A$1:A1004)+1,0)</f>
        <v>1004</v>
      </c>
      <c r="B1005" s="11" t="s">
        <v>5044</v>
      </c>
      <c r="D1005" t="str">
        <f>IFERROR(VLOOKUP(ROWS($D$2:D1005),A1005:B2223,2,0),"")</f>
        <v>San Pedro Sula – La Mesa SAP</v>
      </c>
      <c r="F1005">
        <f>IF(ISNUMBER(SEARCH(Request!$N$19,G1005)),MAX(F$1:$F1004)+1,0)</f>
        <v>1004</v>
      </c>
      <c r="G1005" s="11" t="s">
        <v>5044</v>
      </c>
      <c r="H1005" t="str">
        <f>IFERROR(VLOOKUP(ROWS($H$2:H1005),F1005:G2223,2,0),"")</f>
        <v>San Pedro Sula – La Mesa SAP</v>
      </c>
    </row>
    <row r="1006" spans="1:8" x14ac:dyDescent="0.25">
      <c r="A1006">
        <f>IF(ISNUMBER(SEARCH(Request!$I$19,B1006)),MAX($A$1:A1005)+1,0)</f>
        <v>1005</v>
      </c>
      <c r="B1006" s="11" t="s">
        <v>5045</v>
      </c>
      <c r="D1006" t="str">
        <f>IFERROR(VLOOKUP(ROWS($D$2:D1006),A1006:B2224,2,0),"")</f>
        <v>San Sebastian – Fuenterrabia EAS</v>
      </c>
      <c r="F1006">
        <f>IF(ISNUMBER(SEARCH(Request!$N$19,G1006)),MAX(F$1:$F1005)+1,0)</f>
        <v>1005</v>
      </c>
      <c r="G1006" s="11" t="s">
        <v>5045</v>
      </c>
      <c r="H1006" t="str">
        <f>IFERROR(VLOOKUP(ROWS($H$2:H1006),F1006:G2224,2,0),"")</f>
        <v>San Sebastian – Fuenterrabia EAS</v>
      </c>
    </row>
    <row r="1007" spans="1:8" x14ac:dyDescent="0.25">
      <c r="A1007">
        <f>IF(ISNUMBER(SEARCH(Request!$I$19,B1007)),MAX($A$1:A1006)+1,0)</f>
        <v>1006</v>
      </c>
      <c r="B1007" s="11" t="s">
        <v>5046</v>
      </c>
      <c r="D1007" t="str">
        <f>IFERROR(VLOOKUP(ROWS($D$2:D1007),A1007:B2225,2,0),"")</f>
        <v>Sana´a SAH</v>
      </c>
      <c r="F1007">
        <f>IF(ISNUMBER(SEARCH(Request!$N$19,G1007)),MAX(F$1:$F1006)+1,0)</f>
        <v>1006</v>
      </c>
      <c r="G1007" s="11" t="s">
        <v>5046</v>
      </c>
      <c r="H1007" t="str">
        <f>IFERROR(VLOOKUP(ROWS($H$2:H1007),F1007:G2225,2,0),"")</f>
        <v>Sana´a SAH</v>
      </c>
    </row>
    <row r="1008" spans="1:8" x14ac:dyDescent="0.25">
      <c r="A1008">
        <f>IF(ISNUMBER(SEARCH(Request!$I$19,B1008)),MAX($A$1:A1007)+1,0)</f>
        <v>1007</v>
      </c>
      <c r="B1008" s="11" t="s">
        <v>5047</v>
      </c>
      <c r="D1008" t="str">
        <f>IFERROR(VLOOKUP(ROWS($D$2:D1008),A1008:B2226,2,0),"")</f>
        <v>Sandakan SDK</v>
      </c>
      <c r="F1008">
        <f>IF(ISNUMBER(SEARCH(Request!$N$19,G1008)),MAX(F$1:$F1007)+1,0)</f>
        <v>1007</v>
      </c>
      <c r="G1008" s="11" t="s">
        <v>5047</v>
      </c>
      <c r="H1008" t="str">
        <f>IFERROR(VLOOKUP(ROWS($H$2:H1008),F1008:G2226,2,0),"")</f>
        <v>Sandakan SDK</v>
      </c>
    </row>
    <row r="1009" spans="1:8" x14ac:dyDescent="0.25">
      <c r="A1009">
        <f>IF(ISNUMBER(SEARCH(Request!$I$19,B1009)),MAX($A$1:A1008)+1,0)</f>
        <v>1008</v>
      </c>
      <c r="B1009" s="11" t="s">
        <v>5048</v>
      </c>
      <c r="D1009" t="str">
        <f>IFERROR(VLOOKUP(ROWS($D$2:D1009),A1009:B2227,2,0),"")</f>
        <v>Sandefjord – Torp TRF</v>
      </c>
      <c r="F1009">
        <f>IF(ISNUMBER(SEARCH(Request!$N$19,G1009)),MAX(F$1:$F1008)+1,0)</f>
        <v>1008</v>
      </c>
      <c r="G1009" s="11" t="s">
        <v>5048</v>
      </c>
      <c r="H1009" t="str">
        <f>IFERROR(VLOOKUP(ROWS($H$2:H1009),F1009:G2227,2,0),"")</f>
        <v>Sandefjord – Torp TRF</v>
      </c>
    </row>
    <row r="1010" spans="1:8" x14ac:dyDescent="0.25">
      <c r="A1010">
        <f>IF(ISNUMBER(SEARCH(Request!$I$19,B1010)),MAX($A$1:A1009)+1,0)</f>
        <v>1009</v>
      </c>
      <c r="B1010" s="11" t="s">
        <v>5049</v>
      </c>
      <c r="D1010" t="str">
        <f>IFERROR(VLOOKUP(ROWS($D$2:D1010),A1010:B2228,2,0),"")</f>
        <v>Santa Ana – John Wayne SNA</v>
      </c>
      <c r="F1010">
        <f>IF(ISNUMBER(SEARCH(Request!$N$19,G1010)),MAX(F$1:$F1009)+1,0)</f>
        <v>1009</v>
      </c>
      <c r="G1010" s="11" t="s">
        <v>5049</v>
      </c>
      <c r="H1010" t="str">
        <f>IFERROR(VLOOKUP(ROWS($H$2:H1010),F1010:G2228,2,0),"")</f>
        <v>Santa Ana – John Wayne SNA</v>
      </c>
    </row>
    <row r="1011" spans="1:8" x14ac:dyDescent="0.25">
      <c r="A1011">
        <f>IF(ISNUMBER(SEARCH(Request!$I$19,B1011)),MAX($A$1:A1010)+1,0)</f>
        <v>1010</v>
      </c>
      <c r="B1011" s="11" t="s">
        <v>5050</v>
      </c>
      <c r="D1011" t="str">
        <f>IFERROR(VLOOKUP(ROWS($D$2:D1011),A1011:B2229,2,0),"")</f>
        <v>Santa Barbara SNA</v>
      </c>
      <c r="F1011">
        <f>IF(ISNUMBER(SEARCH(Request!$N$19,G1011)),MAX(F$1:$F1010)+1,0)</f>
        <v>1010</v>
      </c>
      <c r="G1011" s="11" t="s">
        <v>5050</v>
      </c>
      <c r="H1011" t="str">
        <f>IFERROR(VLOOKUP(ROWS($H$2:H1011),F1011:G2229,2,0),"")</f>
        <v>Santa Barbara SNA</v>
      </c>
    </row>
    <row r="1012" spans="1:8" x14ac:dyDescent="0.25">
      <c r="A1012">
        <f>IF(ISNUMBER(SEARCH(Request!$I$19,B1012)),MAX($A$1:A1011)+1,0)</f>
        <v>1011</v>
      </c>
      <c r="B1012" s="11" t="s">
        <v>5051</v>
      </c>
      <c r="D1012" t="str">
        <f>IFERROR(VLOOKUP(ROWS($D$2:D1012),A1012:B2230,2,0),"")</f>
        <v>Santa Maria SMA</v>
      </c>
      <c r="F1012">
        <f>IF(ISNUMBER(SEARCH(Request!$N$19,G1012)),MAX(F$1:$F1011)+1,0)</f>
        <v>1011</v>
      </c>
      <c r="G1012" s="11" t="s">
        <v>5051</v>
      </c>
      <c r="H1012" t="str">
        <f>IFERROR(VLOOKUP(ROWS($H$2:H1012),F1012:G2230,2,0),"")</f>
        <v>Santa Maria SMA</v>
      </c>
    </row>
    <row r="1013" spans="1:8" x14ac:dyDescent="0.25">
      <c r="A1013">
        <f>IF(ISNUMBER(SEARCH(Request!$I$19,B1013)),MAX($A$1:A1012)+1,0)</f>
        <v>1012</v>
      </c>
      <c r="B1013" s="11" t="s">
        <v>5052</v>
      </c>
      <c r="D1013" t="str">
        <f>IFERROR(VLOOKUP(ROWS($D$2:D1013),A1013:B2231,2,0),"")</f>
        <v>Santander – Parayas SDR</v>
      </c>
      <c r="F1013">
        <f>IF(ISNUMBER(SEARCH(Request!$N$19,G1013)),MAX(F$1:$F1012)+1,0)</f>
        <v>1012</v>
      </c>
      <c r="G1013" s="11" t="s">
        <v>5052</v>
      </c>
      <c r="H1013" t="str">
        <f>IFERROR(VLOOKUP(ROWS($H$2:H1013),F1013:G2231,2,0),"")</f>
        <v>Santander – Parayas SDR</v>
      </c>
    </row>
    <row r="1014" spans="1:8" x14ac:dyDescent="0.25">
      <c r="A1014">
        <f>IF(ISNUMBER(SEARCH(Request!$I$19,B1014)),MAX($A$1:A1013)+1,0)</f>
        <v>1013</v>
      </c>
      <c r="B1014" s="11" t="s">
        <v>5053</v>
      </c>
      <c r="D1014" t="str">
        <f>IFERROR(VLOOKUP(ROWS($D$2:D1014),A1014:B2232,2,0),"")</f>
        <v>Santarém Int´l STM</v>
      </c>
      <c r="F1014">
        <f>IF(ISNUMBER(SEARCH(Request!$N$19,G1014)),MAX(F$1:$F1013)+1,0)</f>
        <v>1013</v>
      </c>
      <c r="G1014" s="11" t="s">
        <v>5053</v>
      </c>
      <c r="H1014" t="str">
        <f>IFERROR(VLOOKUP(ROWS($H$2:H1014),F1014:G2232,2,0),"")</f>
        <v>Santarém Int´l STM</v>
      </c>
    </row>
    <row r="1015" spans="1:8" x14ac:dyDescent="0.25">
      <c r="A1015">
        <f>IF(ISNUMBER(SEARCH(Request!$I$19,B1015)),MAX($A$1:A1014)+1,0)</f>
        <v>1014</v>
      </c>
      <c r="B1015" s="11" t="s">
        <v>5055</v>
      </c>
      <c r="D1015" t="str">
        <f>IFERROR(VLOOKUP(ROWS($D$2:D1015),A1015:B2233,2,0),"")</f>
        <v>Santiago – Antonio Maceo SCU</v>
      </c>
      <c r="F1015">
        <f>IF(ISNUMBER(SEARCH(Request!$N$19,G1015)),MAX(F$1:$F1014)+1,0)</f>
        <v>1014</v>
      </c>
      <c r="G1015" s="11" t="s">
        <v>5055</v>
      </c>
      <c r="H1015" t="str">
        <f>IFERROR(VLOOKUP(ROWS($H$2:H1015),F1015:G2233,2,0),"")</f>
        <v>Santiago – Antonio Maceo SCU</v>
      </c>
    </row>
    <row r="1016" spans="1:8" x14ac:dyDescent="0.25">
      <c r="A1016">
        <f>IF(ISNUMBER(SEARCH(Request!$I$19,B1016)),MAX($A$1:A1015)+1,0)</f>
        <v>1015</v>
      </c>
      <c r="B1016" s="11" t="s">
        <v>5056</v>
      </c>
      <c r="D1016" t="str">
        <f>IFERROR(VLOOKUP(ROWS($D$2:D1016),A1016:B2234,2,0),"")</f>
        <v>Santiago – Arturo Merino Benitez SCL</v>
      </c>
      <c r="F1016">
        <f>IF(ISNUMBER(SEARCH(Request!$N$19,G1016)),MAX(F$1:$F1015)+1,0)</f>
        <v>1015</v>
      </c>
      <c r="G1016" s="11" t="s">
        <v>5056</v>
      </c>
      <c r="H1016" t="str">
        <f>IFERROR(VLOOKUP(ROWS($H$2:H1016),F1016:G2234,2,0),"")</f>
        <v>Santiago – Arturo Merino Benitez SCL</v>
      </c>
    </row>
    <row r="1017" spans="1:8" x14ac:dyDescent="0.25">
      <c r="A1017">
        <f>IF(ISNUMBER(SEARCH(Request!$I$19,B1017)),MAX($A$1:A1016)+1,0)</f>
        <v>1016</v>
      </c>
      <c r="B1017" s="11" t="s">
        <v>5054</v>
      </c>
      <c r="D1017" t="str">
        <f>IFERROR(VLOOKUP(ROWS($D$2:D1017),A1017:B2235,2,0),"")</f>
        <v>Santiago SCQ</v>
      </c>
      <c r="F1017">
        <f>IF(ISNUMBER(SEARCH(Request!$N$19,G1017)),MAX(F$1:$F1016)+1,0)</f>
        <v>1016</v>
      </c>
      <c r="G1017" s="11" t="s">
        <v>5054</v>
      </c>
      <c r="H1017" t="str">
        <f>IFERROR(VLOOKUP(ROWS($H$2:H1017),F1017:G2235,2,0),"")</f>
        <v>Santiago SCQ</v>
      </c>
    </row>
    <row r="1018" spans="1:8" x14ac:dyDescent="0.25">
      <c r="A1018">
        <f>IF(ISNUMBER(SEARCH(Request!$I$19,B1018)),MAX($A$1:A1017)+1,0)</f>
        <v>1017</v>
      </c>
      <c r="B1018" s="11" t="s">
        <v>5057</v>
      </c>
      <c r="D1018" t="str">
        <f>IFERROR(VLOOKUP(ROWS($D$2:D1018),A1018:B2236,2,0),"")</f>
        <v>Santo Domingo-Las Americas SDQ</v>
      </c>
      <c r="F1018">
        <f>IF(ISNUMBER(SEARCH(Request!$N$19,G1018)),MAX(F$1:$F1017)+1,0)</f>
        <v>1017</v>
      </c>
      <c r="G1018" s="11" t="s">
        <v>5057</v>
      </c>
      <c r="H1018" t="str">
        <f>IFERROR(VLOOKUP(ROWS($H$2:H1018),F1018:G2236,2,0),"")</f>
        <v>Santo Domingo-Las Americas SDQ</v>
      </c>
    </row>
    <row r="1019" spans="1:8" x14ac:dyDescent="0.25">
      <c r="A1019">
        <f>IF(ISNUMBER(SEARCH(Request!$I$19,B1019)),MAX($A$1:A1018)+1,0)</f>
        <v>1018</v>
      </c>
      <c r="B1019" s="11" t="s">
        <v>5132</v>
      </c>
      <c r="D1019" t="str">
        <f>IFERROR(VLOOKUP(ROWS($D$2:D1019),A1019:B2237,2,0),"")</f>
        <v>São Paulo – Congonhas Int´l CGH</v>
      </c>
      <c r="F1019">
        <f>IF(ISNUMBER(SEARCH(Request!$N$19,G1019)),MAX(F$1:$F1018)+1,0)</f>
        <v>1018</v>
      </c>
      <c r="G1019" s="11" t="s">
        <v>5132</v>
      </c>
      <c r="H1019" t="str">
        <f>IFERROR(VLOOKUP(ROWS($H$2:H1019),F1019:G2237,2,0),"")</f>
        <v>São Paulo – Congonhas Int´l CGH</v>
      </c>
    </row>
    <row r="1020" spans="1:8" x14ac:dyDescent="0.25">
      <c r="A1020">
        <f>IF(ISNUMBER(SEARCH(Request!$I$19,B1020)),MAX($A$1:A1019)+1,0)</f>
        <v>1019</v>
      </c>
      <c r="B1020" s="11" t="s">
        <v>5133</v>
      </c>
      <c r="D1020" t="str">
        <f>IFERROR(VLOOKUP(ROWS($D$2:D1020),A1020:B2238,2,0),"")</f>
        <v>São Paulo – Guarulhos Int´l SAO</v>
      </c>
      <c r="F1020">
        <f>IF(ISNUMBER(SEARCH(Request!$N$19,G1020)),MAX(F$1:$F1019)+1,0)</f>
        <v>1019</v>
      </c>
      <c r="G1020" s="11" t="s">
        <v>5133</v>
      </c>
      <c r="H1020" t="str">
        <f>IFERROR(VLOOKUP(ROWS($H$2:H1020),F1020:G2238,2,0),"")</f>
        <v>São Paulo – Guarulhos Int´l SAO</v>
      </c>
    </row>
    <row r="1021" spans="1:8" x14ac:dyDescent="0.25">
      <c r="A1021">
        <f>IF(ISNUMBER(SEARCH(Request!$I$19,B1021)),MAX($A$1:A1020)+1,0)</f>
        <v>1020</v>
      </c>
      <c r="B1021" s="11" t="s">
        <v>5134</v>
      </c>
      <c r="D1021" t="str">
        <f>IFERROR(VLOOKUP(ROWS($D$2:D1021),A1021:B2239,2,0),"")</f>
        <v>São Paulo – Viracopos VCP</v>
      </c>
      <c r="F1021">
        <f>IF(ISNUMBER(SEARCH(Request!$N$19,G1021)),MAX(F$1:$F1020)+1,0)</f>
        <v>1020</v>
      </c>
      <c r="G1021" s="11" t="s">
        <v>5134</v>
      </c>
      <c r="H1021" t="str">
        <f>IFERROR(VLOOKUP(ROWS($H$2:H1021),F1021:G2239,2,0),"")</f>
        <v>São Paulo – Viracopos VCP</v>
      </c>
    </row>
    <row r="1022" spans="1:8" x14ac:dyDescent="0.25">
      <c r="A1022">
        <f>IF(ISNUMBER(SEARCH(Request!$I$19,B1022)),MAX($A$1:A1021)+1,0)</f>
        <v>1021</v>
      </c>
      <c r="B1022" s="11" t="s">
        <v>5058</v>
      </c>
      <c r="D1022" t="str">
        <f>IFERROR(VLOOKUP(ROWS($D$2:D1022),A1022:B2240,2,0),"")</f>
        <v>Sao Tome TMS</v>
      </c>
      <c r="F1022">
        <f>IF(ISNUMBER(SEARCH(Request!$N$19,G1022)),MAX(F$1:$F1021)+1,0)</f>
        <v>1021</v>
      </c>
      <c r="G1022" s="11" t="s">
        <v>5058</v>
      </c>
      <c r="H1022" t="str">
        <f>IFERROR(VLOOKUP(ROWS($H$2:H1022),F1022:G2240,2,0),"")</f>
        <v>Sao Tome TMS</v>
      </c>
    </row>
    <row r="1023" spans="1:8" x14ac:dyDescent="0.25">
      <c r="A1023">
        <f>IF(ISNUMBER(SEARCH(Request!$I$19,B1023)),MAX($A$1:A1022)+1,0)</f>
        <v>1022</v>
      </c>
      <c r="B1023" s="11" t="s">
        <v>5059</v>
      </c>
      <c r="D1023" t="str">
        <f>IFERROR(VLOOKUP(ROWS($D$2:D1023),A1023:B2241,2,0),"")</f>
        <v>Sarajevo SJJ</v>
      </c>
      <c r="F1023">
        <f>IF(ISNUMBER(SEARCH(Request!$N$19,G1023)),MAX(F$1:$F1022)+1,0)</f>
        <v>1022</v>
      </c>
      <c r="G1023" s="11" t="s">
        <v>5059</v>
      </c>
      <c r="H1023" t="str">
        <f>IFERROR(VLOOKUP(ROWS($H$2:H1023),F1023:G2241,2,0),"")</f>
        <v>Sarajevo SJJ</v>
      </c>
    </row>
    <row r="1024" spans="1:8" x14ac:dyDescent="0.25">
      <c r="A1024">
        <f>IF(ISNUMBER(SEARCH(Request!$I$19,B1024)),MAX($A$1:A1023)+1,0)</f>
        <v>1023</v>
      </c>
      <c r="B1024" s="11" t="s">
        <v>5060</v>
      </c>
      <c r="D1024" t="str">
        <f>IFERROR(VLOOKUP(ROWS($D$2:D1024),A1024:B2242,2,0),"")</f>
        <v>Saranac Lake-Adirondack Regional SLK</v>
      </c>
      <c r="F1024">
        <f>IF(ISNUMBER(SEARCH(Request!$N$19,G1024)),MAX(F$1:$F1023)+1,0)</f>
        <v>1023</v>
      </c>
      <c r="G1024" s="11" t="s">
        <v>5060</v>
      </c>
      <c r="H1024" t="str">
        <f>IFERROR(VLOOKUP(ROWS($H$2:H1024),F1024:G2242,2,0),"")</f>
        <v>Saranac Lake-Adirondack Regional SLK</v>
      </c>
    </row>
    <row r="1025" spans="1:8" x14ac:dyDescent="0.25">
      <c r="A1025">
        <f>IF(ISNUMBER(SEARCH(Request!$I$19,B1025)),MAX($A$1:A1024)+1,0)</f>
        <v>1024</v>
      </c>
      <c r="B1025" s="11" t="s">
        <v>5061</v>
      </c>
      <c r="D1025" t="str">
        <f>IFERROR(VLOOKUP(ROWS($D$2:D1025),A1025:B2243,2,0),"")</f>
        <v>Sarasota Bradenton Int´l SRQ</v>
      </c>
      <c r="F1025">
        <f>IF(ISNUMBER(SEARCH(Request!$N$19,G1025)),MAX(F$1:$F1024)+1,0)</f>
        <v>1024</v>
      </c>
      <c r="G1025" s="11" t="s">
        <v>5061</v>
      </c>
      <c r="H1025" t="str">
        <f>IFERROR(VLOOKUP(ROWS($H$2:H1025),F1025:G2243,2,0),"")</f>
        <v>Sarasota Bradenton Int´l SRQ</v>
      </c>
    </row>
    <row r="1026" spans="1:8" x14ac:dyDescent="0.25">
      <c r="A1026">
        <f>IF(ISNUMBER(SEARCH(Request!$I$19,B1026)),MAX($A$1:A1025)+1,0)</f>
        <v>1025</v>
      </c>
      <c r="B1026" s="11" t="s">
        <v>5062</v>
      </c>
      <c r="D1026" t="str">
        <f>IFERROR(VLOOKUP(ROWS($D$2:D1026),A1026:B2244,2,0),"")</f>
        <v>Saratov – Tsentralny RTW</v>
      </c>
      <c r="F1026">
        <f>IF(ISNUMBER(SEARCH(Request!$N$19,G1026)),MAX(F$1:$F1025)+1,0)</f>
        <v>1025</v>
      </c>
      <c r="G1026" s="11" t="s">
        <v>5062</v>
      </c>
      <c r="H1026" t="str">
        <f>IFERROR(VLOOKUP(ROWS($H$2:H1026),F1026:G2244,2,0),"")</f>
        <v>Saratov – Tsentralny RTW</v>
      </c>
    </row>
    <row r="1027" spans="1:8" x14ac:dyDescent="0.25">
      <c r="A1027">
        <f>IF(ISNUMBER(SEARCH(Request!$I$19,B1027)),MAX($A$1:A1026)+1,0)</f>
        <v>1026</v>
      </c>
      <c r="B1027" s="11" t="s">
        <v>5063</v>
      </c>
      <c r="D1027" t="str">
        <f>IFERROR(VLOOKUP(ROWS($D$2:D1027),A1027:B2245,2,0),"")</f>
        <v>Saskatoon YXE</v>
      </c>
      <c r="F1027">
        <f>IF(ISNUMBER(SEARCH(Request!$N$19,G1027)),MAX(F$1:$F1026)+1,0)</f>
        <v>1026</v>
      </c>
      <c r="G1027" s="11" t="s">
        <v>5063</v>
      </c>
      <c r="H1027" t="str">
        <f>IFERROR(VLOOKUP(ROWS($H$2:H1027),F1027:G2245,2,0),"")</f>
        <v>Saskatoon YXE</v>
      </c>
    </row>
    <row r="1028" spans="1:8" x14ac:dyDescent="0.25">
      <c r="A1028">
        <f>IF(ISNUMBER(SEARCH(Request!$I$19,B1028)),MAX($A$1:A1027)+1,0)</f>
        <v>1027</v>
      </c>
      <c r="B1028" s="11" t="s">
        <v>5064</v>
      </c>
      <c r="D1028" t="str">
        <f>IFERROR(VLOOKUP(ROWS($D$2:D1028),A1028:B2246,2,0),"")</f>
        <v>Satu Mare SUJ</v>
      </c>
      <c r="F1028">
        <f>IF(ISNUMBER(SEARCH(Request!$N$19,G1028)),MAX(F$1:$F1027)+1,0)</f>
        <v>1027</v>
      </c>
      <c r="G1028" s="11" t="s">
        <v>5064</v>
      </c>
      <c r="H1028" t="str">
        <f>IFERROR(VLOOKUP(ROWS($H$2:H1028),F1028:G2246,2,0),"")</f>
        <v>Satu Mare SUJ</v>
      </c>
    </row>
    <row r="1029" spans="1:8" x14ac:dyDescent="0.25">
      <c r="A1029">
        <f>IF(ISNUMBER(SEARCH(Request!$I$19,B1029)),MAX($A$1:A1028)+1,0)</f>
        <v>1028</v>
      </c>
      <c r="B1029" s="11" t="s">
        <v>5065</v>
      </c>
      <c r="D1029" t="str">
        <f>IFERROR(VLOOKUP(ROWS($D$2:D1029),A1029:B2247,2,0),"")</f>
        <v>Savannah SAV</v>
      </c>
      <c r="F1029">
        <f>IF(ISNUMBER(SEARCH(Request!$N$19,G1029)),MAX(F$1:$F1028)+1,0)</f>
        <v>1028</v>
      </c>
      <c r="G1029" s="11" t="s">
        <v>5065</v>
      </c>
      <c r="H1029" t="str">
        <f>IFERROR(VLOOKUP(ROWS($H$2:H1029),F1029:G2247,2,0),"")</f>
        <v>Savannah SAV</v>
      </c>
    </row>
    <row r="1030" spans="1:8" x14ac:dyDescent="0.25">
      <c r="A1030">
        <f>IF(ISNUMBER(SEARCH(Request!$I$19,B1030)),MAX($A$1:A1029)+1,0)</f>
        <v>1029</v>
      </c>
      <c r="B1030" s="11" t="s">
        <v>5066</v>
      </c>
      <c r="D1030" t="str">
        <f>IFERROR(VLOOKUP(ROWS($D$2:D1030),A1030:B2248,2,0),"")</f>
        <v>Savonlinna SVL</v>
      </c>
      <c r="F1030">
        <f>IF(ISNUMBER(SEARCH(Request!$N$19,G1030)),MAX(F$1:$F1029)+1,0)</f>
        <v>1029</v>
      </c>
      <c r="G1030" s="11" t="s">
        <v>5066</v>
      </c>
      <c r="H1030" t="str">
        <f>IFERROR(VLOOKUP(ROWS($H$2:H1030),F1030:G2248,2,0),"")</f>
        <v>Savonlinna SVL</v>
      </c>
    </row>
    <row r="1031" spans="1:8" x14ac:dyDescent="0.25">
      <c r="A1031">
        <f>IF(ISNUMBER(SEARCH(Request!$I$19,B1031)),MAX($A$1:A1030)+1,0)</f>
        <v>1030</v>
      </c>
      <c r="B1031" s="11" t="s">
        <v>5067</v>
      </c>
      <c r="D1031" t="str">
        <f>IFERROR(VLOOKUP(ROWS($D$2:D1031),A1031:B2249,2,0),"")</f>
        <v>Seattle/Tacoma SEA</v>
      </c>
      <c r="F1031">
        <f>IF(ISNUMBER(SEARCH(Request!$N$19,G1031)),MAX(F$1:$F1030)+1,0)</f>
        <v>1030</v>
      </c>
      <c r="G1031" s="11" t="s">
        <v>5067</v>
      </c>
      <c r="H1031" t="str">
        <f>IFERROR(VLOOKUP(ROWS($H$2:H1031),F1031:G2249,2,0),"")</f>
        <v>Seattle/Tacoma SEA</v>
      </c>
    </row>
    <row r="1032" spans="1:8" x14ac:dyDescent="0.25">
      <c r="A1032">
        <f>IF(ISNUMBER(SEARCH(Request!$I$19,B1032)),MAX($A$1:A1031)+1,0)</f>
        <v>1031</v>
      </c>
      <c r="B1032" s="11" t="s">
        <v>5068</v>
      </c>
      <c r="D1032" t="str">
        <f>IFERROR(VLOOKUP(ROWS($D$2:D1032),A1032:B2250,2,0),"")</f>
        <v>Sebha SEB</v>
      </c>
      <c r="F1032">
        <f>IF(ISNUMBER(SEARCH(Request!$N$19,G1032)),MAX(F$1:$F1031)+1,0)</f>
        <v>1031</v>
      </c>
      <c r="G1032" s="11" t="s">
        <v>5068</v>
      </c>
      <c r="H1032" t="str">
        <f>IFERROR(VLOOKUP(ROWS($H$2:H1032),F1032:G2250,2,0),"")</f>
        <v>Sebha SEB</v>
      </c>
    </row>
    <row r="1033" spans="1:8" x14ac:dyDescent="0.25">
      <c r="A1033">
        <f>IF(ISNUMBER(SEARCH(Request!$I$19,B1033)),MAX($A$1:A1032)+1,0)</f>
        <v>1032</v>
      </c>
      <c r="B1033" s="11" t="s">
        <v>5069</v>
      </c>
      <c r="D1033" t="str">
        <f>IFERROR(VLOOKUP(ROWS($D$2:D1033),A1033:B2251,2,0),"")</f>
        <v>Seinäjoki SJY</v>
      </c>
      <c r="F1033">
        <f>IF(ISNUMBER(SEARCH(Request!$N$19,G1033)),MAX(F$1:$F1032)+1,0)</f>
        <v>1032</v>
      </c>
      <c r="G1033" s="11" t="s">
        <v>5069</v>
      </c>
      <c r="H1033" t="str">
        <f>IFERROR(VLOOKUP(ROWS($H$2:H1033),F1033:G2251,2,0),"")</f>
        <v>Seinäjoki SJY</v>
      </c>
    </row>
    <row r="1034" spans="1:8" x14ac:dyDescent="0.25">
      <c r="A1034">
        <f>IF(ISNUMBER(SEARCH(Request!$I$19,B1034)),MAX($A$1:A1033)+1,0)</f>
        <v>1033</v>
      </c>
      <c r="B1034" s="11" t="s">
        <v>5070</v>
      </c>
      <c r="D1034" t="str">
        <f>IFERROR(VLOOKUP(ROWS($D$2:D1034),A1034:B2252,2,0),"")</f>
        <v>Selebi Phikwe PKW</v>
      </c>
      <c r="F1034">
        <f>IF(ISNUMBER(SEARCH(Request!$N$19,G1034)),MAX(F$1:$F1033)+1,0)</f>
        <v>1033</v>
      </c>
      <c r="G1034" s="11" t="s">
        <v>5070</v>
      </c>
      <c r="H1034" t="str">
        <f>IFERROR(VLOOKUP(ROWS($H$2:H1034),F1034:G2252,2,0),"")</f>
        <v>Selebi Phikwe PKW</v>
      </c>
    </row>
    <row r="1035" spans="1:8" x14ac:dyDescent="0.25">
      <c r="A1035">
        <f>IF(ISNUMBER(SEARCH(Request!$I$19,B1035)),MAX($A$1:A1034)+1,0)</f>
        <v>1034</v>
      </c>
      <c r="B1035" s="11" t="s">
        <v>5071</v>
      </c>
      <c r="D1035" t="str">
        <f>IFERROR(VLOOKUP(ROWS($D$2:D1035),A1035:B2253,2,0),"")</f>
        <v>Sendai SDJ</v>
      </c>
      <c r="F1035">
        <f>IF(ISNUMBER(SEARCH(Request!$N$19,G1035)),MAX(F$1:$F1034)+1,0)</f>
        <v>1034</v>
      </c>
      <c r="G1035" s="11" t="s">
        <v>5071</v>
      </c>
      <c r="H1035" t="str">
        <f>IFERROR(VLOOKUP(ROWS($H$2:H1035),F1035:G2253,2,0),"")</f>
        <v>Sendai SDJ</v>
      </c>
    </row>
    <row r="1036" spans="1:8" x14ac:dyDescent="0.25">
      <c r="A1036">
        <f>IF(ISNUMBER(SEARCH(Request!$I$19,B1036)),MAX($A$1:A1035)+1,0)</f>
        <v>1035</v>
      </c>
      <c r="B1036" s="11" t="s">
        <v>5072</v>
      </c>
      <c r="D1036" t="str">
        <f>IFERROR(VLOOKUP(ROWS($D$2:D1036),A1036:B2254,2,0),"")</f>
        <v>Seoul – Incheon ICN</v>
      </c>
      <c r="F1036">
        <f>IF(ISNUMBER(SEARCH(Request!$N$19,G1036)),MAX(F$1:$F1035)+1,0)</f>
        <v>1035</v>
      </c>
      <c r="G1036" s="11" t="s">
        <v>5072</v>
      </c>
      <c r="H1036" t="str">
        <f>IFERROR(VLOOKUP(ROWS($H$2:H1036),F1036:G2254,2,0),"")</f>
        <v>Seoul – Incheon ICN</v>
      </c>
    </row>
    <row r="1037" spans="1:8" x14ac:dyDescent="0.25">
      <c r="A1037">
        <f>IF(ISNUMBER(SEARCH(Request!$I$19,B1037)),MAX($A$1:A1036)+1,0)</f>
        <v>1036</v>
      </c>
      <c r="B1037" s="11" t="s">
        <v>5073</v>
      </c>
      <c r="D1037" t="str">
        <f>IFERROR(VLOOKUP(ROWS($D$2:D1037),A1037:B2255,2,0),"")</f>
        <v>Seoul – Kimpo SEL</v>
      </c>
      <c r="F1037">
        <f>IF(ISNUMBER(SEARCH(Request!$N$19,G1037)),MAX(F$1:$F1036)+1,0)</f>
        <v>1036</v>
      </c>
      <c r="G1037" s="11" t="s">
        <v>5073</v>
      </c>
      <c r="H1037" t="str">
        <f>IFERROR(VLOOKUP(ROWS($H$2:H1037),F1037:G2255,2,0),"")</f>
        <v>Seoul – Kimpo SEL</v>
      </c>
    </row>
    <row r="1038" spans="1:8" x14ac:dyDescent="0.25">
      <c r="A1038">
        <f>IF(ISNUMBER(SEARCH(Request!$I$19,B1038)),MAX($A$1:A1037)+1,0)</f>
        <v>1037</v>
      </c>
      <c r="B1038" s="11" t="s">
        <v>5074</v>
      </c>
      <c r="D1038" t="str">
        <f>IFERROR(VLOOKUP(ROWS($D$2:D1038),A1038:B2256,2,0),"")</f>
        <v>Seville – San Pablo SVQ</v>
      </c>
      <c r="F1038">
        <f>IF(ISNUMBER(SEARCH(Request!$N$19,G1038)),MAX(F$1:$F1037)+1,0)</f>
        <v>1037</v>
      </c>
      <c r="G1038" s="11" t="s">
        <v>5074</v>
      </c>
      <c r="H1038" t="str">
        <f>IFERROR(VLOOKUP(ROWS($H$2:H1038),F1038:G2256,2,0),"")</f>
        <v>Seville – San Pablo SVQ</v>
      </c>
    </row>
    <row r="1039" spans="1:8" x14ac:dyDescent="0.25">
      <c r="A1039">
        <f>IF(ISNUMBER(SEARCH(Request!$I$19,B1039)),MAX($A$1:A1038)+1,0)</f>
        <v>1038</v>
      </c>
      <c r="B1039" s="11" t="s">
        <v>5075</v>
      </c>
      <c r="D1039" t="str">
        <f>IFERROR(VLOOKUP(ROWS($D$2:D1039),A1039:B2257,2,0),"")</f>
        <v>Seychelles Int´l SEZ</v>
      </c>
      <c r="F1039">
        <f>IF(ISNUMBER(SEARCH(Request!$N$19,G1039)),MAX(F$1:$F1038)+1,0)</f>
        <v>1038</v>
      </c>
      <c r="G1039" s="11" t="s">
        <v>5075</v>
      </c>
      <c r="H1039" t="str">
        <f>IFERROR(VLOOKUP(ROWS($H$2:H1039),F1039:G2257,2,0),"")</f>
        <v>Seychelles Int´l SEZ</v>
      </c>
    </row>
    <row r="1040" spans="1:8" x14ac:dyDescent="0.25">
      <c r="A1040">
        <f>IF(ISNUMBER(SEARCH(Request!$I$19,B1040)),MAX($A$1:A1039)+1,0)</f>
        <v>1039</v>
      </c>
      <c r="B1040" s="11" t="s">
        <v>5076</v>
      </c>
      <c r="D1040" t="str">
        <f>IFERROR(VLOOKUP(ROWS($D$2:D1040),A1040:B2258,2,0),"")</f>
        <v>Sfax-el-Maou SFA</v>
      </c>
      <c r="F1040">
        <f>IF(ISNUMBER(SEARCH(Request!$N$19,G1040)),MAX(F$1:$F1039)+1,0)</f>
        <v>1039</v>
      </c>
      <c r="G1040" s="11" t="s">
        <v>5076</v>
      </c>
      <c r="H1040" t="str">
        <f>IFERROR(VLOOKUP(ROWS($H$2:H1040),F1040:G2258,2,0),"")</f>
        <v>Sfax-el-Maou SFA</v>
      </c>
    </row>
    <row r="1041" spans="1:8" x14ac:dyDescent="0.25">
      <c r="A1041">
        <f>IF(ISNUMBER(SEARCH(Request!$I$19,B1041)),MAX($A$1:A1040)+1,0)</f>
        <v>1040</v>
      </c>
      <c r="B1041" s="11" t="s">
        <v>5077</v>
      </c>
      <c r="D1041" t="str">
        <f>IFERROR(VLOOKUP(ROWS($D$2:D1041),A1041:B2259,2,0),"")</f>
        <v>Shanghai – Hong Qiao SHA</v>
      </c>
      <c r="F1041">
        <f>IF(ISNUMBER(SEARCH(Request!$N$19,G1041)),MAX(F$1:$F1040)+1,0)</f>
        <v>1040</v>
      </c>
      <c r="G1041" s="11" t="s">
        <v>5077</v>
      </c>
      <c r="H1041" t="str">
        <f>IFERROR(VLOOKUP(ROWS($H$2:H1041),F1041:G2259,2,0),"")</f>
        <v>Shanghai – Hong Qiao SHA</v>
      </c>
    </row>
    <row r="1042" spans="1:8" x14ac:dyDescent="0.25">
      <c r="A1042">
        <f>IF(ISNUMBER(SEARCH(Request!$I$19,B1042)),MAX($A$1:A1041)+1,0)</f>
        <v>1041</v>
      </c>
      <c r="B1042" s="11" t="s">
        <v>5078</v>
      </c>
      <c r="D1042" t="str">
        <f>IFERROR(VLOOKUP(ROWS($D$2:D1042),A1042:B2260,2,0),"")</f>
        <v>Shanghai – Pudong PVG</v>
      </c>
      <c r="F1042">
        <f>IF(ISNUMBER(SEARCH(Request!$N$19,G1042)),MAX(F$1:$F1041)+1,0)</f>
        <v>1041</v>
      </c>
      <c r="G1042" s="11" t="s">
        <v>5078</v>
      </c>
      <c r="H1042" t="str">
        <f>IFERROR(VLOOKUP(ROWS($H$2:H1042),F1042:G2260,2,0),"")</f>
        <v>Shanghai – Pudong PVG</v>
      </c>
    </row>
    <row r="1043" spans="1:8" x14ac:dyDescent="0.25">
      <c r="A1043">
        <f>IF(ISNUMBER(SEARCH(Request!$I$19,B1043)),MAX($A$1:A1042)+1,0)</f>
        <v>1042</v>
      </c>
      <c r="B1043" s="11" t="s">
        <v>5079</v>
      </c>
      <c r="D1043" t="str">
        <f>IFERROR(VLOOKUP(ROWS($D$2:D1043),A1043:B2261,2,0),"")</f>
        <v>Shannon SHN</v>
      </c>
      <c r="F1043">
        <f>IF(ISNUMBER(SEARCH(Request!$N$19,G1043)),MAX(F$1:$F1042)+1,0)</f>
        <v>1042</v>
      </c>
      <c r="G1043" s="11" t="s">
        <v>5079</v>
      </c>
      <c r="H1043" t="str">
        <f>IFERROR(VLOOKUP(ROWS($H$2:H1043),F1043:G2261,2,0),"")</f>
        <v>Shannon SHN</v>
      </c>
    </row>
    <row r="1044" spans="1:8" x14ac:dyDescent="0.25">
      <c r="A1044">
        <f>IF(ISNUMBER(SEARCH(Request!$I$19,B1044)),MAX($A$1:A1043)+1,0)</f>
        <v>1043</v>
      </c>
      <c r="B1044" s="11" t="s">
        <v>5080</v>
      </c>
      <c r="D1044" t="str">
        <f>IFERROR(VLOOKUP(ROWS($D$2:D1044),A1044:B2262,2,0),"")</f>
        <v>Sharjah SHJ</v>
      </c>
      <c r="F1044">
        <f>IF(ISNUMBER(SEARCH(Request!$N$19,G1044)),MAX(F$1:$F1043)+1,0)</f>
        <v>1043</v>
      </c>
      <c r="G1044" s="11" t="s">
        <v>5080</v>
      </c>
      <c r="H1044" t="str">
        <f>IFERROR(VLOOKUP(ROWS($H$2:H1044),F1044:G2262,2,0),"")</f>
        <v>Sharjah SHJ</v>
      </c>
    </row>
    <row r="1045" spans="1:8" x14ac:dyDescent="0.25">
      <c r="A1045">
        <f>IF(ISNUMBER(SEARCH(Request!$I$19,B1045)),MAX($A$1:A1044)+1,0)</f>
        <v>1044</v>
      </c>
      <c r="B1045" s="11" t="s">
        <v>5081</v>
      </c>
      <c r="D1045" t="str">
        <f>IFERROR(VLOOKUP(ROWS($D$2:D1045),A1045:B2263,2,0),"")</f>
        <v>Sheffield City SZD</v>
      </c>
      <c r="F1045">
        <f>IF(ISNUMBER(SEARCH(Request!$N$19,G1045)),MAX(F$1:$F1044)+1,0)</f>
        <v>1044</v>
      </c>
      <c r="G1045" s="11" t="s">
        <v>5081</v>
      </c>
      <c r="H1045" t="str">
        <f>IFERROR(VLOOKUP(ROWS($H$2:H1045),F1045:G2263,2,0),"")</f>
        <v>Sheffield City SZD</v>
      </c>
    </row>
    <row r="1046" spans="1:8" x14ac:dyDescent="0.25">
      <c r="A1046">
        <f>IF(ISNUMBER(SEARCH(Request!$I$19,B1046)),MAX($A$1:A1045)+1,0)</f>
        <v>1045</v>
      </c>
      <c r="B1046" s="11" t="s">
        <v>5082</v>
      </c>
      <c r="D1046" t="str">
        <f>IFERROR(VLOOKUP(ROWS($D$2:D1046),A1046:B2264,2,0),"")</f>
        <v>Shenyang – Taoxian SHE</v>
      </c>
      <c r="F1046">
        <f>IF(ISNUMBER(SEARCH(Request!$N$19,G1046)),MAX(F$1:$F1045)+1,0)</f>
        <v>1045</v>
      </c>
      <c r="G1046" s="11" t="s">
        <v>5082</v>
      </c>
      <c r="H1046" t="str">
        <f>IFERROR(VLOOKUP(ROWS($H$2:H1046),F1046:G2264,2,0),"")</f>
        <v>Shenyang – Taoxian SHE</v>
      </c>
    </row>
    <row r="1047" spans="1:8" x14ac:dyDescent="0.25">
      <c r="A1047">
        <f>IF(ISNUMBER(SEARCH(Request!$I$19,B1047)),MAX($A$1:A1046)+1,0)</f>
        <v>1046</v>
      </c>
      <c r="B1047" s="11" t="s">
        <v>5083</v>
      </c>
      <c r="D1047" t="str">
        <f>IFERROR(VLOOKUP(ROWS($D$2:D1047),A1047:B2265,2,0),"")</f>
        <v>Shenzhen – Baoan SZX</v>
      </c>
      <c r="F1047">
        <f>IF(ISNUMBER(SEARCH(Request!$N$19,G1047)),MAX(F$1:$F1046)+1,0)</f>
        <v>1046</v>
      </c>
      <c r="G1047" s="11" t="s">
        <v>5083</v>
      </c>
      <c r="H1047" t="str">
        <f>IFERROR(VLOOKUP(ROWS($H$2:H1047),F1047:G2265,2,0),"")</f>
        <v>Shenzhen – Baoan SZX</v>
      </c>
    </row>
    <row r="1048" spans="1:8" x14ac:dyDescent="0.25">
      <c r="A1048">
        <f>IF(ISNUMBER(SEARCH(Request!$I$19,B1048)),MAX($A$1:A1047)+1,0)</f>
        <v>1047</v>
      </c>
      <c r="B1048" s="11" t="s">
        <v>5084</v>
      </c>
      <c r="D1048" t="str">
        <f>IFERROR(VLOOKUP(ROWS($D$2:D1048),A1048:B2266,2,0),"")</f>
        <v>Shetland Island – Sumburgh LSI</v>
      </c>
      <c r="F1048">
        <f>IF(ISNUMBER(SEARCH(Request!$N$19,G1048)),MAX(F$1:$F1047)+1,0)</f>
        <v>1047</v>
      </c>
      <c r="G1048" s="11" t="s">
        <v>5084</v>
      </c>
      <c r="H1048" t="str">
        <f>IFERROR(VLOOKUP(ROWS($H$2:H1048),F1048:G2266,2,0),"")</f>
        <v>Shetland Island – Sumburgh LSI</v>
      </c>
    </row>
    <row r="1049" spans="1:8" x14ac:dyDescent="0.25">
      <c r="A1049">
        <f>IF(ISNUMBER(SEARCH(Request!$I$19,B1049)),MAX($A$1:A1048)+1,0)</f>
        <v>1048</v>
      </c>
      <c r="B1049" s="11" t="s">
        <v>5085</v>
      </c>
      <c r="D1049" t="str">
        <f>IFERROR(VLOOKUP(ROWS($D$2:D1049),A1049:B2267,2,0),"")</f>
        <v>Shiraz – Shahid Dastghaib SYZ</v>
      </c>
      <c r="F1049">
        <f>IF(ISNUMBER(SEARCH(Request!$N$19,G1049)),MAX(F$1:$F1048)+1,0)</f>
        <v>1048</v>
      </c>
      <c r="G1049" s="11" t="s">
        <v>5085</v>
      </c>
      <c r="H1049" t="str">
        <f>IFERROR(VLOOKUP(ROWS($H$2:H1049),F1049:G2267,2,0),"")</f>
        <v>Shiraz – Shahid Dastghaib SYZ</v>
      </c>
    </row>
    <row r="1050" spans="1:8" x14ac:dyDescent="0.25">
      <c r="A1050">
        <f>IF(ISNUMBER(SEARCH(Request!$I$19,B1050)),MAX($A$1:A1049)+1,0)</f>
        <v>1049</v>
      </c>
      <c r="B1050" s="11" t="s">
        <v>5086</v>
      </c>
      <c r="D1050" t="str">
        <f>IFERROR(VLOOKUP(ROWS($D$2:D1050),A1050:B2268,2,0),"")</f>
        <v>Shoreham ESH</v>
      </c>
      <c r="F1050">
        <f>IF(ISNUMBER(SEARCH(Request!$N$19,G1050)),MAX(F$1:$F1049)+1,0)</f>
        <v>1049</v>
      </c>
      <c r="G1050" s="11" t="s">
        <v>5086</v>
      </c>
      <c r="H1050" t="str">
        <f>IFERROR(VLOOKUP(ROWS($H$2:H1050),F1050:G2268,2,0),"")</f>
        <v>Shoreham ESH</v>
      </c>
    </row>
    <row r="1051" spans="1:8" x14ac:dyDescent="0.25">
      <c r="A1051">
        <f>IF(ISNUMBER(SEARCH(Request!$I$19,B1051)),MAX($A$1:A1050)+1,0)</f>
        <v>1050</v>
      </c>
      <c r="B1051" s="11" t="s">
        <v>5087</v>
      </c>
      <c r="D1051" t="str">
        <f>IFERROR(VLOOKUP(ROWS($D$2:D1051),A1051:B2269,2,0),"")</f>
        <v>Shreveport Regional SHV</v>
      </c>
      <c r="F1051">
        <f>IF(ISNUMBER(SEARCH(Request!$N$19,G1051)),MAX(F$1:$F1050)+1,0)</f>
        <v>1050</v>
      </c>
      <c r="G1051" s="11" t="s">
        <v>5087</v>
      </c>
      <c r="H1051" t="str">
        <f>IFERROR(VLOOKUP(ROWS($H$2:H1051),F1051:G2269,2,0),"")</f>
        <v>Shreveport Regional SHV</v>
      </c>
    </row>
    <row r="1052" spans="1:8" x14ac:dyDescent="0.25">
      <c r="A1052">
        <f>IF(ISNUMBER(SEARCH(Request!$I$19,B1052)),MAX($A$1:A1051)+1,0)</f>
        <v>1051</v>
      </c>
      <c r="B1052" s="11" t="s">
        <v>5088</v>
      </c>
      <c r="D1052" t="str">
        <f>IFERROR(VLOOKUP(ROWS($D$2:D1052),A1052:B2270,2,0),"")</f>
        <v>Sibu SBW</v>
      </c>
      <c r="F1052">
        <f>IF(ISNUMBER(SEARCH(Request!$N$19,G1052)),MAX(F$1:$F1051)+1,0)</f>
        <v>1051</v>
      </c>
      <c r="G1052" s="11" t="s">
        <v>5088</v>
      </c>
      <c r="H1052" t="str">
        <f>IFERROR(VLOOKUP(ROWS($H$2:H1052),F1052:G2270,2,0),"")</f>
        <v>Sibu SBW</v>
      </c>
    </row>
    <row r="1053" spans="1:8" x14ac:dyDescent="0.25">
      <c r="A1053">
        <f>IF(ISNUMBER(SEARCH(Request!$I$19,B1053)),MAX($A$1:A1052)+1,0)</f>
        <v>1052</v>
      </c>
      <c r="B1053" s="11" t="s">
        <v>5089</v>
      </c>
      <c r="D1053" t="str">
        <f>IFERROR(VLOOKUP(ROWS($D$2:D1053),A1053:B2271,2,0),"")</f>
        <v>Sidney Municipal SDY</v>
      </c>
      <c r="F1053">
        <f>IF(ISNUMBER(SEARCH(Request!$N$19,G1053)),MAX(F$1:$F1052)+1,0)</f>
        <v>1052</v>
      </c>
      <c r="G1053" s="11" t="s">
        <v>5089</v>
      </c>
      <c r="H1053" t="str">
        <f>IFERROR(VLOOKUP(ROWS($H$2:H1053),F1053:G2271,2,0),"")</f>
        <v>Sidney Municipal SDY</v>
      </c>
    </row>
    <row r="1054" spans="1:8" x14ac:dyDescent="0.25">
      <c r="A1054">
        <f>IF(ISNUMBER(SEARCH(Request!$I$19,B1054)),MAX($A$1:A1053)+1,0)</f>
        <v>1053</v>
      </c>
      <c r="B1054" s="11" t="s">
        <v>5090</v>
      </c>
      <c r="D1054" t="str">
        <f>IFERROR(VLOOKUP(ROWS($D$2:D1054),A1054:B2272,2,0),"")</f>
        <v>Singapore – Changi SIN</v>
      </c>
      <c r="F1054">
        <f>IF(ISNUMBER(SEARCH(Request!$N$19,G1054)),MAX(F$1:$F1053)+1,0)</f>
        <v>1053</v>
      </c>
      <c r="G1054" s="11" t="s">
        <v>5090</v>
      </c>
      <c r="H1054" t="str">
        <f>IFERROR(VLOOKUP(ROWS($H$2:H1054),F1054:G2272,2,0),"")</f>
        <v>Singapore – Changi SIN</v>
      </c>
    </row>
    <row r="1055" spans="1:8" x14ac:dyDescent="0.25">
      <c r="A1055">
        <f>IF(ISNUMBER(SEARCH(Request!$I$19,B1055)),MAX($A$1:A1054)+1,0)</f>
        <v>1054</v>
      </c>
      <c r="B1055" s="11" t="s">
        <v>5091</v>
      </c>
      <c r="D1055" t="str">
        <f>IFERROR(VLOOKUP(ROWS($D$2:D1055),A1055:B2273,2,0),"")</f>
        <v>Sion SIR</v>
      </c>
      <c r="F1055">
        <f>IF(ISNUMBER(SEARCH(Request!$N$19,G1055)),MAX(F$1:$F1054)+1,0)</f>
        <v>1054</v>
      </c>
      <c r="G1055" s="11" t="s">
        <v>5091</v>
      </c>
      <c r="H1055" t="str">
        <f>IFERROR(VLOOKUP(ROWS($H$2:H1055),F1055:G2273,2,0),"")</f>
        <v>Sion SIR</v>
      </c>
    </row>
    <row r="1056" spans="1:8" x14ac:dyDescent="0.25">
      <c r="A1056">
        <f>IF(ISNUMBER(SEARCH(Request!$I$19,B1056)),MAX($A$1:A1055)+1,0)</f>
        <v>1055</v>
      </c>
      <c r="B1056" s="11" t="s">
        <v>5092</v>
      </c>
      <c r="D1056" t="str">
        <f>IFERROR(VLOOKUP(ROWS($D$2:D1056),A1056:B2274,2,0),"")</f>
        <v>Sioux Falls Regional FSD</v>
      </c>
      <c r="F1056">
        <f>IF(ISNUMBER(SEARCH(Request!$N$19,G1056)),MAX(F$1:$F1055)+1,0)</f>
        <v>1055</v>
      </c>
      <c r="G1056" s="11" t="s">
        <v>5092</v>
      </c>
      <c r="H1056" t="str">
        <f>IFERROR(VLOOKUP(ROWS($H$2:H1056),F1056:G2274,2,0),"")</f>
        <v>Sioux Falls Regional FSD</v>
      </c>
    </row>
    <row r="1057" spans="1:8" x14ac:dyDescent="0.25">
      <c r="A1057">
        <f>IF(ISNUMBER(SEARCH(Request!$I$19,B1057)),MAX($A$1:A1056)+1,0)</f>
        <v>1056</v>
      </c>
      <c r="B1057" s="11" t="s">
        <v>5093</v>
      </c>
      <c r="D1057" t="str">
        <f>IFERROR(VLOOKUP(ROWS($D$2:D1057),A1057:B2275,2,0),"")</f>
        <v>Sioux Gateway SUX</v>
      </c>
      <c r="F1057">
        <f>IF(ISNUMBER(SEARCH(Request!$N$19,G1057)),MAX(F$1:$F1056)+1,0)</f>
        <v>1056</v>
      </c>
      <c r="G1057" s="11" t="s">
        <v>5093</v>
      </c>
      <c r="H1057" t="str">
        <f>IFERROR(VLOOKUP(ROWS($H$2:H1057),F1057:G2275,2,0),"")</f>
        <v>Sioux Gateway SUX</v>
      </c>
    </row>
    <row r="1058" spans="1:8" x14ac:dyDescent="0.25">
      <c r="A1058">
        <f>IF(ISNUMBER(SEARCH(Request!$I$19,B1058)),MAX($A$1:A1057)+1,0)</f>
        <v>1057</v>
      </c>
      <c r="B1058" s="11" t="s">
        <v>5094</v>
      </c>
      <c r="D1058" t="str">
        <f>IFERROR(VLOOKUP(ROWS($D$2:D1058),A1058:B2276,2,0),"")</f>
        <v>Sir Seewoosagur Ramgoolam MRU</v>
      </c>
      <c r="F1058">
        <f>IF(ISNUMBER(SEARCH(Request!$N$19,G1058)),MAX(F$1:$F1057)+1,0)</f>
        <v>1057</v>
      </c>
      <c r="G1058" s="11" t="s">
        <v>5094</v>
      </c>
      <c r="H1058" t="str">
        <f>IFERROR(VLOOKUP(ROWS($H$2:H1058),F1058:G2276,2,0),"")</f>
        <v>Sir Seewoosagur Ramgoolam MRU</v>
      </c>
    </row>
    <row r="1059" spans="1:8" x14ac:dyDescent="0.25">
      <c r="A1059">
        <f>IF(ISNUMBER(SEARCH(Request!$I$19,B1059)),MAX($A$1:A1058)+1,0)</f>
        <v>1058</v>
      </c>
      <c r="B1059" s="11" t="s">
        <v>5095</v>
      </c>
      <c r="D1059" t="str">
        <f>IFERROR(VLOOKUP(ROWS($D$2:D1059),A1059:B2277,2,0),"")</f>
        <v>Skive SQW</v>
      </c>
      <c r="F1059">
        <f>IF(ISNUMBER(SEARCH(Request!$N$19,G1059)),MAX(F$1:$F1058)+1,0)</f>
        <v>1058</v>
      </c>
      <c r="G1059" s="11" t="s">
        <v>5095</v>
      </c>
      <c r="H1059" t="str">
        <f>IFERROR(VLOOKUP(ROWS($H$2:H1059),F1059:G2277,2,0),"")</f>
        <v>Skive SQW</v>
      </c>
    </row>
    <row r="1060" spans="1:8" x14ac:dyDescent="0.25">
      <c r="A1060">
        <f>IF(ISNUMBER(SEARCH(Request!$I$19,B1060)),MAX($A$1:A1059)+1,0)</f>
        <v>1059</v>
      </c>
      <c r="B1060" s="11" t="s">
        <v>5096</v>
      </c>
      <c r="D1060" t="str">
        <f>IFERROR(VLOOKUP(ROWS($D$2:D1060),A1060:B2278,2,0),"")</f>
        <v>Skopje SKP</v>
      </c>
      <c r="F1060">
        <f>IF(ISNUMBER(SEARCH(Request!$N$19,G1060)),MAX(F$1:$F1059)+1,0)</f>
        <v>1059</v>
      </c>
      <c r="G1060" s="11" t="s">
        <v>5096</v>
      </c>
      <c r="H1060" t="str">
        <f>IFERROR(VLOOKUP(ROWS($H$2:H1060),F1060:G2278,2,0),"")</f>
        <v>Skopje SKP</v>
      </c>
    </row>
    <row r="1061" spans="1:8" x14ac:dyDescent="0.25">
      <c r="A1061">
        <f>IF(ISNUMBER(SEARCH(Request!$I$19,B1061)),MAX($A$1:A1060)+1,0)</f>
        <v>1060</v>
      </c>
      <c r="B1061" s="11" t="s">
        <v>5097</v>
      </c>
      <c r="D1061" t="str">
        <f>IFERROR(VLOOKUP(ROWS($D$2:D1061),A1061:B2279,2,0),"")</f>
        <v>Sliac SLD</v>
      </c>
      <c r="F1061">
        <f>IF(ISNUMBER(SEARCH(Request!$N$19,G1061)),MAX(F$1:$F1060)+1,0)</f>
        <v>1060</v>
      </c>
      <c r="G1061" s="11" t="s">
        <v>5097</v>
      </c>
      <c r="H1061" t="str">
        <f>IFERROR(VLOOKUP(ROWS($H$2:H1061),F1061:G2279,2,0),"")</f>
        <v>Sliac SLD</v>
      </c>
    </row>
    <row r="1062" spans="1:8" x14ac:dyDescent="0.25">
      <c r="A1062">
        <f>IF(ISNUMBER(SEARCH(Request!$I$19,B1062)),MAX($A$1:A1061)+1,0)</f>
        <v>1061</v>
      </c>
      <c r="B1062" s="11" t="s">
        <v>5098</v>
      </c>
      <c r="D1062" t="str">
        <f>IFERROR(VLOOKUP(ROWS($D$2:D1062),A1062:B2280,2,0),"")</f>
        <v>Sligo Regional SXL</v>
      </c>
      <c r="F1062">
        <f>IF(ISNUMBER(SEARCH(Request!$N$19,G1062)),MAX(F$1:$F1061)+1,0)</f>
        <v>1061</v>
      </c>
      <c r="G1062" s="11" t="s">
        <v>5098</v>
      </c>
      <c r="H1062" t="str">
        <f>IFERROR(VLOOKUP(ROWS($H$2:H1062),F1062:G2280,2,0),"")</f>
        <v>Sligo Regional SXL</v>
      </c>
    </row>
    <row r="1063" spans="1:8" x14ac:dyDescent="0.25">
      <c r="A1063">
        <f>IF(ISNUMBER(SEARCH(Request!$I$19,B1063)),MAX($A$1:A1062)+1,0)</f>
        <v>1062</v>
      </c>
      <c r="B1063" s="11" t="s">
        <v>5099</v>
      </c>
      <c r="D1063" t="str">
        <f>IFERROR(VLOOKUP(ROWS($D$2:D1063),A1063:B2281,2,0),"")</f>
        <v>Sofia EAD SOF</v>
      </c>
      <c r="F1063">
        <f>IF(ISNUMBER(SEARCH(Request!$N$19,G1063)),MAX(F$1:$F1062)+1,0)</f>
        <v>1062</v>
      </c>
      <c r="G1063" s="11" t="s">
        <v>5099</v>
      </c>
      <c r="H1063" t="str">
        <f>IFERROR(VLOOKUP(ROWS($H$2:H1063),F1063:G2281,2,0),"")</f>
        <v>Sofia EAD SOF</v>
      </c>
    </row>
    <row r="1064" spans="1:8" x14ac:dyDescent="0.25">
      <c r="A1064">
        <f>IF(ISNUMBER(SEARCH(Request!$I$19,B1064)),MAX($A$1:A1063)+1,0)</f>
        <v>1063</v>
      </c>
      <c r="B1064" s="11" t="s">
        <v>5135</v>
      </c>
      <c r="D1064" t="str">
        <f>IFERROR(VLOOKUP(ROWS($D$2:D1064),A1064:B2282,2,0),"")</f>
        <v>Sønderborg SGD</v>
      </c>
      <c r="F1064">
        <f>IF(ISNUMBER(SEARCH(Request!$N$19,G1064)),MAX(F$1:$F1063)+1,0)</f>
        <v>1063</v>
      </c>
      <c r="G1064" s="11" t="s">
        <v>5135</v>
      </c>
      <c r="H1064" t="str">
        <f>IFERROR(VLOOKUP(ROWS($H$2:H1064),F1064:G2282,2,0),"")</f>
        <v>Sønderborg SGD</v>
      </c>
    </row>
    <row r="1065" spans="1:8" x14ac:dyDescent="0.25">
      <c r="A1065">
        <f>IF(ISNUMBER(SEARCH(Request!$I$19,B1065)),MAX($A$1:A1064)+1,0)</f>
        <v>1064</v>
      </c>
      <c r="B1065" s="11" t="s">
        <v>5100</v>
      </c>
      <c r="D1065" t="str">
        <f>IFERROR(VLOOKUP(ROWS($D$2:D1065),A1065:B2283,2,0),"")</f>
        <v>Sondre Stromfjord/Kangerlussuaq SFJ</v>
      </c>
      <c r="F1065">
        <f>IF(ISNUMBER(SEARCH(Request!$N$19,G1065)),MAX(F$1:$F1064)+1,0)</f>
        <v>1064</v>
      </c>
      <c r="G1065" s="11" t="s">
        <v>5100</v>
      </c>
      <c r="H1065" t="str">
        <f>IFERROR(VLOOKUP(ROWS($H$2:H1065),F1065:G2283,2,0),"")</f>
        <v>Sondre Stromfjord/Kangerlussuaq SFJ</v>
      </c>
    </row>
    <row r="1066" spans="1:8" x14ac:dyDescent="0.25">
      <c r="A1066">
        <f>IF(ISNUMBER(SEARCH(Request!$I$19,B1066)),MAX($A$1:A1065)+1,0)</f>
        <v>1065</v>
      </c>
      <c r="B1066" s="11" t="s">
        <v>5101</v>
      </c>
      <c r="D1066" t="str">
        <f>IFERROR(VLOOKUP(ROWS($D$2:D1066),A1066:B2284,2,0),"")</f>
        <v>South Bend Regional SBN</v>
      </c>
      <c r="F1066">
        <f>IF(ISNUMBER(SEARCH(Request!$N$19,G1066)),MAX(F$1:$F1065)+1,0)</f>
        <v>1065</v>
      </c>
      <c r="G1066" s="11" t="s">
        <v>5101</v>
      </c>
      <c r="H1066" t="str">
        <f>IFERROR(VLOOKUP(ROWS($H$2:H1066),F1066:G2284,2,0),"")</f>
        <v>South Bend Regional SBN</v>
      </c>
    </row>
    <row r="1067" spans="1:8" x14ac:dyDescent="0.25">
      <c r="A1067">
        <f>IF(ISNUMBER(SEARCH(Request!$I$19,B1067)),MAX($A$1:A1066)+1,0)</f>
        <v>1066</v>
      </c>
      <c r="B1067" s="11" t="s">
        <v>5102</v>
      </c>
      <c r="D1067" t="str">
        <f>IFERROR(VLOOKUP(ROWS($D$2:D1067),A1067:B2285,2,0),"")</f>
        <v>South Caicos SLX</v>
      </c>
      <c r="F1067">
        <f>IF(ISNUMBER(SEARCH(Request!$N$19,G1067)),MAX(F$1:$F1066)+1,0)</f>
        <v>1066</v>
      </c>
      <c r="G1067" s="11" t="s">
        <v>5102</v>
      </c>
      <c r="H1067" t="str">
        <f>IFERROR(VLOOKUP(ROWS($H$2:H1067),F1067:G2285,2,0),"")</f>
        <v>South Caicos SLX</v>
      </c>
    </row>
    <row r="1068" spans="1:8" x14ac:dyDescent="0.25">
      <c r="A1068">
        <f>IF(ISNUMBER(SEARCH(Request!$I$19,B1068)),MAX($A$1:A1067)+1,0)</f>
        <v>1067</v>
      </c>
      <c r="B1068" s="11" t="s">
        <v>5103</v>
      </c>
      <c r="D1068" t="str">
        <f>IFERROR(VLOOKUP(ROWS($D$2:D1068),A1068:B2286,2,0),"")</f>
        <v>Southampton SOU</v>
      </c>
      <c r="F1068">
        <f>IF(ISNUMBER(SEARCH(Request!$N$19,G1068)),MAX(F$1:$F1067)+1,0)</f>
        <v>1067</v>
      </c>
      <c r="G1068" s="11" t="s">
        <v>5103</v>
      </c>
      <c r="H1068" t="str">
        <f>IFERROR(VLOOKUP(ROWS($H$2:H1068),F1068:G2286,2,0),"")</f>
        <v>Southampton SOU</v>
      </c>
    </row>
    <row r="1069" spans="1:8" x14ac:dyDescent="0.25">
      <c r="A1069">
        <f>IF(ISNUMBER(SEARCH(Request!$I$19,B1069)),MAX($A$1:A1068)+1,0)</f>
        <v>1068</v>
      </c>
      <c r="B1069" s="11" t="s">
        <v>5104</v>
      </c>
      <c r="D1069" t="str">
        <f>IFERROR(VLOOKUP(ROWS($D$2:D1069),A1069:B2287,2,0),"")</f>
        <v>Split SPU</v>
      </c>
      <c r="F1069">
        <f>IF(ISNUMBER(SEARCH(Request!$N$19,G1069)),MAX(F$1:$F1068)+1,0)</f>
        <v>1068</v>
      </c>
      <c r="G1069" s="11" t="s">
        <v>5104</v>
      </c>
      <c r="H1069" t="str">
        <f>IFERROR(VLOOKUP(ROWS($H$2:H1069),F1069:G2287,2,0),"")</f>
        <v>Split SPU</v>
      </c>
    </row>
    <row r="1070" spans="1:8" x14ac:dyDescent="0.25">
      <c r="A1070">
        <f>IF(ISNUMBER(SEARCH(Request!$I$19,B1070)),MAX($A$1:A1069)+1,0)</f>
        <v>1069</v>
      </c>
      <c r="B1070" s="11" t="s">
        <v>5105</v>
      </c>
      <c r="D1070" t="str">
        <f>IFERROR(VLOOKUP(ROWS($D$2:D1070),A1070:B2288,2,0),"")</f>
        <v>Spokane GEG</v>
      </c>
      <c r="F1070">
        <f>IF(ISNUMBER(SEARCH(Request!$N$19,G1070)),MAX(F$1:$F1069)+1,0)</f>
        <v>1069</v>
      </c>
      <c r="G1070" s="11" t="s">
        <v>5105</v>
      </c>
      <c r="H1070" t="str">
        <f>IFERROR(VLOOKUP(ROWS($H$2:H1070),F1070:G2288,2,0),"")</f>
        <v>Spokane GEG</v>
      </c>
    </row>
    <row r="1071" spans="1:8" x14ac:dyDescent="0.25">
      <c r="A1071">
        <f>IF(ISNUMBER(SEARCH(Request!$I$19,B1071)),MAX($A$1:A1070)+1,0)</f>
        <v>1070</v>
      </c>
      <c r="B1071" s="11" t="s">
        <v>5106</v>
      </c>
      <c r="D1071" t="str">
        <f>IFERROR(VLOOKUP(ROWS($D$2:D1071),A1071:B2289,2,0),"")</f>
        <v>Springfield – Branson Regional SGF</v>
      </c>
      <c r="F1071">
        <f>IF(ISNUMBER(SEARCH(Request!$N$19,G1071)),MAX(F$1:$F1070)+1,0)</f>
        <v>1070</v>
      </c>
      <c r="G1071" s="11" t="s">
        <v>5106</v>
      </c>
      <c r="H1071" t="str">
        <f>IFERROR(VLOOKUP(ROWS($H$2:H1071),F1071:G2289,2,0),"")</f>
        <v>Springfield – Branson Regional SGF</v>
      </c>
    </row>
    <row r="1072" spans="1:8" x14ac:dyDescent="0.25">
      <c r="A1072">
        <f>IF(ISNUMBER(SEARCH(Request!$I$19,B1072)),MAX($A$1:A1071)+1,0)</f>
        <v>1071</v>
      </c>
      <c r="B1072" s="11" t="s">
        <v>5107</v>
      </c>
      <c r="D1072" t="str">
        <f>IFERROR(VLOOKUP(ROWS($D$2:D1072),A1072:B2290,2,0),"")</f>
        <v>St Moritz – Samedan SMV</v>
      </c>
      <c r="F1072">
        <f>IF(ISNUMBER(SEARCH(Request!$N$19,G1072)),MAX(F$1:$F1071)+1,0)</f>
        <v>1071</v>
      </c>
      <c r="G1072" s="11" t="s">
        <v>5107</v>
      </c>
      <c r="H1072" t="str">
        <f>IFERROR(VLOOKUP(ROWS($H$2:H1072),F1072:G2290,2,0),"")</f>
        <v>St Moritz – Samedan SMV</v>
      </c>
    </row>
    <row r="1073" spans="1:8" x14ac:dyDescent="0.25">
      <c r="A1073">
        <f>IF(ISNUMBER(SEARCH(Request!$I$19,B1073)),MAX($A$1:A1072)+1,0)</f>
        <v>1072</v>
      </c>
      <c r="B1073" s="11" t="s">
        <v>5108</v>
      </c>
      <c r="D1073" t="str">
        <f>IFERROR(VLOOKUP(ROWS($D$2:D1073),A1073:B2291,2,0),"")</f>
        <v>St Nazaire/Montoir SNR</v>
      </c>
      <c r="F1073">
        <f>IF(ISNUMBER(SEARCH(Request!$N$19,G1073)),MAX(F$1:$F1072)+1,0)</f>
        <v>1072</v>
      </c>
      <c r="G1073" s="11" t="s">
        <v>5108</v>
      </c>
      <c r="H1073" t="str">
        <f>IFERROR(VLOOKUP(ROWS($H$2:H1073),F1073:G2291,2,0),"")</f>
        <v>St Nazaire/Montoir SNR</v>
      </c>
    </row>
    <row r="1074" spans="1:8" x14ac:dyDescent="0.25">
      <c r="A1074">
        <f>IF(ISNUMBER(SEARCH(Request!$I$19,B1074)),MAX($A$1:A1073)+1,0)</f>
        <v>1073</v>
      </c>
      <c r="B1074" s="11" t="s">
        <v>5109</v>
      </c>
      <c r="D1074" t="str">
        <f>IFERROR(VLOOKUP(ROWS($D$2:D1074),A1074:B2292,2,0),"")</f>
        <v>St Petersburg-Clearwater Int´l PIE</v>
      </c>
      <c r="F1074">
        <f>IF(ISNUMBER(SEARCH(Request!$N$19,G1074)),MAX(F$1:$F1073)+1,0)</f>
        <v>1073</v>
      </c>
      <c r="G1074" s="11" t="s">
        <v>5109</v>
      </c>
      <c r="H1074" t="str">
        <f>IFERROR(VLOOKUP(ROWS($H$2:H1074),F1074:G2292,2,0),"")</f>
        <v>St Petersburg-Clearwater Int´l PIE</v>
      </c>
    </row>
    <row r="1075" spans="1:8" x14ac:dyDescent="0.25">
      <c r="A1075">
        <f>IF(ISNUMBER(SEARCH(Request!$I$19,B1075)),MAX($A$1:A1074)+1,0)</f>
        <v>1074</v>
      </c>
      <c r="B1075" s="11" t="s">
        <v>5110</v>
      </c>
      <c r="D1075" t="str">
        <f>IFERROR(VLOOKUP(ROWS($D$2:D1075),A1075:B2293,2,0),"")</f>
        <v>St Petersburg-Pulkovo LED</v>
      </c>
      <c r="F1075">
        <f>IF(ISNUMBER(SEARCH(Request!$N$19,G1075)),MAX(F$1:$F1074)+1,0)</f>
        <v>1074</v>
      </c>
      <c r="G1075" s="11" t="s">
        <v>5110</v>
      </c>
      <c r="H1075" t="str">
        <f>IFERROR(VLOOKUP(ROWS($H$2:H1075),F1075:G2293,2,0),"")</f>
        <v>St Petersburg-Pulkovo LED</v>
      </c>
    </row>
    <row r="1076" spans="1:8" x14ac:dyDescent="0.25">
      <c r="A1076">
        <f>IF(ISNUMBER(SEARCH(Request!$I$19,B1076)),MAX($A$1:A1075)+1,0)</f>
        <v>1075</v>
      </c>
      <c r="B1076" s="11" t="s">
        <v>5111</v>
      </c>
      <c r="D1076" t="str">
        <f>IFERROR(VLOOKUP(ROWS($D$2:D1076),A1076:B2294,2,0),"")</f>
        <v>St Tropez du Golfe LTT</v>
      </c>
      <c r="F1076">
        <f>IF(ISNUMBER(SEARCH(Request!$N$19,G1076)),MAX(F$1:$F1075)+1,0)</f>
        <v>1075</v>
      </c>
      <c r="G1076" s="11" t="s">
        <v>5111</v>
      </c>
      <c r="H1076" t="str">
        <f>IFERROR(VLOOKUP(ROWS($H$2:H1076),F1076:G2294,2,0),"")</f>
        <v>St Tropez du Golfe LTT</v>
      </c>
    </row>
    <row r="1077" spans="1:8" x14ac:dyDescent="0.25">
      <c r="A1077">
        <f>IF(ISNUMBER(SEARCH(Request!$I$19,B1077)),MAX($A$1:A1076)+1,0)</f>
        <v>1076</v>
      </c>
      <c r="B1077" s="11" t="s">
        <v>5112</v>
      </c>
      <c r="D1077" t="str">
        <f>IFERROR(VLOOKUP(ROWS($D$2:D1077),A1077:B2295,2,0),"")</f>
        <v>St. John's YYT</v>
      </c>
      <c r="F1077">
        <f>IF(ISNUMBER(SEARCH(Request!$N$19,G1077)),MAX(F$1:$F1076)+1,0)</f>
        <v>1076</v>
      </c>
      <c r="G1077" s="11" t="s">
        <v>5112</v>
      </c>
      <c r="H1077" t="str">
        <f>IFERROR(VLOOKUP(ROWS($H$2:H1077),F1077:G2295,2,0),"")</f>
        <v>St. John's YYT</v>
      </c>
    </row>
    <row r="1078" spans="1:8" x14ac:dyDescent="0.25">
      <c r="A1078">
        <f>IF(ISNUMBER(SEARCH(Request!$I$19,B1078)),MAX($A$1:A1077)+1,0)</f>
        <v>1077</v>
      </c>
      <c r="B1078" s="11" t="s">
        <v>5113</v>
      </c>
      <c r="D1078" t="str">
        <f>IFERROR(VLOOKUP(ROWS($D$2:D1078),A1078:B2296,2,0),"")</f>
        <v>State College SCE</v>
      </c>
      <c r="F1078">
        <f>IF(ISNUMBER(SEARCH(Request!$N$19,G1078)),MAX(F$1:$F1077)+1,0)</f>
        <v>1077</v>
      </c>
      <c r="G1078" s="11" t="s">
        <v>5113</v>
      </c>
      <c r="H1078" t="str">
        <f>IFERROR(VLOOKUP(ROWS($H$2:H1078),F1078:G2296,2,0),"")</f>
        <v>State College SCE</v>
      </c>
    </row>
    <row r="1079" spans="1:8" x14ac:dyDescent="0.25">
      <c r="A1079">
        <f>IF(ISNUMBER(SEARCH(Request!$I$19,B1079)),MAX($A$1:A1078)+1,0)</f>
        <v>1078</v>
      </c>
      <c r="B1079" s="11" t="s">
        <v>5114</v>
      </c>
      <c r="D1079" t="str">
        <f>IFERROR(VLOOKUP(ROWS($D$2:D1079),A1079:B2297,2,0),"")</f>
        <v>Stauning Vestjyllands STA</v>
      </c>
      <c r="F1079">
        <f>IF(ISNUMBER(SEARCH(Request!$N$19,G1079)),MAX(F$1:$F1078)+1,0)</f>
        <v>1078</v>
      </c>
      <c r="G1079" s="11" t="s">
        <v>5114</v>
      </c>
      <c r="H1079" t="str">
        <f>IFERROR(VLOOKUP(ROWS($H$2:H1079),F1079:G2297,2,0),"")</f>
        <v>Stauning Vestjyllands STA</v>
      </c>
    </row>
    <row r="1080" spans="1:8" x14ac:dyDescent="0.25">
      <c r="A1080">
        <f>IF(ISNUMBER(SEARCH(Request!$I$19,B1080)),MAX($A$1:A1079)+1,0)</f>
        <v>1079</v>
      </c>
      <c r="B1080" s="11" t="s">
        <v>5115</v>
      </c>
      <c r="D1080" t="str">
        <f>IFERROR(VLOOKUP(ROWS($D$2:D1080),A1080:B2298,2,0),"")</f>
        <v>Stavanger SVG</v>
      </c>
      <c r="F1080">
        <f>IF(ISNUMBER(SEARCH(Request!$N$19,G1080)),MAX(F$1:$F1079)+1,0)</f>
        <v>1079</v>
      </c>
      <c r="G1080" s="11" t="s">
        <v>5115</v>
      </c>
      <c r="H1080" t="str">
        <f>IFERROR(VLOOKUP(ROWS($H$2:H1080),F1080:G2298,2,0),"")</f>
        <v>Stavanger SVG</v>
      </c>
    </row>
    <row r="1081" spans="1:8" x14ac:dyDescent="0.25">
      <c r="A1081">
        <f>IF(ISNUMBER(SEARCH(Request!$I$19,B1081)),MAX($A$1:A1080)+1,0)</f>
        <v>1080</v>
      </c>
      <c r="B1081" s="11" t="s">
        <v>5116</v>
      </c>
      <c r="D1081" t="str">
        <f>IFERROR(VLOOKUP(ROWS($D$2:D1081),A1081:B2299,2,0),"")</f>
        <v>Stewart SWF</v>
      </c>
      <c r="F1081">
        <f>IF(ISNUMBER(SEARCH(Request!$N$19,G1081)),MAX(F$1:$F1080)+1,0)</f>
        <v>1080</v>
      </c>
      <c r="G1081" s="11" t="s">
        <v>5116</v>
      </c>
      <c r="H1081" t="str">
        <f>IFERROR(VLOOKUP(ROWS($H$2:H1081),F1081:G2299,2,0),"")</f>
        <v>Stewart SWF</v>
      </c>
    </row>
    <row r="1082" spans="1:8" x14ac:dyDescent="0.25">
      <c r="A1082">
        <f>IF(ISNUMBER(SEARCH(Request!$I$19,B1082)),MAX($A$1:A1081)+1,0)</f>
        <v>1081</v>
      </c>
      <c r="B1082" s="11" t="s">
        <v>5117</v>
      </c>
      <c r="D1082" t="str">
        <f>IFERROR(VLOOKUP(ROWS($D$2:D1082),A1082:B2300,2,0),"")</f>
        <v>Stockholm – Arlanda ARN</v>
      </c>
      <c r="F1082">
        <f>IF(ISNUMBER(SEARCH(Request!$N$19,G1082)),MAX(F$1:$F1081)+1,0)</f>
        <v>1081</v>
      </c>
      <c r="G1082" s="11" t="s">
        <v>5117</v>
      </c>
      <c r="H1082" t="str">
        <f>IFERROR(VLOOKUP(ROWS($H$2:H1082),F1082:G2300,2,0),"")</f>
        <v>Stockholm – Arlanda ARN</v>
      </c>
    </row>
    <row r="1083" spans="1:8" x14ac:dyDescent="0.25">
      <c r="A1083">
        <f>IF(ISNUMBER(SEARCH(Request!$I$19,B1083)),MAX($A$1:A1082)+1,0)</f>
        <v>1082</v>
      </c>
      <c r="B1083" s="11" t="s">
        <v>5118</v>
      </c>
      <c r="D1083" t="str">
        <f>IFERROR(VLOOKUP(ROWS($D$2:D1083),A1083:B2301,2,0),"")</f>
        <v>Stockholm – Bromma BMA</v>
      </c>
      <c r="F1083">
        <f>IF(ISNUMBER(SEARCH(Request!$N$19,G1083)),MAX(F$1:$F1082)+1,0)</f>
        <v>1082</v>
      </c>
      <c r="G1083" s="11" t="s">
        <v>5118</v>
      </c>
      <c r="H1083" t="str">
        <f>IFERROR(VLOOKUP(ROWS($H$2:H1083),F1083:G2301,2,0),"")</f>
        <v>Stockholm – Bromma BMA</v>
      </c>
    </row>
    <row r="1084" spans="1:8" x14ac:dyDescent="0.25">
      <c r="A1084">
        <f>IF(ISNUMBER(SEARCH(Request!$I$19,B1084)),MAX($A$1:A1083)+1,0)</f>
        <v>1083</v>
      </c>
      <c r="B1084" s="11" t="s">
        <v>5119</v>
      </c>
      <c r="D1084" t="str">
        <f>IFERROR(VLOOKUP(ROWS($D$2:D1084),A1084:B2302,2,0),"")</f>
        <v>Stockholm – Skavsta NYO</v>
      </c>
      <c r="F1084">
        <f>IF(ISNUMBER(SEARCH(Request!$N$19,G1084)),MAX(F$1:$F1083)+1,0)</f>
        <v>1083</v>
      </c>
      <c r="G1084" s="11" t="s">
        <v>5119</v>
      </c>
      <c r="H1084" t="str">
        <f>IFERROR(VLOOKUP(ROWS($H$2:H1084),F1084:G2302,2,0),"")</f>
        <v>Stockholm – Skavsta NYO</v>
      </c>
    </row>
    <row r="1085" spans="1:8" x14ac:dyDescent="0.25">
      <c r="A1085">
        <f>IF(ISNUMBER(SEARCH(Request!$I$19,B1085)),MAX($A$1:A1084)+1,0)</f>
        <v>1084</v>
      </c>
      <c r="B1085" s="11" t="s">
        <v>5120</v>
      </c>
      <c r="D1085" t="str">
        <f>IFERROR(VLOOKUP(ROWS($D$2:D1085),A1085:B2303,2,0),"")</f>
        <v>Stord – Soerstokken SRP</v>
      </c>
      <c r="F1085">
        <f>IF(ISNUMBER(SEARCH(Request!$N$19,G1085)),MAX(F$1:$F1084)+1,0)</f>
        <v>1084</v>
      </c>
      <c r="G1085" s="11" t="s">
        <v>5120</v>
      </c>
      <c r="H1085" t="str">
        <f>IFERROR(VLOOKUP(ROWS($H$2:H1085),F1085:G2303,2,0),"")</f>
        <v>Stord – Soerstokken SRP</v>
      </c>
    </row>
    <row r="1086" spans="1:8" x14ac:dyDescent="0.25">
      <c r="A1086">
        <f>IF(ISNUMBER(SEARCH(Request!$I$19,B1086)),MAX($A$1:A1085)+1,0)</f>
        <v>1085</v>
      </c>
      <c r="B1086" s="11" t="s">
        <v>5121</v>
      </c>
      <c r="D1086" t="str">
        <f>IFERROR(VLOOKUP(ROWS($D$2:D1086),A1086:B2304,2,0),"")</f>
        <v>Stornoway STY</v>
      </c>
      <c r="F1086">
        <f>IF(ISNUMBER(SEARCH(Request!$N$19,G1086)),MAX(F$1:$F1085)+1,0)</f>
        <v>1085</v>
      </c>
      <c r="G1086" s="11" t="s">
        <v>5121</v>
      </c>
      <c r="H1086" t="str">
        <f>IFERROR(VLOOKUP(ROWS($H$2:H1086),F1086:G2304,2,0),"")</f>
        <v>Stornoway STY</v>
      </c>
    </row>
    <row r="1087" spans="1:8" x14ac:dyDescent="0.25">
      <c r="A1087">
        <f>IF(ISNUMBER(SEARCH(Request!$I$19,B1087)),MAX($A$1:A1086)+1,0)</f>
        <v>1086</v>
      </c>
      <c r="B1087" s="11" t="s">
        <v>5122</v>
      </c>
      <c r="D1087" t="str">
        <f>IFERROR(VLOOKUP(ROWS($D$2:D1087),A1087:B2305,2,0),"")</f>
        <v>Strasbourg - S</v>
      </c>
      <c r="F1087">
        <f>IF(ISNUMBER(SEARCH(Request!$N$19,G1087)),MAX(F$1:$F1086)+1,0)</f>
        <v>1086</v>
      </c>
      <c r="G1087" s="11" t="s">
        <v>5122</v>
      </c>
      <c r="H1087" t="str">
        <f>IFERROR(VLOOKUP(ROWS($H$2:H1087),F1087:G2305,2,0),"")</f>
        <v>Strasbourg - S</v>
      </c>
    </row>
    <row r="1088" spans="1:8" x14ac:dyDescent="0.25">
      <c r="A1088">
        <f>IF(ISNUMBER(SEARCH(Request!$I$19,B1088)),MAX($A$1:A1087)+1,0)</f>
        <v>1087</v>
      </c>
      <c r="B1088" s="11" t="s">
        <v>5123</v>
      </c>
      <c r="D1088" t="str">
        <f>IFERROR(VLOOKUP(ROWS($D$2:D1088),A1088:B2306,2,0),"")</f>
        <v>Stuttgart STR</v>
      </c>
      <c r="F1088">
        <f>IF(ISNUMBER(SEARCH(Request!$N$19,G1088)),MAX(F$1:$F1087)+1,0)</f>
        <v>1087</v>
      </c>
      <c r="G1088" s="11" t="s">
        <v>5123</v>
      </c>
      <c r="H1088" t="str">
        <f>IFERROR(VLOOKUP(ROWS($H$2:H1088),F1088:G2306,2,0),"")</f>
        <v>Stuttgart STR</v>
      </c>
    </row>
    <row r="1089" spans="1:8" x14ac:dyDescent="0.25">
      <c r="A1089">
        <f>IF(ISNUMBER(SEARCH(Request!$I$19,B1089)),MAX($A$1:A1088)+1,0)</f>
        <v>1088</v>
      </c>
      <c r="B1089" s="11" t="s">
        <v>5124</v>
      </c>
      <c r="D1089" t="str">
        <f>IFERROR(VLOOKUP(ROWS($D$2:D1089),A1089:B2307,2,0),"")</f>
        <v>Sundsvall-Härnösand SDL</v>
      </c>
      <c r="F1089">
        <f>IF(ISNUMBER(SEARCH(Request!$N$19,G1089)),MAX(F$1:$F1088)+1,0)</f>
        <v>1088</v>
      </c>
      <c r="G1089" s="11" t="s">
        <v>5124</v>
      </c>
      <c r="H1089" t="str">
        <f>IFERROR(VLOOKUP(ROWS($H$2:H1089),F1089:G2307,2,0),"")</f>
        <v>Sundsvall-Härnösand SDL</v>
      </c>
    </row>
    <row r="1090" spans="1:8" x14ac:dyDescent="0.25">
      <c r="A1090">
        <f>IF(ISNUMBER(SEARCH(Request!$I$19,B1090)),MAX($A$1:A1089)+1,0)</f>
        <v>1089</v>
      </c>
      <c r="B1090" s="11" t="s">
        <v>5125</v>
      </c>
      <c r="D1090" t="str">
        <f>IFERROR(VLOOKUP(ROWS($D$2:D1090),A1090:B2308,2,0),"")</f>
        <v>Surabaya-Juanda Int´l SUB</v>
      </c>
      <c r="F1090">
        <f>IF(ISNUMBER(SEARCH(Request!$N$19,G1090)),MAX(F$1:$F1089)+1,0)</f>
        <v>1089</v>
      </c>
      <c r="G1090" s="11" t="s">
        <v>5125</v>
      </c>
      <c r="H1090" t="str">
        <f>IFERROR(VLOOKUP(ROWS($H$2:H1090),F1090:G2308,2,0),"")</f>
        <v>Surabaya-Juanda Int´l SUB</v>
      </c>
    </row>
    <row r="1091" spans="1:8" x14ac:dyDescent="0.25">
      <c r="A1091">
        <f>IF(ISNUMBER(SEARCH(Request!$I$19,B1091)),MAX($A$1:A1090)+1,0)</f>
        <v>1090</v>
      </c>
      <c r="B1091" s="11" t="s">
        <v>5126</v>
      </c>
      <c r="D1091" t="str">
        <f>IFERROR(VLOOKUP(ROWS($D$2:D1091),A1091:B2309,2,0),"")</f>
        <v>Surakarta – Adi Sumarmo Wiryokusumo SOC</v>
      </c>
      <c r="F1091">
        <f>IF(ISNUMBER(SEARCH(Request!$N$19,G1091)),MAX(F$1:$F1090)+1,0)</f>
        <v>1090</v>
      </c>
      <c r="G1091" s="11" t="s">
        <v>5126</v>
      </c>
      <c r="H1091" t="str">
        <f>IFERROR(VLOOKUP(ROWS($H$2:H1091),F1091:G2309,2,0),"")</f>
        <v>Surakarta – Adi Sumarmo Wiryokusumo SOC</v>
      </c>
    </row>
    <row r="1092" spans="1:8" x14ac:dyDescent="0.25">
      <c r="A1092">
        <f>IF(ISNUMBER(SEARCH(Request!$I$19,B1092)),MAX($A$1:A1091)+1,0)</f>
        <v>1091</v>
      </c>
      <c r="B1092" s="11" t="s">
        <v>5127</v>
      </c>
      <c r="D1092" t="str">
        <f>IFERROR(VLOOKUP(ROWS($D$2:D1092),A1092:B2310,2,0),"")</f>
        <v>Svalbard-Longyear LYR</v>
      </c>
      <c r="F1092">
        <f>IF(ISNUMBER(SEARCH(Request!$N$19,G1092)),MAX(F$1:$F1091)+1,0)</f>
        <v>1091</v>
      </c>
      <c r="G1092" s="11" t="s">
        <v>5127</v>
      </c>
      <c r="H1092" t="str">
        <f>IFERROR(VLOOKUP(ROWS($H$2:H1092),F1092:G2310,2,0),"")</f>
        <v>Svalbard-Longyear LYR</v>
      </c>
    </row>
    <row r="1093" spans="1:8" x14ac:dyDescent="0.25">
      <c r="A1093">
        <f>IF(ISNUMBER(SEARCH(Request!$I$19,B1093)),MAX($A$1:A1092)+1,0)</f>
        <v>1092</v>
      </c>
      <c r="B1093" s="11" t="s">
        <v>5128</v>
      </c>
      <c r="D1093" t="str">
        <f>IFERROR(VLOOKUP(ROWS($D$2:D1093),A1093:B2311,2,0),"")</f>
        <v>Swansea SWS</v>
      </c>
      <c r="F1093">
        <f>IF(ISNUMBER(SEARCH(Request!$N$19,G1093)),MAX(F$1:$F1092)+1,0)</f>
        <v>1092</v>
      </c>
      <c r="G1093" s="11" t="s">
        <v>5128</v>
      </c>
      <c r="H1093" t="str">
        <f>IFERROR(VLOOKUP(ROWS($H$2:H1093),F1093:G2311,2,0),"")</f>
        <v>Swansea SWS</v>
      </c>
    </row>
    <row r="1094" spans="1:8" x14ac:dyDescent="0.25">
      <c r="A1094">
        <f>IF(ISNUMBER(SEARCH(Request!$I$19,B1094)),MAX($A$1:A1093)+1,0)</f>
        <v>1093</v>
      </c>
      <c r="B1094" s="11" t="s">
        <v>5129</v>
      </c>
      <c r="D1094" t="str">
        <f>IFERROR(VLOOKUP(ROWS($D$2:D1094),A1094:B2312,2,0),"")</f>
        <v>Sydney SYD</v>
      </c>
      <c r="F1094">
        <f>IF(ISNUMBER(SEARCH(Request!$N$19,G1094)),MAX(F$1:$F1093)+1,0)</f>
        <v>1093</v>
      </c>
      <c r="G1094" s="11" t="s">
        <v>5129</v>
      </c>
      <c r="H1094" t="str">
        <f>IFERROR(VLOOKUP(ROWS($H$2:H1094),F1094:G2312,2,0),"")</f>
        <v>Sydney SYD</v>
      </c>
    </row>
    <row r="1095" spans="1:8" x14ac:dyDescent="0.25">
      <c r="A1095">
        <f>IF(ISNUMBER(SEARCH(Request!$I$19,B1095)),MAX($A$1:A1094)+1,0)</f>
        <v>1094</v>
      </c>
      <c r="B1095" s="11" t="s">
        <v>5130</v>
      </c>
      <c r="D1095" t="str">
        <f>IFERROR(VLOOKUP(ROWS($D$2:D1095),A1095:B2313,2,0),"")</f>
        <v>Syracuse – Hancock SYR</v>
      </c>
      <c r="F1095">
        <f>IF(ISNUMBER(SEARCH(Request!$N$19,G1095)),MAX(F$1:$F1094)+1,0)</f>
        <v>1094</v>
      </c>
      <c r="G1095" s="11" t="s">
        <v>5130</v>
      </c>
      <c r="H1095" t="str">
        <f>IFERROR(VLOOKUP(ROWS($H$2:H1095),F1095:G2313,2,0),"")</f>
        <v>Syracuse – Hancock SYR</v>
      </c>
    </row>
    <row r="1096" spans="1:8" x14ac:dyDescent="0.25">
      <c r="A1096">
        <f>IF(ISNUMBER(SEARCH(Request!$I$19,B1096)),MAX($A$1:A1095)+1,0)</f>
        <v>1095</v>
      </c>
      <c r="B1096" s="11" t="s">
        <v>5131</v>
      </c>
      <c r="D1096" t="str">
        <f>IFERROR(VLOOKUP(ROWS($D$2:D1096),A1096:B2314,2,0),"")</f>
        <v>Szczecin – Goleniow SZZ</v>
      </c>
      <c r="F1096">
        <f>IF(ISNUMBER(SEARCH(Request!$N$19,G1096)),MAX(F$1:$F1095)+1,0)</f>
        <v>1095</v>
      </c>
      <c r="G1096" s="11" t="s">
        <v>5131</v>
      </c>
      <c r="H1096" t="str">
        <f>IFERROR(VLOOKUP(ROWS($H$2:H1096),F1096:G2314,2,0),"")</f>
        <v>Szczecin – Goleniow SZZ</v>
      </c>
    </row>
    <row r="1097" spans="1:8" x14ac:dyDescent="0.25">
      <c r="A1097">
        <f>IF(ISNUMBER(SEARCH(Request!$I$19,B1097)),MAX($A$1:A1096)+1,0)</f>
        <v>1096</v>
      </c>
      <c r="B1097" s="11" t="s">
        <v>5136</v>
      </c>
      <c r="D1097" t="str">
        <f>IFERROR(VLOOKUP(ROWS($D$2:D1097),A1097:B2315,2,0),"")</f>
        <v>Tabarka-7 Novembre Int´l TBJ</v>
      </c>
      <c r="F1097">
        <f>IF(ISNUMBER(SEARCH(Request!$N$19,G1097)),MAX(F$1:$F1096)+1,0)</f>
        <v>1096</v>
      </c>
      <c r="G1097" s="11" t="s">
        <v>5136</v>
      </c>
      <c r="H1097" t="str">
        <f>IFERROR(VLOOKUP(ROWS($H$2:H1097),F1097:G2315,2,0),"")</f>
        <v>Tabarka-7 Novembre Int´l TBJ</v>
      </c>
    </row>
    <row r="1098" spans="1:8" x14ac:dyDescent="0.25">
      <c r="A1098">
        <f>IF(ISNUMBER(SEARCH(Request!$I$19,B1098)),MAX($A$1:A1097)+1,0)</f>
        <v>1097</v>
      </c>
      <c r="B1098" s="11" t="s">
        <v>5137</v>
      </c>
      <c r="D1098" t="str">
        <f>IFERROR(VLOOKUP(ROWS($D$2:D1098),A1098:B2316,2,0),"")</f>
        <v>Tahiti – Faa´a PPT</v>
      </c>
      <c r="F1098">
        <f>IF(ISNUMBER(SEARCH(Request!$N$19,G1098)),MAX(F$1:$F1097)+1,0)</f>
        <v>1097</v>
      </c>
      <c r="G1098" s="11" t="s">
        <v>5137</v>
      </c>
      <c r="H1098" t="str">
        <f>IFERROR(VLOOKUP(ROWS($H$2:H1098),F1098:G2316,2,0),"")</f>
        <v>Tahiti – Faa´a PPT</v>
      </c>
    </row>
    <row r="1099" spans="1:8" x14ac:dyDescent="0.25">
      <c r="A1099">
        <f>IF(ISNUMBER(SEARCH(Request!$I$19,B1099)),MAX($A$1:A1098)+1,0)</f>
        <v>1098</v>
      </c>
      <c r="B1099" s="11" t="s">
        <v>5138</v>
      </c>
      <c r="D1099" t="str">
        <f>IFERROR(VLOOKUP(ROWS($D$2:D1099),A1099:B2317,2,0),"")</f>
        <v>Taipei-Chiang Kai Shek TPE</v>
      </c>
      <c r="F1099">
        <f>IF(ISNUMBER(SEARCH(Request!$N$19,G1099)),MAX(F$1:$F1098)+1,0)</f>
        <v>1098</v>
      </c>
      <c r="G1099" s="11" t="s">
        <v>5138</v>
      </c>
      <c r="H1099" t="str">
        <f>IFERROR(VLOOKUP(ROWS($H$2:H1099),F1099:G2317,2,0),"")</f>
        <v>Taipei-Chiang Kai Shek TPE</v>
      </c>
    </row>
    <row r="1100" spans="1:8" x14ac:dyDescent="0.25">
      <c r="A1100">
        <f>IF(ISNUMBER(SEARCH(Request!$I$19,B1100)),MAX($A$1:A1099)+1,0)</f>
        <v>1099</v>
      </c>
      <c r="B1100" s="11" t="s">
        <v>5139</v>
      </c>
      <c r="D1100" t="str">
        <f>IFERROR(VLOOKUP(ROWS($D$2:D1100),A1100:B2318,2,0),"")</f>
        <v>Tallinn TLL</v>
      </c>
      <c r="F1100">
        <f>IF(ISNUMBER(SEARCH(Request!$N$19,G1100)),MAX(F$1:$F1099)+1,0)</f>
        <v>1099</v>
      </c>
      <c r="G1100" s="11" t="s">
        <v>5139</v>
      </c>
      <c r="H1100" t="str">
        <f>IFERROR(VLOOKUP(ROWS($H$2:H1100),F1100:G2318,2,0),"")</f>
        <v>Tallinn TLL</v>
      </c>
    </row>
    <row r="1101" spans="1:8" x14ac:dyDescent="0.25">
      <c r="A1101">
        <f>IF(ISNUMBER(SEARCH(Request!$I$19,B1101)),MAX($A$1:A1100)+1,0)</f>
        <v>1100</v>
      </c>
      <c r="B1101" s="11" t="s">
        <v>5140</v>
      </c>
      <c r="D1101" t="str">
        <f>IFERROR(VLOOKUP(ROWS($D$2:D1101),A1101:B2319,2,0),"")</f>
        <v>Tamale ACC</v>
      </c>
      <c r="F1101">
        <f>IF(ISNUMBER(SEARCH(Request!$N$19,G1101)),MAX(F$1:$F1100)+1,0)</f>
        <v>1100</v>
      </c>
      <c r="G1101" s="11" t="s">
        <v>5140</v>
      </c>
      <c r="H1101" t="str">
        <f>IFERROR(VLOOKUP(ROWS($H$2:H1101),F1101:G2319,2,0),"")</f>
        <v>Tamale ACC</v>
      </c>
    </row>
    <row r="1102" spans="1:8" x14ac:dyDescent="0.25">
      <c r="A1102">
        <f>IF(ISNUMBER(SEARCH(Request!$I$19,B1102)),MAX($A$1:A1101)+1,0)</f>
        <v>1101</v>
      </c>
      <c r="B1102" s="11" t="s">
        <v>5141</v>
      </c>
      <c r="D1102" t="str">
        <f>IFERROR(VLOOKUP(ROWS($D$2:D1102),A1102:B2320,2,0),"")</f>
        <v>Tampa Int´l TPA</v>
      </c>
      <c r="F1102">
        <f>IF(ISNUMBER(SEARCH(Request!$N$19,G1102)),MAX(F$1:$F1101)+1,0)</f>
        <v>1101</v>
      </c>
      <c r="G1102" s="11" t="s">
        <v>5141</v>
      </c>
      <c r="H1102" t="str">
        <f>IFERROR(VLOOKUP(ROWS($H$2:H1102),F1102:G2320,2,0),"")</f>
        <v>Tampa Int´l TPA</v>
      </c>
    </row>
    <row r="1103" spans="1:8" x14ac:dyDescent="0.25">
      <c r="A1103">
        <f>IF(ISNUMBER(SEARCH(Request!$I$19,B1103)),MAX($A$1:A1102)+1,0)</f>
        <v>1102</v>
      </c>
      <c r="B1103" s="11" t="s">
        <v>5142</v>
      </c>
      <c r="D1103" t="str">
        <f>IFERROR(VLOOKUP(ROWS($D$2:D1103),A1103:B2321,2,0),"")</f>
        <v>Tampere-Pirkkala TMP</v>
      </c>
      <c r="F1103">
        <f>IF(ISNUMBER(SEARCH(Request!$N$19,G1103)),MAX(F$1:$F1102)+1,0)</f>
        <v>1102</v>
      </c>
      <c r="G1103" s="11" t="s">
        <v>5142</v>
      </c>
      <c r="H1103" t="str">
        <f>IFERROR(VLOOKUP(ROWS($H$2:H1103),F1103:G2321,2,0),"")</f>
        <v>Tampere-Pirkkala TMP</v>
      </c>
    </row>
    <row r="1104" spans="1:8" x14ac:dyDescent="0.25">
      <c r="A1104">
        <f>IF(ISNUMBER(SEARCH(Request!$I$19,B1104)),MAX($A$1:A1103)+1,0)</f>
        <v>1103</v>
      </c>
      <c r="B1104" s="11" t="s">
        <v>5143</v>
      </c>
      <c r="D1104" t="str">
        <f>IFERROR(VLOOKUP(ROWS($D$2:D1104),A1104:B2322,2,0),"")</f>
        <v>Tanga TGT</v>
      </c>
      <c r="F1104">
        <f>IF(ISNUMBER(SEARCH(Request!$N$19,G1104)),MAX(F$1:$F1103)+1,0)</f>
        <v>1103</v>
      </c>
      <c r="G1104" s="11" t="s">
        <v>5143</v>
      </c>
      <c r="H1104" t="str">
        <f>IFERROR(VLOOKUP(ROWS($H$2:H1104),F1104:G2322,2,0),"")</f>
        <v>Tanga TGT</v>
      </c>
    </row>
    <row r="1105" spans="1:8" x14ac:dyDescent="0.25">
      <c r="A1105">
        <f>IF(ISNUMBER(SEARCH(Request!$I$19,B1105)),MAX($A$1:A1104)+1,0)</f>
        <v>1104</v>
      </c>
      <c r="B1105" s="11" t="s">
        <v>5144</v>
      </c>
      <c r="D1105" t="str">
        <f>IFERROR(VLOOKUP(ROWS($D$2:D1105),A1105:B2323,2,0),"")</f>
        <v>Tangier – Boukhalef TNG</v>
      </c>
      <c r="F1105">
        <f>IF(ISNUMBER(SEARCH(Request!$N$19,G1105)),MAX(F$1:$F1104)+1,0)</f>
        <v>1104</v>
      </c>
      <c r="G1105" s="11" t="s">
        <v>5144</v>
      </c>
      <c r="H1105" t="str">
        <f>IFERROR(VLOOKUP(ROWS($H$2:H1105),F1105:G2323,2,0),"")</f>
        <v>Tangier – Boukhalef TNG</v>
      </c>
    </row>
    <row r="1106" spans="1:8" x14ac:dyDescent="0.25">
      <c r="A1106">
        <f>IF(ISNUMBER(SEARCH(Request!$I$19,B1106)),MAX($A$1:A1105)+1,0)</f>
        <v>1105</v>
      </c>
      <c r="B1106" s="11" t="s">
        <v>5145</v>
      </c>
      <c r="D1106" t="str">
        <f>IFERROR(VLOOKUP(ROWS($D$2:D1106),A1106:B2324,2,0),"")</f>
        <v>Tarbes-Lourdes-Pyrennes LDE</v>
      </c>
      <c r="F1106">
        <f>IF(ISNUMBER(SEARCH(Request!$N$19,G1106)),MAX(F$1:$F1105)+1,0)</f>
        <v>1105</v>
      </c>
      <c r="G1106" s="11" t="s">
        <v>5145</v>
      </c>
      <c r="H1106" t="str">
        <f>IFERROR(VLOOKUP(ROWS($H$2:H1106),F1106:G2324,2,0),"")</f>
        <v>Tarbes-Lourdes-Pyrennes LDE</v>
      </c>
    </row>
    <row r="1107" spans="1:8" x14ac:dyDescent="0.25">
      <c r="A1107">
        <f>IF(ISNUMBER(SEARCH(Request!$I$19,B1107)),MAX($A$1:A1106)+1,0)</f>
        <v>1106</v>
      </c>
      <c r="B1107" s="11" t="s">
        <v>5146</v>
      </c>
      <c r="D1107" t="str">
        <f>IFERROR(VLOOKUP(ROWS($D$2:D1107),A1107:B2325,2,0),"")</f>
        <v>Targu Mures TGM</v>
      </c>
      <c r="F1107">
        <f>IF(ISNUMBER(SEARCH(Request!$N$19,G1107)),MAX(F$1:$F1106)+1,0)</f>
        <v>1106</v>
      </c>
      <c r="G1107" s="11" t="s">
        <v>5146</v>
      </c>
      <c r="H1107" t="str">
        <f>IFERROR(VLOOKUP(ROWS($H$2:H1107),F1107:G2325,2,0),"")</f>
        <v>Targu Mures TGM</v>
      </c>
    </row>
    <row r="1108" spans="1:8" x14ac:dyDescent="0.25">
      <c r="A1108">
        <f>IF(ISNUMBER(SEARCH(Request!$I$19,B1108)),MAX($A$1:A1107)+1,0)</f>
        <v>1107</v>
      </c>
      <c r="B1108" s="11" t="s">
        <v>5147</v>
      </c>
      <c r="D1108" t="str">
        <f>IFERROR(VLOOKUP(ROWS($D$2:D1108),A1108:B2326,2,0),"")</f>
        <v>Tartu Raadi Ltd TAY</v>
      </c>
      <c r="F1108">
        <f>IF(ISNUMBER(SEARCH(Request!$N$19,G1108)),MAX(F$1:$F1107)+1,0)</f>
        <v>1107</v>
      </c>
      <c r="G1108" s="11" t="s">
        <v>5147</v>
      </c>
      <c r="H1108" t="str">
        <f>IFERROR(VLOOKUP(ROWS($H$2:H1108),F1108:G2326,2,0),"")</f>
        <v>Tartu Raadi Ltd TAY</v>
      </c>
    </row>
    <row r="1109" spans="1:8" x14ac:dyDescent="0.25">
      <c r="A1109">
        <f>IF(ISNUMBER(SEARCH(Request!$I$19,B1109)),MAX($A$1:A1108)+1,0)</f>
        <v>1108</v>
      </c>
      <c r="B1109" s="11" t="s">
        <v>5148</v>
      </c>
      <c r="D1109" t="str">
        <f>IFERROR(VLOOKUP(ROWS($D$2:D1109),A1109:B2327,2,0),"")</f>
        <v>Tashkent – Yuzhny TAS</v>
      </c>
      <c r="F1109">
        <f>IF(ISNUMBER(SEARCH(Request!$N$19,G1109)),MAX(F$1:$F1108)+1,0)</f>
        <v>1108</v>
      </c>
      <c r="G1109" s="11" t="s">
        <v>5148</v>
      </c>
      <c r="H1109" t="str">
        <f>IFERROR(VLOOKUP(ROWS($H$2:H1109),F1109:G2327,2,0),"")</f>
        <v>Tashkent – Yuzhny TAS</v>
      </c>
    </row>
    <row r="1110" spans="1:8" x14ac:dyDescent="0.25">
      <c r="A1110">
        <f>IF(ISNUMBER(SEARCH(Request!$I$19,B1110)),MAX($A$1:A1109)+1,0)</f>
        <v>1109</v>
      </c>
      <c r="B1110" s="11" t="s">
        <v>5149</v>
      </c>
      <c r="D1110" t="str">
        <f>IFERROR(VLOOKUP(ROWS($D$2:D1110),A1110:B2328,2,0),"")</f>
        <v>Tawau TWU</v>
      </c>
      <c r="F1110">
        <f>IF(ISNUMBER(SEARCH(Request!$N$19,G1110)),MAX(F$1:$F1109)+1,0)</f>
        <v>1109</v>
      </c>
      <c r="G1110" s="11" t="s">
        <v>5149</v>
      </c>
      <c r="H1110" t="str">
        <f>IFERROR(VLOOKUP(ROWS($H$2:H1110),F1110:G2328,2,0),"")</f>
        <v>Tawau TWU</v>
      </c>
    </row>
    <row r="1111" spans="1:8" x14ac:dyDescent="0.25">
      <c r="A1111">
        <f>IF(ISNUMBER(SEARCH(Request!$I$19,B1111)),MAX($A$1:A1110)+1,0)</f>
        <v>1110</v>
      </c>
      <c r="B1111" s="11" t="s">
        <v>5150</v>
      </c>
      <c r="D1111" t="str">
        <f>IFERROR(VLOOKUP(ROWS($D$2:D1111),A1111:B2329,2,0),"")</f>
        <v>Tbilisi TBS</v>
      </c>
      <c r="F1111">
        <f>IF(ISNUMBER(SEARCH(Request!$N$19,G1111)),MAX(F$1:$F1110)+1,0)</f>
        <v>1110</v>
      </c>
      <c r="G1111" s="11" t="s">
        <v>5150</v>
      </c>
      <c r="H1111" t="str">
        <f>IFERROR(VLOOKUP(ROWS($H$2:H1111),F1111:G2329,2,0),"")</f>
        <v>Tbilisi TBS</v>
      </c>
    </row>
    <row r="1112" spans="1:8" x14ac:dyDescent="0.25">
      <c r="A1112">
        <f>IF(ISNUMBER(SEARCH(Request!$I$19,B1112)),MAX($A$1:A1111)+1,0)</f>
        <v>1111</v>
      </c>
      <c r="B1112" s="11" t="s">
        <v>5151</v>
      </c>
      <c r="D1112" t="str">
        <f>IFERROR(VLOOKUP(ROWS($D$2:D1112),A1112:B2330,2,0),"")</f>
        <v>Teesside MME</v>
      </c>
      <c r="F1112">
        <f>IF(ISNUMBER(SEARCH(Request!$N$19,G1112)),MAX(F$1:$F1111)+1,0)</f>
        <v>1111</v>
      </c>
      <c r="G1112" s="11" t="s">
        <v>5151</v>
      </c>
      <c r="H1112" t="str">
        <f>IFERROR(VLOOKUP(ROWS($H$2:H1112),F1112:G2330,2,0),"")</f>
        <v>Teesside MME</v>
      </c>
    </row>
    <row r="1113" spans="1:8" x14ac:dyDescent="0.25">
      <c r="A1113">
        <f>IF(ISNUMBER(SEARCH(Request!$I$19,B1113)),MAX($A$1:A1112)+1,0)</f>
        <v>1112</v>
      </c>
      <c r="B1113" s="11" t="s">
        <v>5152</v>
      </c>
      <c r="D1113" t="str">
        <f>IFERROR(VLOOKUP(ROWS($D$2:D1113),A1113:B2331,2,0),"")</f>
        <v>Tegucigalpa-Toncontin TGU</v>
      </c>
      <c r="F1113">
        <f>IF(ISNUMBER(SEARCH(Request!$N$19,G1113)),MAX(F$1:$F1112)+1,0)</f>
        <v>1112</v>
      </c>
      <c r="G1113" s="11" t="s">
        <v>5152</v>
      </c>
      <c r="H1113" t="str">
        <f>IFERROR(VLOOKUP(ROWS($H$2:H1113),F1113:G2331,2,0),"")</f>
        <v>Tegucigalpa-Toncontin TGU</v>
      </c>
    </row>
    <row r="1114" spans="1:8" x14ac:dyDescent="0.25">
      <c r="A1114">
        <f>IF(ISNUMBER(SEARCH(Request!$I$19,B1114)),MAX($A$1:A1113)+1,0)</f>
        <v>1113</v>
      </c>
      <c r="B1114" s="11" t="s">
        <v>5153</v>
      </c>
      <c r="D1114" t="str">
        <f>IFERROR(VLOOKUP(ROWS($D$2:D1114),A1114:B2332,2,0),"")</f>
        <v>Tehran – Mehrabad THR</v>
      </c>
      <c r="F1114">
        <f>IF(ISNUMBER(SEARCH(Request!$N$19,G1114)),MAX(F$1:$F1113)+1,0)</f>
        <v>1113</v>
      </c>
      <c r="G1114" s="11" t="s">
        <v>5153</v>
      </c>
      <c r="H1114" t="str">
        <f>IFERROR(VLOOKUP(ROWS($H$2:H1114),F1114:G2332,2,0),"")</f>
        <v>Tehran – Mehrabad THR</v>
      </c>
    </row>
    <row r="1115" spans="1:8" x14ac:dyDescent="0.25">
      <c r="A1115">
        <f>IF(ISNUMBER(SEARCH(Request!$I$19,B1115)),MAX($A$1:A1114)+1,0)</f>
        <v>1114</v>
      </c>
      <c r="B1115" s="11" t="s">
        <v>5154</v>
      </c>
      <c r="D1115" t="str">
        <f>IFERROR(VLOOKUP(ROWS($D$2:D1115),A1115:B2333,2,0),"")</f>
        <v>Tehuacán TCN</v>
      </c>
      <c r="F1115">
        <f>IF(ISNUMBER(SEARCH(Request!$N$19,G1115)),MAX(F$1:$F1114)+1,0)</f>
        <v>1114</v>
      </c>
      <c r="G1115" s="11" t="s">
        <v>5154</v>
      </c>
      <c r="H1115" t="str">
        <f>IFERROR(VLOOKUP(ROWS($H$2:H1115),F1115:G2333,2,0),"")</f>
        <v>Tehuacán TCN</v>
      </c>
    </row>
    <row r="1116" spans="1:8" x14ac:dyDescent="0.25">
      <c r="A1116">
        <f>IF(ISNUMBER(SEARCH(Request!$I$19,B1116)),MAX($A$1:A1115)+1,0)</f>
        <v>1115</v>
      </c>
      <c r="B1116" s="11" t="s">
        <v>5155</v>
      </c>
      <c r="D1116" t="str">
        <f>IFERROR(VLOOKUP(ROWS($D$2:D1116),A1116:B2334,2,0),"")</f>
        <v>Tel Aviv-Ben Gurion TLV</v>
      </c>
      <c r="F1116">
        <f>IF(ISNUMBER(SEARCH(Request!$N$19,G1116)),MAX(F$1:$F1115)+1,0)</f>
        <v>1115</v>
      </c>
      <c r="G1116" s="11" t="s">
        <v>5155</v>
      </c>
      <c r="H1116" t="str">
        <f>IFERROR(VLOOKUP(ROWS($H$2:H1116),F1116:G2334,2,0),"")</f>
        <v>Tel Aviv-Ben Gurion TLV</v>
      </c>
    </row>
    <row r="1117" spans="1:8" x14ac:dyDescent="0.25">
      <c r="A1117">
        <f>IF(ISNUMBER(SEARCH(Request!$I$19,B1117)),MAX($A$1:A1116)+1,0)</f>
        <v>1116</v>
      </c>
      <c r="B1117" s="11" t="s">
        <v>5156</v>
      </c>
      <c r="D1117" t="str">
        <f>IFERROR(VLOOKUP(ROWS($D$2:D1117),A1117:B2335,2,0),"")</f>
        <v>Tel Aviv-Dov Hoz SDV</v>
      </c>
      <c r="F1117">
        <f>IF(ISNUMBER(SEARCH(Request!$N$19,G1117)),MAX(F$1:$F1116)+1,0)</f>
        <v>1116</v>
      </c>
      <c r="G1117" s="11" t="s">
        <v>5156</v>
      </c>
      <c r="H1117" t="str">
        <f>IFERROR(VLOOKUP(ROWS($H$2:H1117),F1117:G2335,2,0),"")</f>
        <v>Tel Aviv-Dov Hoz SDV</v>
      </c>
    </row>
    <row r="1118" spans="1:8" x14ac:dyDescent="0.25">
      <c r="A1118">
        <f>IF(ISNUMBER(SEARCH(Request!$I$19,B1118)),MAX($A$1:A1117)+1,0)</f>
        <v>1117</v>
      </c>
      <c r="B1118" s="11" t="s">
        <v>5157</v>
      </c>
      <c r="D1118" t="str">
        <f>IFERROR(VLOOKUP(ROWS($D$2:D1118),A1118:B2336,2,0),"")</f>
        <v>Tenerife North TFN</v>
      </c>
      <c r="F1118">
        <f>IF(ISNUMBER(SEARCH(Request!$N$19,G1118)),MAX(F$1:$F1117)+1,0)</f>
        <v>1117</v>
      </c>
      <c r="G1118" s="11" t="s">
        <v>5157</v>
      </c>
      <c r="H1118" t="str">
        <f>IFERROR(VLOOKUP(ROWS($H$2:H1118),F1118:G2336,2,0),"")</f>
        <v>Tenerife North TFN</v>
      </c>
    </row>
    <row r="1119" spans="1:8" x14ac:dyDescent="0.25">
      <c r="A1119">
        <f>IF(ISNUMBER(SEARCH(Request!$I$19,B1119)),MAX($A$1:A1118)+1,0)</f>
        <v>1118</v>
      </c>
      <c r="B1119" s="11" t="s">
        <v>5158</v>
      </c>
      <c r="D1119" t="str">
        <f>IFERROR(VLOOKUP(ROWS($D$2:D1119),A1119:B2337,2,0),"")</f>
        <v>Tenerife South TFS</v>
      </c>
      <c r="F1119">
        <f>IF(ISNUMBER(SEARCH(Request!$N$19,G1119)),MAX(F$1:$F1118)+1,0)</f>
        <v>1118</v>
      </c>
      <c r="G1119" s="11" t="s">
        <v>5158</v>
      </c>
      <c r="H1119" t="str">
        <f>IFERROR(VLOOKUP(ROWS($H$2:H1119),F1119:G2337,2,0),"")</f>
        <v>Tenerife South TFS</v>
      </c>
    </row>
    <row r="1120" spans="1:8" x14ac:dyDescent="0.25">
      <c r="A1120">
        <f>IF(ISNUMBER(SEARCH(Request!$I$19,B1120)),MAX($A$1:A1119)+1,0)</f>
        <v>1119</v>
      </c>
      <c r="B1120" s="11" t="s">
        <v>5159</v>
      </c>
      <c r="D1120" t="str">
        <f>IFERROR(VLOOKUP(ROWS($D$2:D1120),A1120:B2338,2,0),"")</f>
        <v>Tennant Creek TCA</v>
      </c>
      <c r="F1120">
        <f>IF(ISNUMBER(SEARCH(Request!$N$19,G1120)),MAX(F$1:$F1119)+1,0)</f>
        <v>1119</v>
      </c>
      <c r="G1120" s="11" t="s">
        <v>5159</v>
      </c>
      <c r="H1120" t="str">
        <f>IFERROR(VLOOKUP(ROWS($H$2:H1120),F1120:G2338,2,0),"")</f>
        <v>Tennant Creek TCA</v>
      </c>
    </row>
    <row r="1121" spans="1:8" x14ac:dyDescent="0.25">
      <c r="A1121">
        <f>IF(ISNUMBER(SEARCH(Request!$I$19,B1121)),MAX($A$1:A1120)+1,0)</f>
        <v>1120</v>
      </c>
      <c r="B1121" s="11" t="s">
        <v>5160</v>
      </c>
      <c r="D1121" t="str">
        <f>IFERROR(VLOOKUP(ROWS($D$2:D1121),A1121:B2339,2,0),"")</f>
        <v>Tepic TPQ</v>
      </c>
      <c r="F1121">
        <f>IF(ISNUMBER(SEARCH(Request!$N$19,G1121)),MAX(F$1:$F1120)+1,0)</f>
        <v>1120</v>
      </c>
      <c r="G1121" s="11" t="s">
        <v>5160</v>
      </c>
      <c r="H1121" t="str">
        <f>IFERROR(VLOOKUP(ROWS($H$2:H1121),F1121:G2339,2,0),"")</f>
        <v>Tepic TPQ</v>
      </c>
    </row>
    <row r="1122" spans="1:8" x14ac:dyDescent="0.25">
      <c r="A1122">
        <f>IF(ISNUMBER(SEARCH(Request!$I$19,B1122)),MAX($A$1:A1121)+1,0)</f>
        <v>1121</v>
      </c>
      <c r="B1122" s="11" t="s">
        <v>5161</v>
      </c>
      <c r="D1122" t="str">
        <f>IFERROR(VLOOKUP(ROWS($D$2:D1122),A1122:B2340,2,0),"")</f>
        <v>Thiruvanthapuram Int´l TRV</v>
      </c>
      <c r="F1122">
        <f>IF(ISNUMBER(SEARCH(Request!$N$19,G1122)),MAX(F$1:$F1121)+1,0)</f>
        <v>1121</v>
      </c>
      <c r="G1122" s="11" t="s">
        <v>5161</v>
      </c>
      <c r="H1122" t="str">
        <f>IFERROR(VLOOKUP(ROWS($H$2:H1122),F1122:G2340,2,0),"")</f>
        <v>Thiruvanthapuram Int´l TRV</v>
      </c>
    </row>
    <row r="1123" spans="1:8" x14ac:dyDescent="0.25">
      <c r="A1123">
        <f>IF(ISNUMBER(SEARCH(Request!$I$19,B1123)),MAX($A$1:A1122)+1,0)</f>
        <v>1122</v>
      </c>
      <c r="B1123" s="11" t="s">
        <v>5162</v>
      </c>
      <c r="D1123" t="str">
        <f>IFERROR(VLOOKUP(ROWS($D$2:D1123),A1123:B2341,2,0),"")</f>
        <v>Thisted TED</v>
      </c>
      <c r="F1123">
        <f>IF(ISNUMBER(SEARCH(Request!$N$19,G1123)),MAX(F$1:$F1122)+1,0)</f>
        <v>1122</v>
      </c>
      <c r="G1123" s="11" t="s">
        <v>5162</v>
      </c>
      <c r="H1123" t="str">
        <f>IFERROR(VLOOKUP(ROWS($H$2:H1123),F1123:G2341,2,0),"")</f>
        <v>Thisted TED</v>
      </c>
    </row>
    <row r="1124" spans="1:8" x14ac:dyDescent="0.25">
      <c r="A1124">
        <f>IF(ISNUMBER(SEARCH(Request!$I$19,B1124)),MAX($A$1:A1123)+1,0)</f>
        <v>1123</v>
      </c>
      <c r="B1124" s="11" t="s">
        <v>5163</v>
      </c>
      <c r="D1124" t="str">
        <f>IFERROR(VLOOKUP(ROWS($D$2:D1124),A1124:B2342,2,0),"")</f>
        <v>Thunder Bay YQT</v>
      </c>
      <c r="F1124">
        <f>IF(ISNUMBER(SEARCH(Request!$N$19,G1124)),MAX(F$1:$F1123)+1,0)</f>
        <v>1123</v>
      </c>
      <c r="G1124" s="11" t="s">
        <v>5163</v>
      </c>
      <c r="H1124" t="str">
        <f>IFERROR(VLOOKUP(ROWS($H$2:H1124),F1124:G2342,2,0),"")</f>
        <v>Thunder Bay YQT</v>
      </c>
    </row>
    <row r="1125" spans="1:8" x14ac:dyDescent="0.25">
      <c r="A1125">
        <f>IF(ISNUMBER(SEARCH(Request!$I$19,B1125)),MAX($A$1:A1124)+1,0)</f>
        <v>1124</v>
      </c>
      <c r="B1125" s="11" t="s">
        <v>5164</v>
      </c>
      <c r="D1125" t="str">
        <f>IFERROR(VLOOKUP(ROWS($D$2:D1125),A1125:B2343,2,0),"")</f>
        <v>Tianjin – Binhai TSN</v>
      </c>
      <c r="F1125">
        <f>IF(ISNUMBER(SEARCH(Request!$N$19,G1125)),MAX(F$1:$F1124)+1,0)</f>
        <v>1124</v>
      </c>
      <c r="G1125" s="11" t="s">
        <v>5164</v>
      </c>
      <c r="H1125" t="str">
        <f>IFERROR(VLOOKUP(ROWS($H$2:H1125),F1125:G2343,2,0),"")</f>
        <v>Tianjin – Binhai TSN</v>
      </c>
    </row>
    <row r="1126" spans="1:8" x14ac:dyDescent="0.25">
      <c r="A1126">
        <f>IF(ISNUMBER(SEARCH(Request!$I$19,B1126)),MAX($A$1:A1125)+1,0)</f>
        <v>1125</v>
      </c>
      <c r="B1126" s="11" t="s">
        <v>5165</v>
      </c>
      <c r="D1126" t="str">
        <f>IFERROR(VLOOKUP(ROWS($D$2:D1126),A1126:B2344,2,0),"")</f>
        <v>Tirana – Rinas Mother Teresa TIA</v>
      </c>
      <c r="F1126">
        <f>IF(ISNUMBER(SEARCH(Request!$N$19,G1126)),MAX(F$1:$F1125)+1,0)</f>
        <v>1125</v>
      </c>
      <c r="G1126" s="11" t="s">
        <v>5165</v>
      </c>
      <c r="H1126" t="str">
        <f>IFERROR(VLOOKUP(ROWS($H$2:H1126),F1126:G2344,2,0),"")</f>
        <v>Tirana – Rinas Mother Teresa TIA</v>
      </c>
    </row>
    <row r="1127" spans="1:8" x14ac:dyDescent="0.25">
      <c r="A1127">
        <f>IF(ISNUMBER(SEARCH(Request!$I$19,B1127)),MAX($A$1:A1126)+1,0)</f>
        <v>1126</v>
      </c>
      <c r="B1127" s="11" t="s">
        <v>5166</v>
      </c>
      <c r="D1127" t="str">
        <f>IFERROR(VLOOKUP(ROWS($D$2:D1127),A1127:B2345,2,0),"")</f>
        <v>Tiree TRE</v>
      </c>
      <c r="F1127">
        <f>IF(ISNUMBER(SEARCH(Request!$N$19,G1127)),MAX(F$1:$F1126)+1,0)</f>
        <v>1126</v>
      </c>
      <c r="G1127" s="11" t="s">
        <v>5166</v>
      </c>
      <c r="H1127" t="str">
        <f>IFERROR(VLOOKUP(ROWS($H$2:H1127),F1127:G2345,2,0),"")</f>
        <v>Tiree TRE</v>
      </c>
    </row>
    <row r="1128" spans="1:8" x14ac:dyDescent="0.25">
      <c r="A1128">
        <f>IF(ISNUMBER(SEARCH(Request!$I$19,B1128)),MAX($A$1:A1127)+1,0)</f>
        <v>1127</v>
      </c>
      <c r="B1128" s="11" t="s">
        <v>5167</v>
      </c>
      <c r="D1128" t="str">
        <f>IFERROR(VLOOKUP(ROWS($D$2:D1128),A1128:B2346,2,0),"")</f>
        <v>Tiruchirapalli TRZ</v>
      </c>
      <c r="F1128">
        <f>IF(ISNUMBER(SEARCH(Request!$N$19,G1128)),MAX(F$1:$F1127)+1,0)</f>
        <v>1127</v>
      </c>
      <c r="G1128" s="11" t="s">
        <v>5167</v>
      </c>
      <c r="H1128" t="str">
        <f>IFERROR(VLOOKUP(ROWS($H$2:H1128),F1128:G2346,2,0),"")</f>
        <v>Tiruchirapalli TRZ</v>
      </c>
    </row>
    <row r="1129" spans="1:8" x14ac:dyDescent="0.25">
      <c r="A1129">
        <f>IF(ISNUMBER(SEARCH(Request!$I$19,B1129)),MAX($A$1:A1128)+1,0)</f>
        <v>1128</v>
      </c>
      <c r="B1129" s="11" t="s">
        <v>5168</v>
      </c>
      <c r="D1129" t="str">
        <f>IFERROR(VLOOKUP(ROWS($D$2:D1129),A1129:B2347,2,0),"")</f>
        <v>Tokyo – Haneda Int´l HNT</v>
      </c>
      <c r="F1129">
        <f>IF(ISNUMBER(SEARCH(Request!$N$19,G1129)),MAX(F$1:$F1128)+1,0)</f>
        <v>1128</v>
      </c>
      <c r="G1129" s="11" t="s">
        <v>5168</v>
      </c>
      <c r="H1129" t="str">
        <f>IFERROR(VLOOKUP(ROWS($H$2:H1129),F1129:G2347,2,0),"")</f>
        <v>Tokyo – Haneda Int´l HNT</v>
      </c>
    </row>
    <row r="1130" spans="1:8" x14ac:dyDescent="0.25">
      <c r="A1130">
        <f>IF(ISNUMBER(SEARCH(Request!$I$19,B1130)),MAX($A$1:A1129)+1,0)</f>
        <v>1129</v>
      </c>
      <c r="B1130" s="11" t="s">
        <v>5169</v>
      </c>
      <c r="D1130" t="str">
        <f>IFERROR(VLOOKUP(ROWS($D$2:D1130),A1130:B2348,2,0),"")</f>
        <v>Tokyo-Narita Int´l NRT</v>
      </c>
      <c r="F1130">
        <f>IF(ISNUMBER(SEARCH(Request!$N$19,G1130)),MAX(F$1:$F1129)+1,0)</f>
        <v>1129</v>
      </c>
      <c r="G1130" s="11" t="s">
        <v>5169</v>
      </c>
      <c r="H1130" t="str">
        <f>IFERROR(VLOOKUP(ROWS($H$2:H1130),F1130:G2348,2,0),"")</f>
        <v>Tokyo-Narita Int´l NRT</v>
      </c>
    </row>
    <row r="1131" spans="1:8" x14ac:dyDescent="0.25">
      <c r="A1131">
        <f>IF(ISNUMBER(SEARCH(Request!$I$19,B1131)),MAX($A$1:A1130)+1,0)</f>
        <v>1130</v>
      </c>
      <c r="B1131" s="11" t="s">
        <v>5170</v>
      </c>
      <c r="D1131" t="str">
        <f>IFERROR(VLOOKUP(ROWS($D$2:D1131),A1131:B2349,2,0),"")</f>
        <v>Toledo Express TOL</v>
      </c>
      <c r="F1131">
        <f>IF(ISNUMBER(SEARCH(Request!$N$19,G1131)),MAX(F$1:$F1130)+1,0)</f>
        <v>1130</v>
      </c>
      <c r="G1131" s="11" t="s">
        <v>5170</v>
      </c>
      <c r="H1131" t="str">
        <f>IFERROR(VLOOKUP(ROWS($H$2:H1131),F1131:G2349,2,0),"")</f>
        <v>Toledo Express TOL</v>
      </c>
    </row>
    <row r="1132" spans="1:8" x14ac:dyDescent="0.25">
      <c r="A1132">
        <f>IF(ISNUMBER(SEARCH(Request!$I$19,B1132)),MAX($A$1:A1131)+1,0)</f>
        <v>1131</v>
      </c>
      <c r="B1132" s="11" t="s">
        <v>5171</v>
      </c>
      <c r="D1132" t="str">
        <f>IFERROR(VLOOKUP(ROWS($D$2:D1132),A1132:B2350,2,0),"")</f>
        <v>Toluca – Licenciado Adolfo Lopez Mateos Int´l TLC</v>
      </c>
      <c r="F1132">
        <f>IF(ISNUMBER(SEARCH(Request!$N$19,G1132)),MAX(F$1:$F1131)+1,0)</f>
        <v>1131</v>
      </c>
      <c r="G1132" s="11" t="s">
        <v>5171</v>
      </c>
      <c r="H1132" t="str">
        <f>IFERROR(VLOOKUP(ROWS($H$2:H1132),F1132:G2350,2,0),"")</f>
        <v>Toluca – Licenciado Adolfo Lopez Mateos Int´l TLC</v>
      </c>
    </row>
    <row r="1133" spans="1:8" x14ac:dyDescent="0.25">
      <c r="A1133">
        <f>IF(ISNUMBER(SEARCH(Request!$I$19,B1133)),MAX($A$1:A1132)+1,0)</f>
        <v>1132</v>
      </c>
      <c r="B1133" s="11" t="s">
        <v>5172</v>
      </c>
      <c r="D1133" t="str">
        <f>IFERROR(VLOOKUP(ROWS($D$2:D1133),A1133:B2351,2,0),"")</f>
        <v>Toronto YYZ</v>
      </c>
      <c r="F1133">
        <f>IF(ISNUMBER(SEARCH(Request!$N$19,G1133)),MAX(F$1:$F1132)+1,0)</f>
        <v>1132</v>
      </c>
      <c r="G1133" s="11" t="s">
        <v>5172</v>
      </c>
      <c r="H1133" t="str">
        <f>IFERROR(VLOOKUP(ROWS($H$2:H1133),F1133:G2351,2,0),"")</f>
        <v>Toronto YYZ</v>
      </c>
    </row>
    <row r="1134" spans="1:8" x14ac:dyDescent="0.25">
      <c r="A1134">
        <f>IF(ISNUMBER(SEARCH(Request!$I$19,B1134)),MAX($A$1:A1133)+1,0)</f>
        <v>1133</v>
      </c>
      <c r="B1134" s="11" t="s">
        <v>5173</v>
      </c>
      <c r="D1134" t="str">
        <f>IFERROR(VLOOKUP(ROWS($D$2:D1134),A1134:B2352,2,0),"")</f>
        <v>Toulon/Hyeres TLN</v>
      </c>
      <c r="F1134">
        <f>IF(ISNUMBER(SEARCH(Request!$N$19,G1134)),MAX(F$1:$F1133)+1,0)</f>
        <v>1133</v>
      </c>
      <c r="G1134" s="11" t="s">
        <v>5173</v>
      </c>
      <c r="H1134" t="str">
        <f>IFERROR(VLOOKUP(ROWS($H$2:H1134),F1134:G2352,2,0),"")</f>
        <v>Toulon/Hyeres TLN</v>
      </c>
    </row>
    <row r="1135" spans="1:8" x14ac:dyDescent="0.25">
      <c r="A1135">
        <f>IF(ISNUMBER(SEARCH(Request!$I$19,B1135)),MAX($A$1:A1134)+1,0)</f>
        <v>1134</v>
      </c>
      <c r="B1135" s="11" t="s">
        <v>5174</v>
      </c>
      <c r="D1135" t="str">
        <f>IFERROR(VLOOKUP(ROWS($D$2:D1135),A1135:B2353,2,0),"")</f>
        <v>Toulouse-Blagnac TLS</v>
      </c>
      <c r="F1135">
        <f>IF(ISNUMBER(SEARCH(Request!$N$19,G1135)),MAX(F$1:$F1134)+1,0)</f>
        <v>1134</v>
      </c>
      <c r="G1135" s="11" t="s">
        <v>5174</v>
      </c>
      <c r="H1135" t="str">
        <f>IFERROR(VLOOKUP(ROWS($H$2:H1135),F1135:G2353,2,0),"")</f>
        <v>Toulouse-Blagnac TLS</v>
      </c>
    </row>
    <row r="1136" spans="1:8" x14ac:dyDescent="0.25">
      <c r="A1136">
        <f>IF(ISNUMBER(SEARCH(Request!$I$19,B1136)),MAX($A$1:A1135)+1,0)</f>
        <v>1135</v>
      </c>
      <c r="B1136" s="11" t="s">
        <v>5175</v>
      </c>
      <c r="D1136" t="str">
        <f>IFERROR(VLOOKUP(ROWS($D$2:D1136),A1136:B2354,2,0),"")</f>
        <v>Townsville Int´l TSV</v>
      </c>
      <c r="F1136">
        <f>IF(ISNUMBER(SEARCH(Request!$N$19,G1136)),MAX(F$1:$F1135)+1,0)</f>
        <v>1135</v>
      </c>
      <c r="G1136" s="11" t="s">
        <v>5175</v>
      </c>
      <c r="H1136" t="str">
        <f>IFERROR(VLOOKUP(ROWS($H$2:H1136),F1136:G2354,2,0),"")</f>
        <v>Townsville Int´l TSV</v>
      </c>
    </row>
    <row r="1137" spans="1:8" x14ac:dyDescent="0.25">
      <c r="A1137">
        <f>IF(ISNUMBER(SEARCH(Request!$I$19,B1137)),MAX($A$1:A1136)+1,0)</f>
        <v>1136</v>
      </c>
      <c r="B1137" s="11" t="s">
        <v>5176</v>
      </c>
      <c r="D1137" t="str">
        <f>IFERROR(VLOOKUP(ROWS($D$2:D1137),A1137:B2355,2,0),"")</f>
        <v>Toyama TOY</v>
      </c>
      <c r="F1137">
        <f>IF(ISNUMBER(SEARCH(Request!$N$19,G1137)),MAX(F$1:$F1136)+1,0)</f>
        <v>1136</v>
      </c>
      <c r="G1137" s="11" t="s">
        <v>5176</v>
      </c>
      <c r="H1137" t="str">
        <f>IFERROR(VLOOKUP(ROWS($H$2:H1137),F1137:G2355,2,0),"")</f>
        <v>Toyama TOY</v>
      </c>
    </row>
    <row r="1138" spans="1:8" x14ac:dyDescent="0.25">
      <c r="A1138">
        <f>IF(ISNUMBER(SEARCH(Request!$I$19,B1138)),MAX($A$1:A1137)+1,0)</f>
        <v>1137</v>
      </c>
      <c r="B1138" s="11" t="s">
        <v>5177</v>
      </c>
      <c r="D1138" t="str">
        <f>IFERROR(VLOOKUP(ROWS($D$2:D1138),A1138:B2356,2,0),"")</f>
        <v>Tozeur – Nefta TOE</v>
      </c>
      <c r="F1138">
        <f>IF(ISNUMBER(SEARCH(Request!$N$19,G1138)),MAX(F$1:$F1137)+1,0)</f>
        <v>1137</v>
      </c>
      <c r="G1138" s="11" t="s">
        <v>5177</v>
      </c>
      <c r="H1138" t="str">
        <f>IFERROR(VLOOKUP(ROWS($H$2:H1138),F1138:G2356,2,0),"")</f>
        <v>Tozeur – Nefta TOE</v>
      </c>
    </row>
    <row r="1139" spans="1:8" x14ac:dyDescent="0.25">
      <c r="A1139">
        <f>IF(ISNUMBER(SEARCH(Request!$I$19,B1139)),MAX($A$1:A1138)+1,0)</f>
        <v>1138</v>
      </c>
      <c r="B1139" s="11" t="s">
        <v>5178</v>
      </c>
      <c r="D1139" t="str">
        <f>IFERROR(VLOOKUP(ROWS($D$2:D1139),A1139:B2357,2,0),"")</f>
        <v>Trenton – Mercer County TTN</v>
      </c>
      <c r="F1139">
        <f>IF(ISNUMBER(SEARCH(Request!$N$19,G1139)),MAX(F$1:$F1138)+1,0)</f>
        <v>1138</v>
      </c>
      <c r="G1139" s="11" t="s">
        <v>5178</v>
      </c>
      <c r="H1139" t="str">
        <f>IFERROR(VLOOKUP(ROWS($H$2:H1139),F1139:G2357,2,0),"")</f>
        <v>Trenton – Mercer County TTN</v>
      </c>
    </row>
    <row r="1140" spans="1:8" x14ac:dyDescent="0.25">
      <c r="A1140">
        <f>IF(ISNUMBER(SEARCH(Request!$I$19,B1140)),MAX($A$1:A1139)+1,0)</f>
        <v>1139</v>
      </c>
      <c r="B1140" s="11" t="s">
        <v>5179</v>
      </c>
      <c r="D1140" t="str">
        <f>IFERROR(VLOOKUP(ROWS($D$2:D1140),A1140:B2358,2,0),"")</f>
        <v>Treviso-San Angelo TSF</v>
      </c>
      <c r="F1140">
        <f>IF(ISNUMBER(SEARCH(Request!$N$19,G1140)),MAX(F$1:$F1139)+1,0)</f>
        <v>1139</v>
      </c>
      <c r="G1140" s="11" t="s">
        <v>5179</v>
      </c>
      <c r="H1140" t="str">
        <f>IFERROR(VLOOKUP(ROWS($H$2:H1140),F1140:G2358,2,0),"")</f>
        <v>Treviso-San Angelo TSF</v>
      </c>
    </row>
    <row r="1141" spans="1:8" x14ac:dyDescent="0.25">
      <c r="A1141">
        <f>IF(ISNUMBER(SEARCH(Request!$I$19,B1141)),MAX($A$1:A1140)+1,0)</f>
        <v>1140</v>
      </c>
      <c r="B1141" s="11" t="s">
        <v>5180</v>
      </c>
      <c r="D1141" t="str">
        <f>IFERROR(VLOOKUP(ROWS($D$2:D1141),A1141:B2359,2,0),"")</f>
        <v>Tri-Cities Regional TRI</v>
      </c>
      <c r="F1141">
        <f>IF(ISNUMBER(SEARCH(Request!$N$19,G1141)),MAX(F$1:$F1140)+1,0)</f>
        <v>1140</v>
      </c>
      <c r="G1141" s="11" t="s">
        <v>5180</v>
      </c>
      <c r="H1141" t="str">
        <f>IFERROR(VLOOKUP(ROWS($H$2:H1141),F1141:G2359,2,0),"")</f>
        <v>Tri-Cities Regional TRI</v>
      </c>
    </row>
    <row r="1142" spans="1:8" x14ac:dyDescent="0.25">
      <c r="A1142">
        <f>IF(ISNUMBER(SEARCH(Request!$I$19,B1142)),MAX($A$1:A1141)+1,0)</f>
        <v>1141</v>
      </c>
      <c r="B1142" s="11" t="s">
        <v>5181</v>
      </c>
      <c r="D1142" t="str">
        <f>IFERROR(VLOOKUP(ROWS($D$2:D1142),A1142:B2360,2,0),"")</f>
        <v>Trieste – R Dei Legionari TRS</v>
      </c>
      <c r="F1142">
        <f>IF(ISNUMBER(SEARCH(Request!$N$19,G1142)),MAX(F$1:$F1141)+1,0)</f>
        <v>1141</v>
      </c>
      <c r="G1142" s="11" t="s">
        <v>5181</v>
      </c>
      <c r="H1142" t="str">
        <f>IFERROR(VLOOKUP(ROWS($H$2:H1142),F1142:G2360,2,0),"")</f>
        <v>Trieste – R Dei Legionari TRS</v>
      </c>
    </row>
    <row r="1143" spans="1:8" x14ac:dyDescent="0.25">
      <c r="A1143">
        <f>IF(ISNUMBER(SEARCH(Request!$I$19,B1143)),MAX($A$1:A1142)+1,0)</f>
        <v>1142</v>
      </c>
      <c r="B1143" s="11" t="s">
        <v>5182</v>
      </c>
      <c r="D1143" t="str">
        <f>IFERROR(VLOOKUP(ROWS($D$2:D1143),A1143:B2361,2,0),"")</f>
        <v>Tripoli TIP</v>
      </c>
      <c r="F1143">
        <f>IF(ISNUMBER(SEARCH(Request!$N$19,G1143)),MAX(F$1:$F1142)+1,0)</f>
        <v>1142</v>
      </c>
      <c r="G1143" s="11" t="s">
        <v>5182</v>
      </c>
      <c r="H1143" t="str">
        <f>IFERROR(VLOOKUP(ROWS($H$2:H1143),F1143:G2361,2,0),"")</f>
        <v>Tripoli TIP</v>
      </c>
    </row>
    <row r="1144" spans="1:8" x14ac:dyDescent="0.25">
      <c r="A1144">
        <f>IF(ISNUMBER(SEARCH(Request!$I$19,B1144)),MAX($A$1:A1143)+1,0)</f>
        <v>1143</v>
      </c>
      <c r="B1144" s="11" t="s">
        <v>5183</v>
      </c>
      <c r="D1144" t="str">
        <f>IFERROR(VLOOKUP(ROWS($D$2:D1144),A1144:B2362,2,0),"")</f>
        <v>Tromsø TOS</v>
      </c>
      <c r="F1144">
        <f>IF(ISNUMBER(SEARCH(Request!$N$19,G1144)),MAX(F$1:$F1143)+1,0)</f>
        <v>1143</v>
      </c>
      <c r="G1144" s="11" t="s">
        <v>5183</v>
      </c>
      <c r="H1144" t="str">
        <f>IFERROR(VLOOKUP(ROWS($H$2:H1144),F1144:G2362,2,0),"")</f>
        <v>Tromsø TOS</v>
      </c>
    </row>
    <row r="1145" spans="1:8" x14ac:dyDescent="0.25">
      <c r="A1145">
        <f>IF(ISNUMBER(SEARCH(Request!$I$19,B1145)),MAX($A$1:A1144)+1,0)</f>
        <v>1144</v>
      </c>
      <c r="B1145" s="11" t="s">
        <v>5184</v>
      </c>
      <c r="D1145" t="str">
        <f>IFERROR(VLOOKUP(ROWS($D$2:D1145),A1145:B2363,2,0),"")</f>
        <v>Trondheim/Vaernes TRD</v>
      </c>
      <c r="F1145">
        <f>IF(ISNUMBER(SEARCH(Request!$N$19,G1145)),MAX(F$1:$F1144)+1,0)</f>
        <v>1144</v>
      </c>
      <c r="G1145" s="11" t="s">
        <v>5184</v>
      </c>
      <c r="H1145" t="str">
        <f>IFERROR(VLOOKUP(ROWS($H$2:H1145),F1145:G2363,2,0),"")</f>
        <v>Trondheim/Vaernes TRD</v>
      </c>
    </row>
    <row r="1146" spans="1:8" x14ac:dyDescent="0.25">
      <c r="A1146">
        <f>IF(ISNUMBER(SEARCH(Request!$I$19,B1146)),MAX($A$1:A1145)+1,0)</f>
        <v>1145</v>
      </c>
      <c r="B1146" s="11" t="s">
        <v>5185</v>
      </c>
      <c r="D1146" t="str">
        <f>IFERROR(VLOOKUP(ROWS($D$2:D1146),A1146:B2364,2,0),"")</f>
        <v>Tucson TUS</v>
      </c>
      <c r="F1146">
        <f>IF(ISNUMBER(SEARCH(Request!$N$19,G1146)),MAX(F$1:$F1145)+1,0)</f>
        <v>1145</v>
      </c>
      <c r="G1146" s="11" t="s">
        <v>5185</v>
      </c>
      <c r="H1146" t="str">
        <f>IFERROR(VLOOKUP(ROWS($H$2:H1146),F1146:G2364,2,0),"")</f>
        <v>Tucson TUS</v>
      </c>
    </row>
    <row r="1147" spans="1:8" x14ac:dyDescent="0.25">
      <c r="A1147">
        <f>IF(ISNUMBER(SEARCH(Request!$I$19,B1147)),MAX($A$1:A1146)+1,0)</f>
        <v>1146</v>
      </c>
      <c r="B1147" s="11" t="s">
        <v>5186</v>
      </c>
      <c r="D1147" t="str">
        <f>IFERROR(VLOOKUP(ROWS($D$2:D1147),A1147:B2365,2,0),"")</f>
        <v>Tulcea TCE</v>
      </c>
      <c r="F1147">
        <f>IF(ISNUMBER(SEARCH(Request!$N$19,G1147)),MAX(F$1:$F1146)+1,0)</f>
        <v>1146</v>
      </c>
      <c r="G1147" s="11" t="s">
        <v>5186</v>
      </c>
      <c r="H1147" t="str">
        <f>IFERROR(VLOOKUP(ROWS($H$2:H1147),F1147:G2365,2,0),"")</f>
        <v>Tulcea TCE</v>
      </c>
    </row>
    <row r="1148" spans="1:8" x14ac:dyDescent="0.25">
      <c r="A1148">
        <f>IF(ISNUMBER(SEARCH(Request!$I$19,B1148)),MAX($A$1:A1147)+1,0)</f>
        <v>1147</v>
      </c>
      <c r="B1148" s="11" t="s">
        <v>5187</v>
      </c>
      <c r="D1148" t="str">
        <f>IFERROR(VLOOKUP(ROWS($D$2:D1148),A1148:B2366,2,0),"")</f>
        <v>Tulsa TUL</v>
      </c>
      <c r="F1148">
        <f>IF(ISNUMBER(SEARCH(Request!$N$19,G1148)),MAX(F$1:$F1147)+1,0)</f>
        <v>1147</v>
      </c>
      <c r="G1148" s="11" t="s">
        <v>5187</v>
      </c>
      <c r="H1148" t="str">
        <f>IFERROR(VLOOKUP(ROWS($H$2:H1148),F1148:G2366,2,0),"")</f>
        <v>Tulsa TUL</v>
      </c>
    </row>
    <row r="1149" spans="1:8" x14ac:dyDescent="0.25">
      <c r="A1149">
        <f>IF(ISNUMBER(SEARCH(Request!$I$19,B1149)),MAX($A$1:A1148)+1,0)</f>
        <v>1148</v>
      </c>
      <c r="B1149" s="11" t="s">
        <v>5188</v>
      </c>
      <c r="D1149" t="str">
        <f>IFERROR(VLOOKUP(ROWS($D$2:D1149),A1149:B2367,2,0),"")</f>
        <v>Tunis – Carthage TUN</v>
      </c>
      <c r="F1149">
        <f>IF(ISNUMBER(SEARCH(Request!$N$19,G1149)),MAX(F$1:$F1148)+1,0)</f>
        <v>1148</v>
      </c>
      <c r="G1149" s="11" t="s">
        <v>5188</v>
      </c>
      <c r="H1149" t="str">
        <f>IFERROR(VLOOKUP(ROWS($H$2:H1149),F1149:G2367,2,0),"")</f>
        <v>Tunis – Carthage TUN</v>
      </c>
    </row>
    <row r="1150" spans="1:8" x14ac:dyDescent="0.25">
      <c r="A1150">
        <f>IF(ISNUMBER(SEARCH(Request!$I$19,B1150)),MAX($A$1:A1149)+1,0)</f>
        <v>1149</v>
      </c>
      <c r="B1150" s="11" t="s">
        <v>5189</v>
      </c>
      <c r="D1150" t="str">
        <f>IFERROR(VLOOKUP(ROWS($D$2:D1150),A1150:B2368,2,0),"")</f>
        <v>Tupelo Municipal TUP</v>
      </c>
      <c r="F1150">
        <f>IF(ISNUMBER(SEARCH(Request!$N$19,G1150)),MAX(F$1:$F1149)+1,0)</f>
        <v>1149</v>
      </c>
      <c r="G1150" s="11" t="s">
        <v>5189</v>
      </c>
      <c r="H1150" t="str">
        <f>IFERROR(VLOOKUP(ROWS($H$2:H1150),F1150:G2368,2,0),"")</f>
        <v>Tupelo Municipal TUP</v>
      </c>
    </row>
    <row r="1151" spans="1:8" x14ac:dyDescent="0.25">
      <c r="A1151">
        <f>IF(ISNUMBER(SEARCH(Request!$I$19,B1151)),MAX($A$1:A1150)+1,0)</f>
        <v>1150</v>
      </c>
      <c r="B1151" s="11" t="s">
        <v>5190</v>
      </c>
      <c r="D1151" t="str">
        <f>IFERROR(VLOOKUP(ROWS($D$2:D1151),A1151:B2369,2,0),"")</f>
        <v>Turin TRN</v>
      </c>
      <c r="F1151">
        <f>IF(ISNUMBER(SEARCH(Request!$N$19,G1151)),MAX(F$1:$F1150)+1,0)</f>
        <v>1150</v>
      </c>
      <c r="G1151" s="11" t="s">
        <v>5190</v>
      </c>
      <c r="H1151" t="str">
        <f>IFERROR(VLOOKUP(ROWS($H$2:H1151),F1151:G2369,2,0),"")</f>
        <v>Turin TRN</v>
      </c>
    </row>
    <row r="1152" spans="1:8" x14ac:dyDescent="0.25">
      <c r="A1152">
        <f>IF(ISNUMBER(SEARCH(Request!$I$19,B1152)),MAX($A$1:A1151)+1,0)</f>
        <v>1151</v>
      </c>
      <c r="B1152" s="11" t="s">
        <v>5191</v>
      </c>
      <c r="D1152" t="str">
        <f>IFERROR(VLOOKUP(ROWS($D$2:D1152),A1152:B2370,2,0),"")</f>
        <v>Turku TRK</v>
      </c>
      <c r="F1152">
        <f>IF(ISNUMBER(SEARCH(Request!$N$19,G1152)),MAX(F$1:$F1151)+1,0)</f>
        <v>1151</v>
      </c>
      <c r="G1152" s="11" t="s">
        <v>5191</v>
      </c>
      <c r="H1152" t="str">
        <f>IFERROR(VLOOKUP(ROWS($H$2:H1152),F1152:G2370,2,0),"")</f>
        <v>Turku TRK</v>
      </c>
    </row>
    <row r="1153" spans="1:8" x14ac:dyDescent="0.25">
      <c r="A1153">
        <f>IF(ISNUMBER(SEARCH(Request!$I$19,B1153)),MAX($A$1:A1152)+1,0)</f>
        <v>1152</v>
      </c>
      <c r="B1153" s="11" t="s">
        <v>5192</v>
      </c>
      <c r="D1153" t="str">
        <f>IFERROR(VLOOKUP(ROWS($D$2:D1153),A1153:B2371,2,0),"")</f>
        <v>Tuxtla Gutiérrez – Francisco Sarabia TGZ</v>
      </c>
      <c r="F1153">
        <f>IF(ISNUMBER(SEARCH(Request!$N$19,G1153)),MAX(F$1:$F1152)+1,0)</f>
        <v>1152</v>
      </c>
      <c r="G1153" s="11" t="s">
        <v>5192</v>
      </c>
      <c r="H1153" t="str">
        <f>IFERROR(VLOOKUP(ROWS($H$2:H1153),F1153:G2371,2,0),"")</f>
        <v>Tuxtla Gutiérrez – Francisco Sarabia TGZ</v>
      </c>
    </row>
    <row r="1154" spans="1:8" x14ac:dyDescent="0.25">
      <c r="A1154">
        <f>IF(ISNUMBER(SEARCH(Request!$I$19,B1154)),MAX($A$1:A1153)+1,0)</f>
        <v>1153</v>
      </c>
      <c r="B1154" s="11" t="s">
        <v>5193</v>
      </c>
      <c r="D1154" t="str">
        <f>IFERROR(VLOOKUP(ROWS($D$2:D1154),A1154:B2372,2,0),"")</f>
        <v>Tyler Pounds Regional TYR</v>
      </c>
      <c r="F1154">
        <f>IF(ISNUMBER(SEARCH(Request!$N$19,G1154)),MAX(F$1:$F1153)+1,0)</f>
        <v>1153</v>
      </c>
      <c r="G1154" s="11" t="s">
        <v>5193</v>
      </c>
      <c r="H1154" t="str">
        <f>IFERROR(VLOOKUP(ROWS($H$2:H1154),F1154:G2372,2,0),"")</f>
        <v>Tyler Pounds Regional TYR</v>
      </c>
    </row>
    <row r="1155" spans="1:8" x14ac:dyDescent="0.25">
      <c r="A1155">
        <f>IF(ISNUMBER(SEARCH(Request!$I$19,B1155)),MAX($A$1:A1154)+1,0)</f>
        <v>1154</v>
      </c>
      <c r="B1155" s="11" t="s">
        <v>5194</v>
      </c>
      <c r="D1155" t="str">
        <f>IFERROR(VLOOKUP(ROWS($D$2:D1155),A1155:B2373,2,0),"")</f>
        <v>Tyumen – Roshchino TJM</v>
      </c>
      <c r="F1155">
        <f>IF(ISNUMBER(SEARCH(Request!$N$19,G1155)),MAX(F$1:$F1154)+1,0)</f>
        <v>1154</v>
      </c>
      <c r="G1155" s="11" t="s">
        <v>5194</v>
      </c>
      <c r="H1155" t="str">
        <f>IFERROR(VLOOKUP(ROWS($H$2:H1155),F1155:G2373,2,0),"")</f>
        <v>Tyumen – Roshchino TJM</v>
      </c>
    </row>
    <row r="1156" spans="1:8" x14ac:dyDescent="0.25">
      <c r="A1156">
        <f>IF(ISNUMBER(SEARCH(Request!$I$19,B1156)),MAX($A$1:A1155)+1,0)</f>
        <v>1155</v>
      </c>
      <c r="B1156" s="11" t="s">
        <v>5195</v>
      </c>
      <c r="D1156" t="str">
        <f>IFERROR(VLOOKUP(ROWS($D$2:D1156),A1156:B2374,2,0),"")</f>
        <v>Uherské Hradiste – Kunovice UHE</v>
      </c>
      <c r="F1156">
        <f>IF(ISNUMBER(SEARCH(Request!$N$19,G1156)),MAX(F$1:$F1155)+1,0)</f>
        <v>1155</v>
      </c>
      <c r="G1156" s="11" t="s">
        <v>5195</v>
      </c>
      <c r="H1156" t="str">
        <f>IFERROR(VLOOKUP(ROWS($H$2:H1156),F1156:G2374,2,0),"")</f>
        <v>Uherské Hradiste – Kunovice UHE</v>
      </c>
    </row>
    <row r="1157" spans="1:8" x14ac:dyDescent="0.25">
      <c r="A1157">
        <f>IF(ISNUMBER(SEARCH(Request!$I$19,B1157)),MAX($A$1:A1156)+1,0)</f>
        <v>1156</v>
      </c>
      <c r="B1157" s="11" t="s">
        <v>5196</v>
      </c>
      <c r="D1157" t="str">
        <f>IFERROR(VLOOKUP(ROWS($D$2:D1157),A1157:B2375,2,0),"")</f>
        <v>Ulan Bator – Buyant Ukha ULN</v>
      </c>
      <c r="F1157">
        <f>IF(ISNUMBER(SEARCH(Request!$N$19,G1157)),MAX(F$1:$F1156)+1,0)</f>
        <v>1156</v>
      </c>
      <c r="G1157" s="11" t="s">
        <v>5196</v>
      </c>
      <c r="H1157" t="str">
        <f>IFERROR(VLOOKUP(ROWS($H$2:H1157),F1157:G2375,2,0),"")</f>
        <v>Ulan Bator – Buyant Ukha ULN</v>
      </c>
    </row>
    <row r="1158" spans="1:8" x14ac:dyDescent="0.25">
      <c r="A1158">
        <f>IF(ISNUMBER(SEARCH(Request!$I$19,B1158)),MAX($A$1:A1157)+1,0)</f>
        <v>1157</v>
      </c>
      <c r="B1158" s="11" t="s">
        <v>5197</v>
      </c>
      <c r="D1158" t="str">
        <f>IFERROR(VLOOKUP(ROWS($D$2:D1158),A1158:B2376,2,0),"")</f>
        <v>Ulyanovsk-Vostochny ULY</v>
      </c>
      <c r="F1158">
        <f>IF(ISNUMBER(SEARCH(Request!$N$19,G1158)),MAX(F$1:$F1157)+1,0)</f>
        <v>1157</v>
      </c>
      <c r="G1158" s="11" t="s">
        <v>5197</v>
      </c>
      <c r="H1158" t="str">
        <f>IFERROR(VLOOKUP(ROWS($H$2:H1158),F1158:G2376,2,0),"")</f>
        <v>Ulyanovsk-Vostochny ULY</v>
      </c>
    </row>
    <row r="1159" spans="1:8" x14ac:dyDescent="0.25">
      <c r="A1159">
        <f>IF(ISNUMBER(SEARCH(Request!$I$19,B1159)),MAX($A$1:A1158)+1,0)</f>
        <v>1158</v>
      </c>
      <c r="B1159" s="11" t="s">
        <v>5198</v>
      </c>
      <c r="D1159" t="str">
        <f>IFERROR(VLOOKUP(ROWS($D$2:D1159),A1159:B2377,2,0),"")</f>
        <v>Umeå UME</v>
      </c>
      <c r="F1159">
        <f>IF(ISNUMBER(SEARCH(Request!$N$19,G1159)),MAX(F$1:$F1158)+1,0)</f>
        <v>1158</v>
      </c>
      <c r="G1159" s="11" t="s">
        <v>5198</v>
      </c>
      <c r="H1159" t="str">
        <f>IFERROR(VLOOKUP(ROWS($H$2:H1159),F1159:G2377,2,0),"")</f>
        <v>Umeå UME</v>
      </c>
    </row>
    <row r="1160" spans="1:8" x14ac:dyDescent="0.25">
      <c r="A1160">
        <f>IF(ISNUMBER(SEARCH(Request!$I$19,B1160)),MAX($A$1:A1159)+1,0)</f>
        <v>1159</v>
      </c>
      <c r="B1160" s="11" t="s">
        <v>5199</v>
      </c>
      <c r="D1160" t="str">
        <f>IFERROR(VLOOKUP(ROWS($D$2:D1160),A1160:B2378,2,0),"")</f>
        <v>Upington UTN</v>
      </c>
      <c r="F1160">
        <f>IF(ISNUMBER(SEARCH(Request!$N$19,G1160)),MAX(F$1:$F1159)+1,0)</f>
        <v>1159</v>
      </c>
      <c r="G1160" s="11" t="s">
        <v>5199</v>
      </c>
      <c r="H1160" t="str">
        <f>IFERROR(VLOOKUP(ROWS($H$2:H1160),F1160:G2378,2,0),"")</f>
        <v>Upington UTN</v>
      </c>
    </row>
    <row r="1161" spans="1:8" x14ac:dyDescent="0.25">
      <c r="A1161">
        <f>IF(ISNUMBER(SEARCH(Request!$I$19,B1161)),MAX($A$1:A1160)+1,0)</f>
        <v>1160</v>
      </c>
      <c r="B1161" s="11" t="s">
        <v>5200</v>
      </c>
      <c r="D1161" t="str">
        <f>IFERROR(VLOOKUP(ROWS($D$2:D1161),A1161:B2379,2,0),"")</f>
        <v>Uruapan – Licenciado Y Gen Ignacio Lopez Rayon UPN</v>
      </c>
      <c r="F1161">
        <f>IF(ISNUMBER(SEARCH(Request!$N$19,G1161)),MAX(F$1:$F1160)+1,0)</f>
        <v>1160</v>
      </c>
      <c r="G1161" s="11" t="s">
        <v>5200</v>
      </c>
      <c r="H1161" t="str">
        <f>IFERROR(VLOOKUP(ROWS($H$2:H1161),F1161:G2379,2,0),"")</f>
        <v>Uruapan – Licenciado Y Gen Ignacio Lopez Rayon UPN</v>
      </c>
    </row>
    <row r="1162" spans="1:8" x14ac:dyDescent="0.25">
      <c r="A1162">
        <f>IF(ISNUMBER(SEARCH(Request!$I$19,B1162)),MAX($A$1:A1161)+1,0)</f>
        <v>1161</v>
      </c>
      <c r="B1162" s="11" t="s">
        <v>5201</v>
      </c>
      <c r="D1162" t="str">
        <f>IFERROR(VLOOKUP(ROWS($D$2:D1162),A1162:B2380,2,0),"")</f>
        <v>Urumqi – Diwopu URC</v>
      </c>
      <c r="F1162">
        <f>IF(ISNUMBER(SEARCH(Request!$N$19,G1162)),MAX(F$1:$F1161)+1,0)</f>
        <v>1161</v>
      </c>
      <c r="G1162" s="11" t="s">
        <v>5201</v>
      </c>
      <c r="H1162" t="str">
        <f>IFERROR(VLOOKUP(ROWS($H$2:H1162),F1162:G2380,2,0),"")</f>
        <v>Urumqi – Diwopu URC</v>
      </c>
    </row>
    <row r="1163" spans="1:8" x14ac:dyDescent="0.25">
      <c r="A1163">
        <f>IF(ISNUMBER(SEARCH(Request!$I$19,B1163)),MAX($A$1:A1162)+1,0)</f>
        <v>1162</v>
      </c>
      <c r="B1163" s="11" t="s">
        <v>5202</v>
      </c>
      <c r="D1163" t="str">
        <f>IFERROR(VLOOKUP(ROWS($D$2:D1163),A1163:B2381,2,0),"")</f>
        <v>Utica – Oneida County UCA</v>
      </c>
      <c r="F1163">
        <f>IF(ISNUMBER(SEARCH(Request!$N$19,G1163)),MAX(F$1:$F1162)+1,0)</f>
        <v>1162</v>
      </c>
      <c r="G1163" s="11" t="s">
        <v>5202</v>
      </c>
      <c r="H1163" t="str">
        <f>IFERROR(VLOOKUP(ROWS($H$2:H1163),F1163:G2381,2,0),"")</f>
        <v>Utica – Oneida County UCA</v>
      </c>
    </row>
    <row r="1164" spans="1:8" x14ac:dyDescent="0.25">
      <c r="A1164">
        <f>IF(ISNUMBER(SEARCH(Request!$I$19,B1164)),MAX($A$1:A1163)+1,0)</f>
        <v>1163</v>
      </c>
      <c r="B1164" s="11" t="s">
        <v>5203</v>
      </c>
      <c r="D1164" t="str">
        <f>IFERROR(VLOOKUP(ROWS($D$2:D1164),A1164:B2382,2,0),"")</f>
        <v>Vaasa VAA</v>
      </c>
      <c r="F1164">
        <f>IF(ISNUMBER(SEARCH(Request!$N$19,G1164)),MAX(F$1:$F1163)+1,0)</f>
        <v>1163</v>
      </c>
      <c r="G1164" s="11" t="s">
        <v>5203</v>
      </c>
      <c r="H1164" t="str">
        <f>IFERROR(VLOOKUP(ROWS($H$2:H1164),F1164:G2382,2,0),"")</f>
        <v>Vaasa VAA</v>
      </c>
    </row>
    <row r="1165" spans="1:8" x14ac:dyDescent="0.25">
      <c r="A1165">
        <f>IF(ISNUMBER(SEARCH(Request!$I$19,B1165)),MAX($A$1:A1164)+1,0)</f>
        <v>1164</v>
      </c>
      <c r="B1165" s="11" t="s">
        <v>5204</v>
      </c>
      <c r="D1165" t="str">
        <f>IFERROR(VLOOKUP(ROWS($D$2:D1165),A1165:B2383,2,0),"")</f>
        <v>Vagar FAE</v>
      </c>
      <c r="F1165">
        <f>IF(ISNUMBER(SEARCH(Request!$N$19,G1165)),MAX(F$1:$F1164)+1,0)</f>
        <v>1164</v>
      </c>
      <c r="G1165" s="11" t="s">
        <v>5204</v>
      </c>
      <c r="H1165" t="str">
        <f>IFERROR(VLOOKUP(ROWS($H$2:H1165),F1165:G2383,2,0),"")</f>
        <v>Vagar FAE</v>
      </c>
    </row>
    <row r="1166" spans="1:8" x14ac:dyDescent="0.25">
      <c r="A1166">
        <f>IF(ISNUMBER(SEARCH(Request!$I$19,B1166)),MAX($A$1:A1165)+1,0)</f>
        <v>1165</v>
      </c>
      <c r="B1166" s="11" t="s">
        <v>5205</v>
      </c>
      <c r="D1166" t="str">
        <f>IFERROR(VLOOKUP(ROWS($D$2:D1166),A1166:B2384,2,0),"")</f>
        <v>Valence/Chabeuil VAF</v>
      </c>
      <c r="F1166">
        <f>IF(ISNUMBER(SEARCH(Request!$N$19,G1166)),MAX(F$1:$F1165)+1,0)</f>
        <v>1165</v>
      </c>
      <c r="G1166" s="11" t="s">
        <v>5205</v>
      </c>
      <c r="H1166" t="str">
        <f>IFERROR(VLOOKUP(ROWS($H$2:H1166),F1166:G2384,2,0),"")</f>
        <v>Valence/Chabeuil VAF</v>
      </c>
    </row>
    <row r="1167" spans="1:8" x14ac:dyDescent="0.25">
      <c r="A1167">
        <f>IF(ISNUMBER(SEARCH(Request!$I$19,B1167)),MAX($A$1:A1166)+1,0)</f>
        <v>1166</v>
      </c>
      <c r="B1167" s="11" t="s">
        <v>5206</v>
      </c>
      <c r="D1167" t="str">
        <f>IFERROR(VLOOKUP(ROWS($D$2:D1167),A1167:B2385,2,0),"")</f>
        <v>Valencia VLC</v>
      </c>
      <c r="F1167">
        <f>IF(ISNUMBER(SEARCH(Request!$N$19,G1167)),MAX(F$1:$F1166)+1,0)</f>
        <v>1166</v>
      </c>
      <c r="G1167" s="11" t="s">
        <v>5206</v>
      </c>
      <c r="H1167" t="str">
        <f>IFERROR(VLOOKUP(ROWS($H$2:H1167),F1167:G2385,2,0),"")</f>
        <v>Valencia VLC</v>
      </c>
    </row>
    <row r="1168" spans="1:8" x14ac:dyDescent="0.25">
      <c r="A1168">
        <f>IF(ISNUMBER(SEARCH(Request!$I$19,B1168)),MAX($A$1:A1167)+1,0)</f>
        <v>1167</v>
      </c>
      <c r="B1168" s="11" t="s">
        <v>5207</v>
      </c>
      <c r="D1168" t="str">
        <f>IFERROR(VLOOKUP(ROWS($D$2:D1168),A1168:B2386,2,0),"")</f>
        <v>Valladolid VLL</v>
      </c>
      <c r="F1168">
        <f>IF(ISNUMBER(SEARCH(Request!$N$19,G1168)),MAX(F$1:$F1167)+1,0)</f>
        <v>1167</v>
      </c>
      <c r="G1168" s="11" t="s">
        <v>5207</v>
      </c>
      <c r="H1168" t="str">
        <f>IFERROR(VLOOKUP(ROWS($H$2:H1168),F1168:G2386,2,0),"")</f>
        <v>Valladolid VLL</v>
      </c>
    </row>
    <row r="1169" spans="1:8" x14ac:dyDescent="0.25">
      <c r="A1169">
        <f>IF(ISNUMBER(SEARCH(Request!$I$19,B1169)),MAX($A$1:A1168)+1,0)</f>
        <v>1168</v>
      </c>
      <c r="B1169" s="11" t="s">
        <v>5208</v>
      </c>
      <c r="D1169" t="str">
        <f>IFERROR(VLOOKUP(ROWS($D$2:D1169),A1169:B2387,2,0),"")</f>
        <v>Vancouver YVR</v>
      </c>
      <c r="F1169">
        <f>IF(ISNUMBER(SEARCH(Request!$N$19,G1169)),MAX(F$1:$F1168)+1,0)</f>
        <v>1168</v>
      </c>
      <c r="G1169" s="11" t="s">
        <v>5208</v>
      </c>
      <c r="H1169" t="str">
        <f>IFERROR(VLOOKUP(ROWS($H$2:H1169),F1169:G2387,2,0),"")</f>
        <v>Vancouver YVR</v>
      </c>
    </row>
    <row r="1170" spans="1:8" x14ac:dyDescent="0.25">
      <c r="A1170">
        <f>IF(ISNUMBER(SEARCH(Request!$I$19,B1170)),MAX($A$1:A1169)+1,0)</f>
        <v>1169</v>
      </c>
      <c r="B1170" s="11" t="s">
        <v>5209</v>
      </c>
      <c r="D1170" t="str">
        <f>IFERROR(VLOOKUP(ROWS($D$2:D1170),A1170:B2388,2,0),"")</f>
        <v>Varadero-Juan G Gomez Int´l VRA</v>
      </c>
      <c r="F1170">
        <f>IF(ISNUMBER(SEARCH(Request!$N$19,G1170)),MAX(F$1:$F1169)+1,0)</f>
        <v>1169</v>
      </c>
      <c r="G1170" s="11" t="s">
        <v>5209</v>
      </c>
      <c r="H1170" t="str">
        <f>IFERROR(VLOOKUP(ROWS($H$2:H1170),F1170:G2388,2,0),"")</f>
        <v>Varadero-Juan G Gomez Int´l VRA</v>
      </c>
    </row>
    <row r="1171" spans="1:8" x14ac:dyDescent="0.25">
      <c r="A1171">
        <f>IF(ISNUMBER(SEARCH(Request!$I$19,B1171)),MAX($A$1:A1170)+1,0)</f>
        <v>1170</v>
      </c>
      <c r="B1171" s="11" t="s">
        <v>5210</v>
      </c>
      <c r="D1171" t="str">
        <f>IFERROR(VLOOKUP(ROWS($D$2:D1171),A1171:B2389,2,0),"")</f>
        <v>Varanasi VNS</v>
      </c>
      <c r="F1171">
        <f>IF(ISNUMBER(SEARCH(Request!$N$19,G1171)),MAX(F$1:$F1170)+1,0)</f>
        <v>1170</v>
      </c>
      <c r="G1171" s="11" t="s">
        <v>5210</v>
      </c>
      <c r="H1171" t="str">
        <f>IFERROR(VLOOKUP(ROWS($H$2:H1171),F1171:G2389,2,0),"")</f>
        <v>Varanasi VNS</v>
      </c>
    </row>
    <row r="1172" spans="1:8" x14ac:dyDescent="0.25">
      <c r="A1172">
        <f>IF(ISNUMBER(SEARCH(Request!$I$19,B1172)),MAX($A$1:A1171)+1,0)</f>
        <v>1171</v>
      </c>
      <c r="B1172" s="11" t="s">
        <v>5211</v>
      </c>
      <c r="D1172" t="str">
        <f>IFERROR(VLOOKUP(ROWS($D$2:D1172),A1172:B2390,2,0),"")</f>
        <v>Varkaus VRK</v>
      </c>
      <c r="F1172">
        <f>IF(ISNUMBER(SEARCH(Request!$N$19,G1172)),MAX(F$1:$F1171)+1,0)</f>
        <v>1171</v>
      </c>
      <c r="G1172" s="11" t="s">
        <v>5211</v>
      </c>
      <c r="H1172" t="str">
        <f>IFERROR(VLOOKUP(ROWS($H$2:H1172),F1172:G2390,2,0),"")</f>
        <v>Varkaus VRK</v>
      </c>
    </row>
    <row r="1173" spans="1:8" x14ac:dyDescent="0.25">
      <c r="A1173">
        <f>IF(ISNUMBER(SEARCH(Request!$I$19,B1173)),MAX($A$1:A1172)+1,0)</f>
        <v>1172</v>
      </c>
      <c r="B1173" s="11" t="s">
        <v>5212</v>
      </c>
      <c r="D1173" t="str">
        <f>IFERROR(VLOOKUP(ROWS($D$2:D1173),A1173:B2391,2,0),"")</f>
        <v>Varna Ltd VAR</v>
      </c>
      <c r="F1173">
        <f>IF(ISNUMBER(SEARCH(Request!$N$19,G1173)),MAX(F$1:$F1172)+1,0)</f>
        <v>1172</v>
      </c>
      <c r="G1173" s="11" t="s">
        <v>5212</v>
      </c>
      <c r="H1173" t="str">
        <f>IFERROR(VLOOKUP(ROWS($H$2:H1173),F1173:G2391,2,0),"")</f>
        <v>Varna Ltd VAR</v>
      </c>
    </row>
    <row r="1174" spans="1:8" x14ac:dyDescent="0.25">
      <c r="A1174">
        <f>IF(ISNUMBER(SEARCH(Request!$I$19,B1174)),MAX($A$1:A1173)+1,0)</f>
        <v>1173</v>
      </c>
      <c r="B1174" s="11" t="s">
        <v>5228</v>
      </c>
      <c r="D1174" t="str">
        <f>IFERROR(VLOOKUP(ROWS($D$2:D1174),A1174:B2392,2,0),"")</f>
        <v>Växjö – Urasa VXO</v>
      </c>
      <c r="F1174">
        <f>IF(ISNUMBER(SEARCH(Request!$N$19,G1174)),MAX(F$1:$F1173)+1,0)</f>
        <v>1173</v>
      </c>
      <c r="G1174" s="11" t="s">
        <v>5228</v>
      </c>
      <c r="H1174" t="str">
        <f>IFERROR(VLOOKUP(ROWS($H$2:H1174),F1174:G2392,2,0),"")</f>
        <v>Växjö – Urasa VXO</v>
      </c>
    </row>
    <row r="1175" spans="1:8" x14ac:dyDescent="0.25">
      <c r="A1175">
        <f>IF(ISNUMBER(SEARCH(Request!$I$19,B1175)),MAX($A$1:A1174)+1,0)</f>
        <v>1174</v>
      </c>
      <c r="B1175" s="11" t="s">
        <v>5213</v>
      </c>
      <c r="D1175" t="str">
        <f>IFERROR(VLOOKUP(ROWS($D$2:D1175),A1175:B2393,2,0),"")</f>
        <v>Venice-Aeroporto Marco Polo VCE</v>
      </c>
      <c r="F1175">
        <f>IF(ISNUMBER(SEARCH(Request!$N$19,G1175)),MAX(F$1:$F1174)+1,0)</f>
        <v>1174</v>
      </c>
      <c r="G1175" s="11" t="s">
        <v>5213</v>
      </c>
      <c r="H1175" t="str">
        <f>IFERROR(VLOOKUP(ROWS($H$2:H1175),F1175:G2393,2,0),"")</f>
        <v>Venice-Aeroporto Marco Polo VCE</v>
      </c>
    </row>
    <row r="1176" spans="1:8" x14ac:dyDescent="0.25">
      <c r="A1176">
        <f>IF(ISNUMBER(SEARCH(Request!$I$19,B1176)),MAX($A$1:A1175)+1,0)</f>
        <v>1175</v>
      </c>
      <c r="B1176" s="11" t="s">
        <v>5214</v>
      </c>
      <c r="D1176" t="str">
        <f>IFERROR(VLOOKUP(ROWS($D$2:D1176),A1176:B2394,2,0),"")</f>
        <v>Vero Beach VRB</v>
      </c>
      <c r="F1176">
        <f>IF(ISNUMBER(SEARCH(Request!$N$19,G1176)),MAX(F$1:$F1175)+1,0)</f>
        <v>1175</v>
      </c>
      <c r="G1176" s="11" t="s">
        <v>5214</v>
      </c>
      <c r="H1176" t="str">
        <f>IFERROR(VLOOKUP(ROWS($H$2:H1176),F1176:G2394,2,0),"")</f>
        <v>Vero Beach VRB</v>
      </c>
    </row>
    <row r="1177" spans="1:8" x14ac:dyDescent="0.25">
      <c r="A1177">
        <f>IF(ISNUMBER(SEARCH(Request!$I$19,B1177)),MAX($A$1:A1176)+1,0)</f>
        <v>1176</v>
      </c>
      <c r="B1177" s="11" t="s">
        <v>5215</v>
      </c>
      <c r="D1177" t="str">
        <f>IFERROR(VLOOKUP(ROWS($D$2:D1177),A1177:B2395,2,0),"")</f>
        <v>Verona-Valerio Catullo VRN</v>
      </c>
      <c r="F1177">
        <f>IF(ISNUMBER(SEARCH(Request!$N$19,G1177)),MAX(F$1:$F1176)+1,0)</f>
        <v>1176</v>
      </c>
      <c r="G1177" s="11" t="s">
        <v>5215</v>
      </c>
      <c r="H1177" t="str">
        <f>IFERROR(VLOOKUP(ROWS($H$2:H1177),F1177:G2395,2,0),"")</f>
        <v>Verona-Valerio Catullo VRN</v>
      </c>
    </row>
    <row r="1178" spans="1:8" x14ac:dyDescent="0.25">
      <c r="A1178">
        <f>IF(ISNUMBER(SEARCH(Request!$I$19,B1178)),MAX($A$1:A1177)+1,0)</f>
        <v>1177</v>
      </c>
      <c r="B1178" s="11" t="s">
        <v>5216</v>
      </c>
      <c r="D1178" t="str">
        <f>IFERROR(VLOOKUP(ROWS($D$2:D1178),A1178:B2396,2,0),"")</f>
        <v>Vichy/Charmeil VHY</v>
      </c>
      <c r="F1178">
        <f>IF(ISNUMBER(SEARCH(Request!$N$19,G1178)),MAX(F$1:$F1177)+1,0)</f>
        <v>1177</v>
      </c>
      <c r="G1178" s="11" t="s">
        <v>5216</v>
      </c>
      <c r="H1178" t="str">
        <f>IFERROR(VLOOKUP(ROWS($H$2:H1178),F1178:G2396,2,0),"")</f>
        <v>Vichy/Charmeil VHY</v>
      </c>
    </row>
    <row r="1179" spans="1:8" x14ac:dyDescent="0.25">
      <c r="A1179">
        <f>IF(ISNUMBER(SEARCH(Request!$I$19,B1179)),MAX($A$1:A1178)+1,0)</f>
        <v>1178</v>
      </c>
      <c r="B1179" s="11" t="s">
        <v>5217</v>
      </c>
      <c r="D1179" t="str">
        <f>IFERROR(VLOOKUP(ROWS($D$2:D1179),A1179:B2397,2,0),"")</f>
        <v>Victoria Falls VFA</v>
      </c>
      <c r="F1179">
        <f>IF(ISNUMBER(SEARCH(Request!$N$19,G1179)),MAX(F$1:$F1178)+1,0)</f>
        <v>1178</v>
      </c>
      <c r="G1179" s="11" t="s">
        <v>5217</v>
      </c>
      <c r="H1179" t="str">
        <f>IFERROR(VLOOKUP(ROWS($H$2:H1179),F1179:G2397,2,0),"")</f>
        <v>Victoria Falls VFA</v>
      </c>
    </row>
    <row r="1180" spans="1:8" x14ac:dyDescent="0.25">
      <c r="A1180">
        <f>IF(ISNUMBER(SEARCH(Request!$I$19,B1180)),MAX($A$1:A1179)+1,0)</f>
        <v>1179</v>
      </c>
      <c r="B1180" s="11" t="s">
        <v>5218</v>
      </c>
      <c r="D1180" t="str">
        <f>IFERROR(VLOOKUP(ROWS($D$2:D1180),A1180:B2398,2,0),"")</f>
        <v>Victoria, CA YYJ</v>
      </c>
      <c r="F1180">
        <f>IF(ISNUMBER(SEARCH(Request!$N$19,G1180)),MAX(F$1:$F1179)+1,0)</f>
        <v>1179</v>
      </c>
      <c r="G1180" s="11" t="s">
        <v>5218</v>
      </c>
      <c r="H1180" t="str">
        <f>IFERROR(VLOOKUP(ROWS($H$2:H1180),F1180:G2398,2,0),"")</f>
        <v>Victoria, CA YYJ</v>
      </c>
    </row>
    <row r="1181" spans="1:8" x14ac:dyDescent="0.25">
      <c r="A1181">
        <f>IF(ISNUMBER(SEARCH(Request!$I$19,B1181)),MAX($A$1:A1180)+1,0)</f>
        <v>1180</v>
      </c>
      <c r="B1181" s="11" t="s">
        <v>5219</v>
      </c>
      <c r="D1181" t="str">
        <f>IFERROR(VLOOKUP(ROWS($D$2:D1181),A1181:B2399,2,0),"")</f>
        <v>Vienna VIE</v>
      </c>
      <c r="F1181">
        <f>IF(ISNUMBER(SEARCH(Request!$N$19,G1181)),MAX(F$1:$F1180)+1,0)</f>
        <v>1180</v>
      </c>
      <c r="G1181" s="11" t="s">
        <v>5219</v>
      </c>
      <c r="H1181" t="str">
        <f>IFERROR(VLOOKUP(ROWS($H$2:H1181),F1181:G2399,2,0),"")</f>
        <v>Vienna VIE</v>
      </c>
    </row>
    <row r="1182" spans="1:8" x14ac:dyDescent="0.25">
      <c r="A1182">
        <f>IF(ISNUMBER(SEARCH(Request!$I$19,B1182)),MAX($A$1:A1181)+1,0)</f>
        <v>1181</v>
      </c>
      <c r="B1182" s="11" t="s">
        <v>5220</v>
      </c>
      <c r="D1182" t="str">
        <f>IFERROR(VLOOKUP(ROWS($D$2:D1182),A1182:B2400,2,0),"")</f>
        <v>Vientiane – Wattay VTE</v>
      </c>
      <c r="F1182">
        <f>IF(ISNUMBER(SEARCH(Request!$N$19,G1182)),MAX(F$1:$F1181)+1,0)</f>
        <v>1181</v>
      </c>
      <c r="G1182" s="11" t="s">
        <v>5220</v>
      </c>
      <c r="H1182" t="str">
        <f>IFERROR(VLOOKUP(ROWS($H$2:H1182),F1182:G2400,2,0),"")</f>
        <v>Vientiane – Wattay VTE</v>
      </c>
    </row>
    <row r="1183" spans="1:8" x14ac:dyDescent="0.25">
      <c r="A1183">
        <f>IF(ISNUMBER(SEARCH(Request!$I$19,B1183)),MAX($A$1:A1182)+1,0)</f>
        <v>1182</v>
      </c>
      <c r="B1183" s="11" t="s">
        <v>5221</v>
      </c>
      <c r="D1183" t="str">
        <f>IFERROR(VLOOKUP(ROWS($D$2:D1183),A1183:B2401,2,0),"")</f>
        <v>Vigo VGO</v>
      </c>
      <c r="F1183">
        <f>IF(ISNUMBER(SEARCH(Request!$N$19,G1183)),MAX(F$1:$F1182)+1,0)</f>
        <v>1182</v>
      </c>
      <c r="G1183" s="11" t="s">
        <v>5221</v>
      </c>
      <c r="H1183" t="str">
        <f>IFERROR(VLOOKUP(ROWS($H$2:H1183),F1183:G2401,2,0),"")</f>
        <v>Vigo VGO</v>
      </c>
    </row>
    <row r="1184" spans="1:8" x14ac:dyDescent="0.25">
      <c r="A1184">
        <f>IF(ISNUMBER(SEARCH(Request!$I$19,B1184)),MAX($A$1:A1183)+1,0)</f>
        <v>1183</v>
      </c>
      <c r="B1184" s="11" t="s">
        <v>5222</v>
      </c>
      <c r="D1184" t="str">
        <f>IFERROR(VLOOKUP(ROWS($D$2:D1184),A1184:B2402,2,0),"")</f>
        <v>Vilnius Int´l VNO</v>
      </c>
      <c r="F1184">
        <f>IF(ISNUMBER(SEARCH(Request!$N$19,G1184)),MAX(F$1:$F1183)+1,0)</f>
        <v>1183</v>
      </c>
      <c r="G1184" s="11" t="s">
        <v>5222</v>
      </c>
      <c r="H1184" t="str">
        <f>IFERROR(VLOOKUP(ROWS($H$2:H1184),F1184:G2402,2,0),"")</f>
        <v>Vilnius Int´l VNO</v>
      </c>
    </row>
    <row r="1185" spans="1:8" x14ac:dyDescent="0.25">
      <c r="A1185">
        <f>IF(ISNUMBER(SEARCH(Request!$I$19,B1185)),MAX($A$1:A1184)+1,0)</f>
        <v>1184</v>
      </c>
      <c r="B1185" s="11" t="s">
        <v>5223</v>
      </c>
      <c r="D1185" t="str">
        <f>IFERROR(VLOOKUP(ROWS($D$2:D1185),A1185:B2403,2,0),"")</f>
        <v>Virgin Gorda VIJ</v>
      </c>
      <c r="F1185">
        <f>IF(ISNUMBER(SEARCH(Request!$N$19,G1185)),MAX(F$1:$F1184)+1,0)</f>
        <v>1184</v>
      </c>
      <c r="G1185" s="11" t="s">
        <v>5223</v>
      </c>
      <c r="H1185" t="str">
        <f>IFERROR(VLOOKUP(ROWS($H$2:H1185),F1185:G2403,2,0),"")</f>
        <v>Virgin Gorda VIJ</v>
      </c>
    </row>
    <row r="1186" spans="1:8" x14ac:dyDescent="0.25">
      <c r="A1186">
        <f>IF(ISNUMBER(SEARCH(Request!$I$19,B1186)),MAX($A$1:A1185)+1,0)</f>
        <v>1185</v>
      </c>
      <c r="B1186" s="11" t="s">
        <v>5224</v>
      </c>
      <c r="D1186" t="str">
        <f>IFERROR(VLOOKUP(ROWS($D$2:D1186),A1186:B2404,2,0),"")</f>
        <v>Viseu VSE</v>
      </c>
      <c r="F1186">
        <f>IF(ISNUMBER(SEARCH(Request!$N$19,G1186)),MAX(F$1:$F1185)+1,0)</f>
        <v>1185</v>
      </c>
      <c r="G1186" s="11" t="s">
        <v>5224</v>
      </c>
      <c r="H1186" t="str">
        <f>IFERROR(VLOOKUP(ROWS($H$2:H1186),F1186:G2404,2,0),"")</f>
        <v>Viseu VSE</v>
      </c>
    </row>
    <row r="1187" spans="1:8" x14ac:dyDescent="0.25">
      <c r="A1187">
        <f>IF(ISNUMBER(SEARCH(Request!$I$19,B1187)),MAX($A$1:A1186)+1,0)</f>
        <v>1186</v>
      </c>
      <c r="B1187" s="11" t="s">
        <v>5225</v>
      </c>
      <c r="D1187" t="str">
        <f>IFERROR(VLOOKUP(ROWS($D$2:D1187),A1187:B2405,2,0),"")</f>
        <v>Vitoria Int´l VIT</v>
      </c>
      <c r="F1187">
        <f>IF(ISNUMBER(SEARCH(Request!$N$19,G1187)),MAX(F$1:$F1186)+1,0)</f>
        <v>1186</v>
      </c>
      <c r="G1187" s="11" t="s">
        <v>5225</v>
      </c>
      <c r="H1187" t="str">
        <f>IFERROR(VLOOKUP(ROWS($H$2:H1187),F1187:G2405,2,0),"")</f>
        <v>Vitoria Int´l VIT</v>
      </c>
    </row>
    <row r="1188" spans="1:8" x14ac:dyDescent="0.25">
      <c r="A1188">
        <f>IF(ISNUMBER(SEARCH(Request!$I$19,B1188)),MAX($A$1:A1187)+1,0)</f>
        <v>1187</v>
      </c>
      <c r="B1188" s="11" t="s">
        <v>5226</v>
      </c>
      <c r="D1188" t="str">
        <f>IFERROR(VLOOKUP(ROWS($D$2:D1188),A1188:B2406,2,0),"")</f>
        <v>Vladivostok (JSC Vladivostok Air) VVO</v>
      </c>
      <c r="F1188">
        <f>IF(ISNUMBER(SEARCH(Request!$N$19,G1188)),MAX(F$1:$F1187)+1,0)</f>
        <v>1187</v>
      </c>
      <c r="G1188" s="11" t="s">
        <v>5226</v>
      </c>
      <c r="H1188" t="str">
        <f>IFERROR(VLOOKUP(ROWS($H$2:H1188),F1188:G2406,2,0),"")</f>
        <v>Vladivostok (JSC Vladivostok Air) VVO</v>
      </c>
    </row>
    <row r="1189" spans="1:8" x14ac:dyDescent="0.25">
      <c r="A1189">
        <f>IF(ISNUMBER(SEARCH(Request!$I$19,B1189)),MAX($A$1:A1188)+1,0)</f>
        <v>1188</v>
      </c>
      <c r="B1189" s="11" t="s">
        <v>5227</v>
      </c>
      <c r="D1189" t="str">
        <f>IFERROR(VLOOKUP(ROWS($D$2:D1189),A1189:B2407,2,0),"")</f>
        <v>Vojens – Skrydstrup SKS</v>
      </c>
      <c r="F1189">
        <f>IF(ISNUMBER(SEARCH(Request!$N$19,G1189)),MAX(F$1:$F1188)+1,0)</f>
        <v>1188</v>
      </c>
      <c r="G1189" s="11" t="s">
        <v>5227</v>
      </c>
      <c r="H1189" t="str">
        <f>IFERROR(VLOOKUP(ROWS($H$2:H1189),F1189:G2407,2,0),"")</f>
        <v>Vojens – Skrydstrup SKS</v>
      </c>
    </row>
    <row r="1190" spans="1:8" x14ac:dyDescent="0.25">
      <c r="A1190">
        <f>IF(ISNUMBER(SEARCH(Request!$I$19,B1190)),MAX($A$1:A1189)+1,0)</f>
        <v>1189</v>
      </c>
      <c r="B1190" s="11" t="s">
        <v>5229</v>
      </c>
      <c r="D1190" t="str">
        <f>IFERROR(VLOOKUP(ROWS($D$2:D1190),A1190:B2408,2,0),"")</f>
        <v>Wakkanai WKJ</v>
      </c>
      <c r="F1190">
        <f>IF(ISNUMBER(SEARCH(Request!$N$19,G1190)),MAX(F$1:$F1189)+1,0)</f>
        <v>1189</v>
      </c>
      <c r="G1190" s="11" t="s">
        <v>5229</v>
      </c>
      <c r="H1190" t="str">
        <f>IFERROR(VLOOKUP(ROWS($H$2:H1190),F1190:G2408,2,0),"")</f>
        <v>Wakkanai WKJ</v>
      </c>
    </row>
    <row r="1191" spans="1:8" x14ac:dyDescent="0.25">
      <c r="A1191">
        <f>IF(ISNUMBER(SEARCH(Request!$I$19,B1191)),MAX($A$1:A1190)+1,0)</f>
        <v>1190</v>
      </c>
      <c r="B1191" s="11" t="s">
        <v>5230</v>
      </c>
      <c r="D1191" t="str">
        <f>IFERROR(VLOOKUP(ROWS($D$2:D1191),A1191:B2409,2,0),"")</f>
        <v>Wallis Hihifo WLS</v>
      </c>
      <c r="F1191">
        <f>IF(ISNUMBER(SEARCH(Request!$N$19,G1191)),MAX(F$1:$F1190)+1,0)</f>
        <v>1190</v>
      </c>
      <c r="G1191" s="11" t="s">
        <v>5230</v>
      </c>
      <c r="H1191" t="str">
        <f>IFERROR(VLOOKUP(ROWS($H$2:H1191),F1191:G2409,2,0),"")</f>
        <v>Wallis Hihifo WLS</v>
      </c>
    </row>
    <row r="1192" spans="1:8" x14ac:dyDescent="0.25">
      <c r="A1192">
        <f>IF(ISNUMBER(SEARCH(Request!$I$19,B1192)),MAX($A$1:A1191)+1,0)</f>
        <v>1191</v>
      </c>
      <c r="B1192" s="11" t="s">
        <v>5231</v>
      </c>
      <c r="D1192" t="str">
        <f>IFERROR(VLOOKUP(ROWS($D$2:D1192),A1192:B2410,2,0),"")</f>
        <v>Warsaw – Frederic Chopin WAW</v>
      </c>
      <c r="F1192">
        <f>IF(ISNUMBER(SEARCH(Request!$N$19,G1192)),MAX(F$1:$F1191)+1,0)</f>
        <v>1191</v>
      </c>
      <c r="G1192" s="11" t="s">
        <v>5231</v>
      </c>
      <c r="H1192" t="str">
        <f>IFERROR(VLOOKUP(ROWS($H$2:H1192),F1192:G2410,2,0),"")</f>
        <v>Warsaw – Frederic Chopin WAW</v>
      </c>
    </row>
    <row r="1193" spans="1:8" x14ac:dyDescent="0.25">
      <c r="A1193">
        <f>IF(ISNUMBER(SEARCH(Request!$I$19,B1193)),MAX($A$1:A1192)+1,0)</f>
        <v>1192</v>
      </c>
      <c r="B1193" s="11" t="s">
        <v>5232</v>
      </c>
      <c r="D1193" t="str">
        <f>IFERROR(VLOOKUP(ROWS($D$2:D1193),A1193:B2411,2,0),"")</f>
        <v>Washington – Dulles IAD</v>
      </c>
      <c r="F1193">
        <f>IF(ISNUMBER(SEARCH(Request!$N$19,G1193)),MAX(F$1:$F1192)+1,0)</f>
        <v>1192</v>
      </c>
      <c r="G1193" s="11" t="s">
        <v>5232</v>
      </c>
      <c r="H1193" t="str">
        <f>IFERROR(VLOOKUP(ROWS($H$2:H1193),F1193:G2411,2,0),"")</f>
        <v>Washington – Dulles IAD</v>
      </c>
    </row>
    <row r="1194" spans="1:8" x14ac:dyDescent="0.25">
      <c r="A1194">
        <f>IF(ISNUMBER(SEARCH(Request!$I$19,B1194)),MAX($A$1:A1193)+1,0)</f>
        <v>1193</v>
      </c>
      <c r="B1194" s="11" t="s">
        <v>5233</v>
      </c>
      <c r="D1194" t="str">
        <f>IFERROR(VLOOKUP(ROWS($D$2:D1194),A1194:B2412,2,0),"")</f>
        <v>Washington – Ronald Reagan National DCA</v>
      </c>
      <c r="F1194">
        <f>IF(ISNUMBER(SEARCH(Request!$N$19,G1194)),MAX(F$1:$F1193)+1,0)</f>
        <v>1193</v>
      </c>
      <c r="G1194" s="11" t="s">
        <v>5233</v>
      </c>
      <c r="H1194" t="str">
        <f>IFERROR(VLOOKUP(ROWS($H$2:H1194),F1194:G2412,2,0),"")</f>
        <v>Washington – Ronald Reagan National DCA</v>
      </c>
    </row>
    <row r="1195" spans="1:8" x14ac:dyDescent="0.25">
      <c r="A1195">
        <f>IF(ISNUMBER(SEARCH(Request!$I$19,B1195)),MAX($A$1:A1194)+1,0)</f>
        <v>1194</v>
      </c>
      <c r="B1195" s="11" t="s">
        <v>5234</v>
      </c>
      <c r="D1195" t="str">
        <f>IFERROR(VLOOKUP(ROWS($D$2:D1195),A1195:B2413,2,0),"")</f>
        <v>Waterford Regional WAT</v>
      </c>
      <c r="F1195">
        <f>IF(ISNUMBER(SEARCH(Request!$N$19,G1195)),MAX(F$1:$F1194)+1,0)</f>
        <v>1194</v>
      </c>
      <c r="G1195" s="11" t="s">
        <v>5234</v>
      </c>
      <c r="H1195" t="str">
        <f>IFERROR(VLOOKUP(ROWS($H$2:H1195),F1195:G2413,2,0),"")</f>
        <v>Waterford Regional WAT</v>
      </c>
    </row>
    <row r="1196" spans="1:8" x14ac:dyDescent="0.25">
      <c r="A1196">
        <f>IF(ISNUMBER(SEARCH(Request!$I$19,B1196)),MAX($A$1:A1195)+1,0)</f>
        <v>1195</v>
      </c>
      <c r="B1196" s="11" t="s">
        <v>5235</v>
      </c>
      <c r="D1196" t="str">
        <f>IFERROR(VLOOKUP(ROWS($D$2:D1196),A1196:B2414,2,0),"")</f>
        <v>Waterloo Municipal ALO</v>
      </c>
      <c r="F1196">
        <f>IF(ISNUMBER(SEARCH(Request!$N$19,G1196)),MAX(F$1:$F1195)+1,0)</f>
        <v>1195</v>
      </c>
      <c r="G1196" s="11" t="s">
        <v>5235</v>
      </c>
      <c r="H1196" t="str">
        <f>IFERROR(VLOOKUP(ROWS($H$2:H1196),F1196:G2414,2,0),"")</f>
        <v>Waterloo Municipal ALO</v>
      </c>
    </row>
    <row r="1197" spans="1:8" x14ac:dyDescent="0.25">
      <c r="A1197">
        <f>IF(ISNUMBER(SEARCH(Request!$I$19,B1197)),MAX($A$1:A1196)+1,0)</f>
        <v>1196</v>
      </c>
      <c r="B1197" s="11" t="s">
        <v>5236</v>
      </c>
      <c r="D1197" t="str">
        <f>IFERROR(VLOOKUP(ROWS($D$2:D1197),A1197:B2415,2,0),"")</f>
        <v>Watertown Int´l ART</v>
      </c>
      <c r="F1197">
        <f>IF(ISNUMBER(SEARCH(Request!$N$19,G1197)),MAX(F$1:$F1196)+1,0)</f>
        <v>1196</v>
      </c>
      <c r="G1197" s="11" t="s">
        <v>5236</v>
      </c>
      <c r="H1197" t="str">
        <f>IFERROR(VLOOKUP(ROWS($H$2:H1197),F1197:G2415,2,0),"")</f>
        <v>Watertown Int´l ART</v>
      </c>
    </row>
    <row r="1198" spans="1:8" x14ac:dyDescent="0.25">
      <c r="A1198">
        <f>IF(ISNUMBER(SEARCH(Request!$I$19,B1198)),MAX($A$1:A1197)+1,0)</f>
        <v>1197</v>
      </c>
      <c r="B1198" s="11" t="s">
        <v>5237</v>
      </c>
      <c r="D1198" t="str">
        <f>IFERROR(VLOOKUP(ROWS($D$2:D1198),A1198:B2416,2,0),"")</f>
        <v>Wausau/Central Wisconsin Regional CWA</v>
      </c>
      <c r="F1198">
        <f>IF(ISNUMBER(SEARCH(Request!$N$19,G1198)),MAX(F$1:$F1197)+1,0)</f>
        <v>1197</v>
      </c>
      <c r="G1198" s="11" t="s">
        <v>5237</v>
      </c>
      <c r="H1198" t="str">
        <f>IFERROR(VLOOKUP(ROWS($H$2:H1198),F1198:G2416,2,0),"")</f>
        <v>Wausau/Central Wisconsin Regional CWA</v>
      </c>
    </row>
    <row r="1199" spans="1:8" x14ac:dyDescent="0.25">
      <c r="A1199">
        <f>IF(ISNUMBER(SEARCH(Request!$I$19,B1199)),MAX($A$1:A1198)+1,0)</f>
        <v>1198</v>
      </c>
      <c r="B1199" s="11" t="s">
        <v>5238</v>
      </c>
      <c r="D1199" t="str">
        <f>IFERROR(VLOOKUP(ROWS($D$2:D1199),A1199:B2417,2,0),"")</f>
        <v>Wellington WLG</v>
      </c>
      <c r="F1199">
        <f>IF(ISNUMBER(SEARCH(Request!$N$19,G1199)),MAX(F$1:$F1198)+1,0)</f>
        <v>1198</v>
      </c>
      <c r="G1199" s="11" t="s">
        <v>5238</v>
      </c>
      <c r="H1199" t="str">
        <f>IFERROR(VLOOKUP(ROWS($H$2:H1199),F1199:G2417,2,0),"")</f>
        <v>Wellington WLG</v>
      </c>
    </row>
    <row r="1200" spans="1:8" x14ac:dyDescent="0.25">
      <c r="A1200">
        <f>IF(ISNUMBER(SEARCH(Request!$I$19,B1200)),MAX($A$1:A1199)+1,0)</f>
        <v>1199</v>
      </c>
      <c r="B1200" s="11" t="s">
        <v>5239</v>
      </c>
      <c r="D1200" t="str">
        <f>IFERROR(VLOOKUP(ROWS($D$2:D1200),A1200:B2418,2,0),"")</f>
        <v>Wenatchee/Pangborn Memorial EAT</v>
      </c>
      <c r="F1200">
        <f>IF(ISNUMBER(SEARCH(Request!$N$19,G1200)),MAX(F$1:$F1199)+1,0)</f>
        <v>1199</v>
      </c>
      <c r="G1200" s="11" t="s">
        <v>5239</v>
      </c>
      <c r="H1200" t="str">
        <f>IFERROR(VLOOKUP(ROWS($H$2:H1200),F1200:G2418,2,0),"")</f>
        <v>Wenatchee/Pangborn Memorial EAT</v>
      </c>
    </row>
    <row r="1201" spans="1:8" x14ac:dyDescent="0.25">
      <c r="A1201">
        <f>IF(ISNUMBER(SEARCH(Request!$I$19,B1201)),MAX($A$1:A1200)+1,0)</f>
        <v>1200</v>
      </c>
      <c r="B1201" s="11" t="s">
        <v>5240</v>
      </c>
      <c r="D1201" t="str">
        <f>IFERROR(VLOOKUP(ROWS($D$2:D1201),A1201:B2419,2,0),"")</f>
        <v>Westchester County HPN</v>
      </c>
      <c r="F1201">
        <f>IF(ISNUMBER(SEARCH(Request!$N$19,G1201)),MAX(F$1:$F1200)+1,0)</f>
        <v>1200</v>
      </c>
      <c r="G1201" s="11" t="s">
        <v>5240</v>
      </c>
      <c r="H1201" t="str">
        <f>IFERROR(VLOOKUP(ROWS($H$2:H1201),F1201:G2419,2,0),"")</f>
        <v>Westchester County HPN</v>
      </c>
    </row>
    <row r="1202" spans="1:8" x14ac:dyDescent="0.25">
      <c r="A1202">
        <f>IF(ISNUMBER(SEARCH(Request!$I$19,B1202)),MAX($A$1:A1201)+1,0)</f>
        <v>1201</v>
      </c>
      <c r="B1202" s="11" t="s">
        <v>5241</v>
      </c>
      <c r="D1202" t="str">
        <f>IFERROR(VLOOKUP(ROWS($D$2:D1202),A1202:B2420,2,0),"")</f>
        <v>Westerland-SFG Sylter Flughafen GmbH &amp; Co GWT</v>
      </c>
      <c r="F1202">
        <f>IF(ISNUMBER(SEARCH(Request!$N$19,G1202)),MAX(F$1:$F1201)+1,0)</f>
        <v>1201</v>
      </c>
      <c r="G1202" s="11" t="s">
        <v>5241</v>
      </c>
      <c r="H1202" t="str">
        <f>IFERROR(VLOOKUP(ROWS($H$2:H1202),F1202:G2420,2,0),"")</f>
        <v>Westerland-SFG Sylter Flughafen GmbH &amp; Co GWT</v>
      </c>
    </row>
    <row r="1203" spans="1:8" x14ac:dyDescent="0.25">
      <c r="A1203">
        <f>IF(ISNUMBER(SEARCH(Request!$I$19,B1203)),MAX($A$1:A1202)+1,0)</f>
        <v>1202</v>
      </c>
      <c r="B1203" s="11" t="s">
        <v>5242</v>
      </c>
      <c r="D1203" t="str">
        <f>IFERROR(VLOOKUP(ROWS($D$2:D1203),A1203:B2421,2,0),"")</f>
        <v>Wichita Mid-Continent ICT</v>
      </c>
      <c r="F1203">
        <f>IF(ISNUMBER(SEARCH(Request!$N$19,G1203)),MAX(F$1:$F1202)+1,0)</f>
        <v>1202</v>
      </c>
      <c r="G1203" s="11" t="s">
        <v>5242</v>
      </c>
      <c r="H1203" t="str">
        <f>IFERROR(VLOOKUP(ROWS($H$2:H1203),F1203:G2421,2,0),"")</f>
        <v>Wichita Mid-Continent ICT</v>
      </c>
    </row>
    <row r="1204" spans="1:8" x14ac:dyDescent="0.25">
      <c r="A1204">
        <f>IF(ISNUMBER(SEARCH(Request!$I$19,B1204)),MAX($A$1:A1203)+1,0)</f>
        <v>1203</v>
      </c>
      <c r="B1204" s="11" t="s">
        <v>5243</v>
      </c>
      <c r="D1204" t="str">
        <f>IFERROR(VLOOKUP(ROWS($D$2:D1204),A1204:B2422,2,0),"")</f>
        <v>Wick Aerodrome WIC</v>
      </c>
      <c r="F1204">
        <f>IF(ISNUMBER(SEARCH(Request!$N$19,G1204)),MAX(F$1:$F1203)+1,0)</f>
        <v>1203</v>
      </c>
      <c r="G1204" s="11" t="s">
        <v>5243</v>
      </c>
      <c r="H1204" t="str">
        <f>IFERROR(VLOOKUP(ROWS($H$2:H1204),F1204:G2422,2,0),"")</f>
        <v>Wick Aerodrome WIC</v>
      </c>
    </row>
    <row r="1205" spans="1:8" x14ac:dyDescent="0.25">
      <c r="A1205">
        <f>IF(ISNUMBER(SEARCH(Request!$I$19,B1205)),MAX($A$1:A1204)+1,0)</f>
        <v>1204</v>
      </c>
      <c r="B1205" s="11" t="s">
        <v>5244</v>
      </c>
      <c r="D1205" t="str">
        <f>IFERROR(VLOOKUP(ROWS($D$2:D1205),A1205:B2423,2,0),"")</f>
        <v>Wilkes-Barre – Scranton Int´l WBW</v>
      </c>
      <c r="F1205">
        <f>IF(ISNUMBER(SEARCH(Request!$N$19,G1205)),MAX(F$1:$F1204)+1,0)</f>
        <v>1204</v>
      </c>
      <c r="G1205" s="11" t="s">
        <v>5244</v>
      </c>
      <c r="H1205" t="str">
        <f>IFERROR(VLOOKUP(ROWS($H$2:H1205),F1205:G2423,2,0),"")</f>
        <v>Wilkes-Barre – Scranton Int´l WBW</v>
      </c>
    </row>
    <row r="1206" spans="1:8" x14ac:dyDescent="0.25">
      <c r="A1206">
        <f>IF(ISNUMBER(SEARCH(Request!$I$19,B1206)),MAX($A$1:A1205)+1,0)</f>
        <v>1205</v>
      </c>
      <c r="B1206" s="11" t="s">
        <v>5245</v>
      </c>
      <c r="D1206" t="str">
        <f>IFERROR(VLOOKUP(ROWS($D$2:D1206),A1206:B2424,2,0),"")</f>
        <v>Williams Gateway IWA</v>
      </c>
      <c r="F1206">
        <f>IF(ISNUMBER(SEARCH(Request!$N$19,G1206)),MAX(F$1:$F1205)+1,0)</f>
        <v>1205</v>
      </c>
      <c r="G1206" s="11" t="s">
        <v>5245</v>
      </c>
      <c r="H1206" t="str">
        <f>IFERROR(VLOOKUP(ROWS($H$2:H1206),F1206:G2424,2,0),"")</f>
        <v>Williams Gateway IWA</v>
      </c>
    </row>
    <row r="1207" spans="1:8" x14ac:dyDescent="0.25">
      <c r="A1207">
        <f>IF(ISNUMBER(SEARCH(Request!$I$19,B1207)),MAX($A$1:A1206)+1,0)</f>
        <v>1206</v>
      </c>
      <c r="B1207" s="11" t="s">
        <v>5246</v>
      </c>
      <c r="D1207" t="str">
        <f>IFERROR(VLOOKUP(ROWS($D$2:D1207),A1207:B2425,2,0),"")</f>
        <v>Williamsport Regional IPT</v>
      </c>
      <c r="F1207">
        <f>IF(ISNUMBER(SEARCH(Request!$N$19,G1207)),MAX(F$1:$F1206)+1,0)</f>
        <v>1206</v>
      </c>
      <c r="G1207" s="11" t="s">
        <v>5246</v>
      </c>
      <c r="H1207" t="str">
        <f>IFERROR(VLOOKUP(ROWS($H$2:H1207),F1207:G2425,2,0),"")</f>
        <v>Williamsport Regional IPT</v>
      </c>
    </row>
    <row r="1208" spans="1:8" x14ac:dyDescent="0.25">
      <c r="A1208">
        <f>IF(ISNUMBER(SEARCH(Request!$I$19,B1208)),MAX($A$1:A1207)+1,0)</f>
        <v>1207</v>
      </c>
      <c r="B1208" s="11" t="s">
        <v>5247</v>
      </c>
      <c r="D1208" t="str">
        <f>IFERROR(VLOOKUP(ROWS($D$2:D1208),A1208:B2426,2,0),"")</f>
        <v>Wilmington Int´l ILM</v>
      </c>
      <c r="F1208">
        <f>IF(ISNUMBER(SEARCH(Request!$N$19,G1208)),MAX(F$1:$F1207)+1,0)</f>
        <v>1207</v>
      </c>
      <c r="G1208" s="11" t="s">
        <v>5247</v>
      </c>
      <c r="H1208" t="str">
        <f>IFERROR(VLOOKUP(ROWS($H$2:H1208),F1208:G2426,2,0),"")</f>
        <v>Wilmington Int´l ILM</v>
      </c>
    </row>
    <row r="1209" spans="1:8" x14ac:dyDescent="0.25">
      <c r="A1209">
        <f>IF(ISNUMBER(SEARCH(Request!$I$19,B1209)),MAX($A$1:A1208)+1,0)</f>
        <v>1208</v>
      </c>
      <c r="B1209" s="11" t="s">
        <v>5248</v>
      </c>
      <c r="D1209" t="str">
        <f>IFERROR(VLOOKUP(ROWS($D$2:D1209),A1209:B2427,2,0),"")</f>
        <v>Windhoek – Hosea Kutako WDH</v>
      </c>
      <c r="F1209">
        <f>IF(ISNUMBER(SEARCH(Request!$N$19,G1209)),MAX(F$1:$F1208)+1,0)</f>
        <v>1208</v>
      </c>
      <c r="G1209" s="11" t="s">
        <v>5248</v>
      </c>
      <c r="H1209" t="str">
        <f>IFERROR(VLOOKUP(ROWS($H$2:H1209),F1209:G2427,2,0),"")</f>
        <v>Windhoek – Hosea Kutako WDH</v>
      </c>
    </row>
    <row r="1210" spans="1:8" x14ac:dyDescent="0.25">
      <c r="A1210">
        <f>IF(ISNUMBER(SEARCH(Request!$I$19,B1210)),MAX($A$1:A1209)+1,0)</f>
        <v>1209</v>
      </c>
      <c r="B1210" s="11" t="s">
        <v>5249</v>
      </c>
      <c r="D1210" t="str">
        <f>IFERROR(VLOOKUP(ROWS($D$2:D1210),A1210:B2428,2,0),"")</f>
        <v>Windsor, CA YQG</v>
      </c>
      <c r="F1210">
        <f>IF(ISNUMBER(SEARCH(Request!$N$19,G1210)),MAX(F$1:$F1209)+1,0)</f>
        <v>1209</v>
      </c>
      <c r="G1210" s="11" t="s">
        <v>5249</v>
      </c>
      <c r="H1210" t="str">
        <f>IFERROR(VLOOKUP(ROWS($H$2:H1210),F1210:G2428,2,0),"")</f>
        <v>Windsor, CA YQG</v>
      </c>
    </row>
    <row r="1211" spans="1:8" x14ac:dyDescent="0.25">
      <c r="A1211">
        <f>IF(ISNUMBER(SEARCH(Request!$I$19,B1211)),MAX($A$1:A1210)+1,0)</f>
        <v>1210</v>
      </c>
      <c r="B1211" s="11" t="s">
        <v>5250</v>
      </c>
      <c r="D1211" t="str">
        <f>IFERROR(VLOOKUP(ROWS($D$2:D1211),A1211:B2429,2,0),"")</f>
        <v>Winnipeg YWG</v>
      </c>
      <c r="F1211">
        <f>IF(ISNUMBER(SEARCH(Request!$N$19,G1211)),MAX(F$1:$F1210)+1,0)</f>
        <v>1210</v>
      </c>
      <c r="G1211" s="11" t="s">
        <v>5250</v>
      </c>
      <c r="H1211" t="str">
        <f>IFERROR(VLOOKUP(ROWS($H$2:H1211),F1211:G2429,2,0),"")</f>
        <v>Winnipeg YWG</v>
      </c>
    </row>
    <row r="1212" spans="1:8" x14ac:dyDescent="0.25">
      <c r="A1212">
        <f>IF(ISNUMBER(SEARCH(Request!$I$19,B1212)),MAX($A$1:A1211)+1,0)</f>
        <v>1211</v>
      </c>
      <c r="B1212" s="11" t="s">
        <v>5251</v>
      </c>
      <c r="D1212" t="str">
        <f>IFERROR(VLOOKUP(ROWS($D$2:D1212),A1212:B2430,2,0),"")</f>
        <v>Winston-Salem INT</v>
      </c>
      <c r="F1212">
        <f>IF(ISNUMBER(SEARCH(Request!$N$19,G1212)),MAX(F$1:$F1211)+1,0)</f>
        <v>1211</v>
      </c>
      <c r="G1212" s="11" t="s">
        <v>5251</v>
      </c>
      <c r="H1212" t="str">
        <f>IFERROR(VLOOKUP(ROWS($H$2:H1212),F1212:G2430,2,0),"")</f>
        <v>Winston-Salem INT</v>
      </c>
    </row>
    <row r="1213" spans="1:8" x14ac:dyDescent="0.25">
      <c r="A1213">
        <f>IF(ISNUMBER(SEARCH(Request!$I$19,B1213)),MAX($A$1:A1212)+1,0)</f>
        <v>1212</v>
      </c>
      <c r="B1213" s="11" t="s">
        <v>5252</v>
      </c>
      <c r="D1213" t="str">
        <f>IFERROR(VLOOKUP(ROWS($D$2:D1213),A1213:B2431,2,0),"")</f>
        <v>Worcester Regional ORH</v>
      </c>
      <c r="F1213">
        <f>IF(ISNUMBER(SEARCH(Request!$N$19,G1213)),MAX(F$1:$F1212)+1,0)</f>
        <v>1212</v>
      </c>
      <c r="G1213" s="11" t="s">
        <v>5252</v>
      </c>
      <c r="H1213" t="str">
        <f>IFERROR(VLOOKUP(ROWS($H$2:H1213),F1213:G2431,2,0),"")</f>
        <v>Worcester Regional ORH</v>
      </c>
    </row>
    <row r="1214" spans="1:8" x14ac:dyDescent="0.25">
      <c r="A1214">
        <f>IF(ISNUMBER(SEARCH(Request!$I$19,B1214)),MAX($A$1:A1213)+1,0)</f>
        <v>1213</v>
      </c>
      <c r="B1214" s="11" t="s">
        <v>5253</v>
      </c>
      <c r="D1214" t="str">
        <f>IFERROR(VLOOKUP(ROWS($D$2:D1214),A1214:B2432,2,0),"")</f>
        <v>Wroclaw-Strachowice WRO</v>
      </c>
      <c r="F1214">
        <f>IF(ISNUMBER(SEARCH(Request!$N$19,G1214)),MAX(F$1:$F1213)+1,0)</f>
        <v>1213</v>
      </c>
      <c r="G1214" s="11" t="s">
        <v>5253</v>
      </c>
      <c r="H1214" t="str">
        <f>IFERROR(VLOOKUP(ROWS($H$2:H1214),F1214:G2432,2,0),"")</f>
        <v>Wroclaw-Strachowice WRO</v>
      </c>
    </row>
    <row r="1215" spans="1:8" x14ac:dyDescent="0.25">
      <c r="A1215">
        <f>IF(ISNUMBER(SEARCH(Request!$I$19,B1215)),MAX($A$1:A1214)+1,0)</f>
        <v>1214</v>
      </c>
      <c r="B1215" s="11" t="s">
        <v>5254</v>
      </c>
      <c r="D1215" t="str">
        <f>IFERROR(VLOOKUP(ROWS($D$2:D1215),A1215:B2433,2,0),"")</f>
        <v>Yangon RGN</v>
      </c>
      <c r="F1215">
        <f>IF(ISNUMBER(SEARCH(Request!$N$19,G1215)),MAX(F$1:$F1214)+1,0)</f>
        <v>1214</v>
      </c>
      <c r="G1215" s="11" t="s">
        <v>5254</v>
      </c>
      <c r="H1215" t="str">
        <f>IFERROR(VLOOKUP(ROWS($H$2:H1215),F1215:G2433,2,0),"")</f>
        <v>Yangon RGN</v>
      </c>
    </row>
    <row r="1216" spans="1:8" x14ac:dyDescent="0.25">
      <c r="A1216">
        <f>IF(ISNUMBER(SEARCH(Request!$I$19,B1216)),MAX($A$1:A1215)+1,0)</f>
        <v>1215</v>
      </c>
      <c r="B1216" s="11" t="s">
        <v>5255</v>
      </c>
      <c r="D1216" t="str">
        <f>IFERROR(VLOOKUP(ROWS($D$2:D1216),A1216:B2434,2,0),"")</f>
        <v>Yaounde-Nsimalen NSI</v>
      </c>
      <c r="F1216">
        <f>IF(ISNUMBER(SEARCH(Request!$N$19,G1216)),MAX(F$1:$F1215)+1,0)</f>
        <v>1215</v>
      </c>
      <c r="G1216" s="11" t="s">
        <v>5255</v>
      </c>
      <c r="H1216" t="str">
        <f>IFERROR(VLOOKUP(ROWS($H$2:H1216),F1216:G2434,2,0),"")</f>
        <v>Yaounde-Nsimalen NSI</v>
      </c>
    </row>
    <row r="1217" spans="1:8" x14ac:dyDescent="0.25">
      <c r="A1217">
        <f>IF(ISNUMBER(SEARCH(Request!$I$19,B1217)),MAX($A$1:A1216)+1,0)</f>
        <v>1216</v>
      </c>
      <c r="B1217" s="11" t="s">
        <v>5256</v>
      </c>
      <c r="D1217" t="str">
        <f>IFERROR(VLOOKUP(ROWS($D$2:D1217),A1217:B2435,2,0),"")</f>
        <v>Yerevan-Zvartnots EVN</v>
      </c>
      <c r="F1217">
        <f>IF(ISNUMBER(SEARCH(Request!$N$19,G1217)),MAX(F$1:$F1216)+1,0)</f>
        <v>1216</v>
      </c>
      <c r="G1217" s="11" t="s">
        <v>5256</v>
      </c>
      <c r="H1217" t="str">
        <f>IFERROR(VLOOKUP(ROWS($H$2:H1217),F1217:G2435,2,0),"")</f>
        <v>Yerevan-Zvartnots EVN</v>
      </c>
    </row>
    <row r="1218" spans="1:8" x14ac:dyDescent="0.25">
      <c r="A1218">
        <f>IF(ISNUMBER(SEARCH(Request!$I$19,B1218)),MAX($A$1:A1217)+1,0)</f>
        <v>1217</v>
      </c>
      <c r="B1218" s="11" t="s">
        <v>5257</v>
      </c>
      <c r="D1218" t="str">
        <f>IFERROR(VLOOKUP(ROWS($D$2:D1218),A1218:B2436,2,0),"")</f>
        <v>Yogyakarta-Adi Sucipto JOG</v>
      </c>
      <c r="F1218">
        <f>IF(ISNUMBER(SEARCH(Request!$N$19,G1218)),MAX(F$1:$F1217)+1,0)</f>
        <v>1217</v>
      </c>
      <c r="G1218" s="11" t="s">
        <v>5257</v>
      </c>
      <c r="H1218" t="str">
        <f>IFERROR(VLOOKUP(ROWS($H$2:H1218),F1218:G2436,2,0),"")</f>
        <v>Yogyakarta-Adi Sucipto JOG</v>
      </c>
    </row>
    <row r="1219" spans="1:8" x14ac:dyDescent="0.25">
      <c r="A1219">
        <f>IF(ISNUMBER(SEARCH(Request!$I$19,B1219)),MAX($A$1:A1218)+1,0)</f>
        <v>1218</v>
      </c>
      <c r="B1219" s="11" t="s">
        <v>5258</v>
      </c>
      <c r="D1219" t="str">
        <f>IFERROR(VLOOKUP(ROWS($D$2:D1219),A1219:B2437,2,0),"")</f>
        <v>Yuzhno-Sakhalinsk UUS</v>
      </c>
      <c r="F1219">
        <f>IF(ISNUMBER(SEARCH(Request!$N$19,G1219)),MAX(F$1:$F1218)+1,0)</f>
        <v>1218</v>
      </c>
      <c r="G1219" s="11" t="s">
        <v>5258</v>
      </c>
      <c r="H1219" t="str">
        <f>IFERROR(VLOOKUP(ROWS($H$2:H1219),F1219:G2437,2,0),"")</f>
        <v>Yuzhno-Sakhalinsk UUS</v>
      </c>
    </row>
    <row r="1220" spans="1:8" x14ac:dyDescent="0.25">
      <c r="B1220" s="11"/>
      <c r="D1220" t="str">
        <f>IFERROR(VLOOKUP(ROWS($D$2:D1220),A1220:B2438,2,0),"")</f>
        <v/>
      </c>
      <c r="H1220" t="str">
        <f>IFERROR(VLOOKUP(ROWS($H$2:H1220),F1220:G2438,2,0),"")</f>
        <v/>
      </c>
    </row>
    <row r="1221" spans="1:8" x14ac:dyDescent="0.25">
      <c r="B1221" s="11"/>
    </row>
    <row r="1222" spans="1:8" x14ac:dyDescent="0.25">
      <c r="B1222" s="11"/>
    </row>
    <row r="1223" spans="1:8" x14ac:dyDescent="0.25">
      <c r="B1223" s="11"/>
    </row>
    <row r="1224" spans="1:8" x14ac:dyDescent="0.25">
      <c r="B1224" s="11"/>
    </row>
    <row r="1225" spans="1:8" x14ac:dyDescent="0.25">
      <c r="B1225" s="11"/>
    </row>
    <row r="1226" spans="1:8" x14ac:dyDescent="0.25">
      <c r="B1226" s="11"/>
    </row>
    <row r="1227" spans="1:8" x14ac:dyDescent="0.25">
      <c r="B1227" s="11"/>
    </row>
    <row r="1228" spans="1:8" x14ac:dyDescent="0.25">
      <c r="B1228" s="11"/>
    </row>
    <row r="1229" spans="1:8" x14ac:dyDescent="0.25">
      <c r="B1229" s="11"/>
    </row>
    <row r="1230" spans="1:8" x14ac:dyDescent="0.25">
      <c r="B1230" s="11"/>
    </row>
    <row r="1231" spans="1:8" x14ac:dyDescent="0.25">
      <c r="B1231" s="11"/>
    </row>
    <row r="1232" spans="1:8" x14ac:dyDescent="0.25">
      <c r="B1232" s="11"/>
    </row>
    <row r="1233" spans="2:2" x14ac:dyDescent="0.25">
      <c r="B1233" s="11"/>
    </row>
    <row r="1234" spans="2:2" x14ac:dyDescent="0.25">
      <c r="B1234" s="11"/>
    </row>
    <row r="1235" spans="2:2" x14ac:dyDescent="0.25">
      <c r="B1235" s="11"/>
    </row>
    <row r="1236" spans="2:2" x14ac:dyDescent="0.25">
      <c r="B1236" s="11"/>
    </row>
    <row r="1237" spans="2:2" x14ac:dyDescent="0.25">
      <c r="B1237" s="11"/>
    </row>
    <row r="1238" spans="2:2" x14ac:dyDescent="0.25">
      <c r="B1238" s="11"/>
    </row>
    <row r="1239" spans="2:2" x14ac:dyDescent="0.25">
      <c r="B1239" s="11"/>
    </row>
    <row r="1240" spans="2:2" x14ac:dyDescent="0.25">
      <c r="B1240" s="11"/>
    </row>
    <row r="1241" spans="2:2" x14ac:dyDescent="0.25">
      <c r="B1241" s="11"/>
    </row>
    <row r="1242" spans="2:2" x14ac:dyDescent="0.25">
      <c r="B1242" s="11"/>
    </row>
    <row r="1243" spans="2:2" x14ac:dyDescent="0.25">
      <c r="B1243" s="11"/>
    </row>
    <row r="1244" spans="2:2" x14ac:dyDescent="0.25">
      <c r="B1244" s="11"/>
    </row>
    <row r="1245" spans="2:2" x14ac:dyDescent="0.25">
      <c r="B1245" s="11"/>
    </row>
    <row r="1246" spans="2:2" x14ac:dyDescent="0.25">
      <c r="B1246" s="11"/>
    </row>
    <row r="1247" spans="2:2" x14ac:dyDescent="0.25">
      <c r="B1247" s="11"/>
    </row>
    <row r="1248" spans="2:2" x14ac:dyDescent="0.25">
      <c r="B1248" s="11"/>
    </row>
    <row r="1249" spans="2:2" x14ac:dyDescent="0.25">
      <c r="B1249" s="11"/>
    </row>
    <row r="1250" spans="2:2" x14ac:dyDescent="0.25">
      <c r="B1250" s="11"/>
    </row>
    <row r="1251" spans="2:2" x14ac:dyDescent="0.25">
      <c r="B1251" s="11"/>
    </row>
    <row r="1252" spans="2:2" x14ac:dyDescent="0.25">
      <c r="B1252" s="11"/>
    </row>
    <row r="1253" spans="2:2" x14ac:dyDescent="0.25">
      <c r="B1253" s="11"/>
    </row>
    <row r="1254" spans="2:2" x14ac:dyDescent="0.25">
      <c r="B1254" s="11"/>
    </row>
    <row r="1255" spans="2:2" x14ac:dyDescent="0.25">
      <c r="B1255" s="11"/>
    </row>
    <row r="1256" spans="2:2" x14ac:dyDescent="0.25">
      <c r="B1256" s="11"/>
    </row>
    <row r="1257" spans="2:2" x14ac:dyDescent="0.25">
      <c r="B1257" s="11"/>
    </row>
    <row r="1258" spans="2:2" x14ac:dyDescent="0.25">
      <c r="B1258" s="11"/>
    </row>
    <row r="1259" spans="2:2" x14ac:dyDescent="0.25">
      <c r="B1259" s="11"/>
    </row>
    <row r="1260" spans="2:2" x14ac:dyDescent="0.25">
      <c r="B1260" s="11"/>
    </row>
    <row r="1261" spans="2:2" x14ac:dyDescent="0.25">
      <c r="B1261" s="11"/>
    </row>
    <row r="1262" spans="2:2" x14ac:dyDescent="0.25">
      <c r="B1262" s="11"/>
    </row>
    <row r="1263" spans="2:2" x14ac:dyDescent="0.25">
      <c r="B1263" s="11"/>
    </row>
    <row r="1264" spans="2:2" x14ac:dyDescent="0.25">
      <c r="B1264" s="11"/>
    </row>
    <row r="1265" spans="2:2" x14ac:dyDescent="0.25">
      <c r="B1265" s="11"/>
    </row>
    <row r="1266" spans="2:2" x14ac:dyDescent="0.25">
      <c r="B1266" s="11"/>
    </row>
    <row r="1267" spans="2:2" x14ac:dyDescent="0.25">
      <c r="B1267" s="11"/>
    </row>
    <row r="1268" spans="2:2" x14ac:dyDescent="0.25">
      <c r="B1268" s="11"/>
    </row>
    <row r="1269" spans="2:2" x14ac:dyDescent="0.25">
      <c r="B1269" s="11"/>
    </row>
    <row r="1270" spans="2:2" x14ac:dyDescent="0.25">
      <c r="B1270" s="11"/>
    </row>
    <row r="1271" spans="2:2" x14ac:dyDescent="0.25">
      <c r="B1271" s="11"/>
    </row>
    <row r="1272" spans="2:2" x14ac:dyDescent="0.25">
      <c r="B1272" s="11"/>
    </row>
    <row r="1273" spans="2:2" x14ac:dyDescent="0.25">
      <c r="B1273" s="11"/>
    </row>
    <row r="1274" spans="2:2" x14ac:dyDescent="0.25">
      <c r="B1274" s="11"/>
    </row>
    <row r="1275" spans="2:2" x14ac:dyDescent="0.25">
      <c r="B1275" s="11"/>
    </row>
    <row r="1276" spans="2:2" x14ac:dyDescent="0.25">
      <c r="B1276" s="11"/>
    </row>
    <row r="1277" spans="2:2" x14ac:dyDescent="0.25">
      <c r="B1277" s="11"/>
    </row>
    <row r="1278" spans="2:2" x14ac:dyDescent="0.25">
      <c r="B1278" s="11"/>
    </row>
    <row r="1279" spans="2:2" x14ac:dyDescent="0.25">
      <c r="B1279" s="11"/>
    </row>
    <row r="1280" spans="2:2" x14ac:dyDescent="0.25">
      <c r="B1280" s="11"/>
    </row>
    <row r="1281" spans="2:2" x14ac:dyDescent="0.25">
      <c r="B1281" s="11"/>
    </row>
    <row r="1282" spans="2:2" x14ac:dyDescent="0.25">
      <c r="B1282" s="11"/>
    </row>
    <row r="1283" spans="2:2" x14ac:dyDescent="0.25">
      <c r="B1283" s="11"/>
    </row>
    <row r="1284" spans="2:2" x14ac:dyDescent="0.25">
      <c r="B1284" s="11"/>
    </row>
    <row r="1285" spans="2:2" x14ac:dyDescent="0.25">
      <c r="B1285" s="11"/>
    </row>
    <row r="1286" spans="2:2" x14ac:dyDescent="0.25">
      <c r="B1286" s="11"/>
    </row>
    <row r="1287" spans="2:2" x14ac:dyDescent="0.25">
      <c r="B1287" s="11"/>
    </row>
    <row r="1288" spans="2:2" x14ac:dyDescent="0.25">
      <c r="B1288" s="11"/>
    </row>
    <row r="1289" spans="2:2" x14ac:dyDescent="0.25">
      <c r="B1289" s="11"/>
    </row>
    <row r="1290" spans="2:2" x14ac:dyDescent="0.25">
      <c r="B1290" s="11"/>
    </row>
    <row r="1291" spans="2:2" x14ac:dyDescent="0.25">
      <c r="B1291" s="11"/>
    </row>
    <row r="1292" spans="2:2" x14ac:dyDescent="0.25">
      <c r="B1292" s="11"/>
    </row>
    <row r="1293" spans="2:2" x14ac:dyDescent="0.25">
      <c r="B1293" s="11"/>
    </row>
    <row r="1294" spans="2:2" x14ac:dyDescent="0.25">
      <c r="B1294" s="11"/>
    </row>
    <row r="1295" spans="2:2" x14ac:dyDescent="0.25">
      <c r="B1295" s="11"/>
    </row>
    <row r="1296" spans="2:2" x14ac:dyDescent="0.25">
      <c r="B1296" s="11"/>
    </row>
    <row r="1297" spans="2:2" x14ac:dyDescent="0.25">
      <c r="B1297" s="11"/>
    </row>
    <row r="1298" spans="2:2" x14ac:dyDescent="0.25">
      <c r="B1298" s="11"/>
    </row>
    <row r="1299" spans="2:2" x14ac:dyDescent="0.25">
      <c r="B1299" s="11"/>
    </row>
    <row r="1300" spans="2:2" x14ac:dyDescent="0.25">
      <c r="B1300" s="11"/>
    </row>
    <row r="1301" spans="2:2" x14ac:dyDescent="0.25">
      <c r="B1301" s="11"/>
    </row>
    <row r="1302" spans="2:2" x14ac:dyDescent="0.25">
      <c r="B1302" s="11"/>
    </row>
    <row r="1303" spans="2:2" x14ac:dyDescent="0.25">
      <c r="B1303" s="11"/>
    </row>
    <row r="1304" spans="2:2" x14ac:dyDescent="0.25">
      <c r="B1304" s="11"/>
    </row>
    <row r="1305" spans="2:2" x14ac:dyDescent="0.25">
      <c r="B1305" s="11"/>
    </row>
    <row r="1306" spans="2:2" x14ac:dyDescent="0.25">
      <c r="B1306" s="11"/>
    </row>
    <row r="1307" spans="2:2" x14ac:dyDescent="0.25">
      <c r="B1307" s="11"/>
    </row>
    <row r="1308" spans="2:2" x14ac:dyDescent="0.25">
      <c r="B1308" s="11"/>
    </row>
    <row r="1309" spans="2:2" x14ac:dyDescent="0.25">
      <c r="B1309" s="11"/>
    </row>
    <row r="1310" spans="2:2" x14ac:dyDescent="0.25">
      <c r="B1310" s="11"/>
    </row>
    <row r="1311" spans="2:2" x14ac:dyDescent="0.25">
      <c r="B1311" s="11"/>
    </row>
    <row r="1312" spans="2:2" x14ac:dyDescent="0.25">
      <c r="B1312" s="11"/>
    </row>
    <row r="1313" spans="2:2" x14ac:dyDescent="0.25">
      <c r="B1313" s="11"/>
    </row>
    <row r="1314" spans="2:2" x14ac:dyDescent="0.25">
      <c r="B1314" s="11"/>
    </row>
    <row r="1315" spans="2:2" x14ac:dyDescent="0.25">
      <c r="B1315" s="11"/>
    </row>
    <row r="1316" spans="2:2" x14ac:dyDescent="0.25">
      <c r="B1316" s="11"/>
    </row>
    <row r="1317" spans="2:2" x14ac:dyDescent="0.25">
      <c r="B1317" s="11"/>
    </row>
    <row r="1318" spans="2:2" x14ac:dyDescent="0.25">
      <c r="B1318" s="11"/>
    </row>
    <row r="1319" spans="2:2" x14ac:dyDescent="0.25">
      <c r="B1319" s="11"/>
    </row>
    <row r="1320" spans="2:2" x14ac:dyDescent="0.25">
      <c r="B1320" s="11"/>
    </row>
    <row r="1321" spans="2:2" x14ac:dyDescent="0.25">
      <c r="B1321" s="11"/>
    </row>
    <row r="1322" spans="2:2" x14ac:dyDescent="0.25">
      <c r="B1322" s="11"/>
    </row>
    <row r="1323" spans="2:2" x14ac:dyDescent="0.25">
      <c r="B1323" s="11"/>
    </row>
    <row r="1324" spans="2:2" x14ac:dyDescent="0.25">
      <c r="B1324" s="11"/>
    </row>
    <row r="1325" spans="2:2" x14ac:dyDescent="0.25">
      <c r="B1325" s="11"/>
    </row>
    <row r="1326" spans="2:2" x14ac:dyDescent="0.25">
      <c r="B1326" s="11"/>
    </row>
    <row r="1327" spans="2:2" x14ac:dyDescent="0.25">
      <c r="B1327" s="11"/>
    </row>
    <row r="1328" spans="2:2" x14ac:dyDescent="0.25">
      <c r="B1328" s="11"/>
    </row>
    <row r="1329" spans="2:2" x14ac:dyDescent="0.25">
      <c r="B1329" s="11"/>
    </row>
    <row r="1330" spans="2:2" x14ac:dyDescent="0.25">
      <c r="B1330" s="11"/>
    </row>
    <row r="1331" spans="2:2" x14ac:dyDescent="0.25">
      <c r="B1331" s="11"/>
    </row>
    <row r="1332" spans="2:2" x14ac:dyDescent="0.25">
      <c r="B1332" s="11"/>
    </row>
    <row r="1333" spans="2:2" x14ac:dyDescent="0.25">
      <c r="B1333" s="11"/>
    </row>
    <row r="1334" spans="2:2" x14ac:dyDescent="0.25">
      <c r="B1334" s="11"/>
    </row>
    <row r="1335" spans="2:2" x14ac:dyDescent="0.25">
      <c r="B1335" s="11"/>
    </row>
    <row r="1336" spans="2:2" x14ac:dyDescent="0.25">
      <c r="B1336" s="11"/>
    </row>
    <row r="1337" spans="2:2" x14ac:dyDescent="0.25">
      <c r="B1337" s="11"/>
    </row>
    <row r="1338" spans="2:2" x14ac:dyDescent="0.25">
      <c r="B1338" s="11"/>
    </row>
    <row r="1339" spans="2:2" x14ac:dyDescent="0.25">
      <c r="B1339" s="11"/>
    </row>
    <row r="1340" spans="2:2" x14ac:dyDescent="0.25">
      <c r="B1340" s="11"/>
    </row>
    <row r="1341" spans="2:2" x14ac:dyDescent="0.25">
      <c r="B1341" s="11"/>
    </row>
    <row r="1342" spans="2:2" x14ac:dyDescent="0.25">
      <c r="B1342" s="11"/>
    </row>
    <row r="1343" spans="2:2" x14ac:dyDescent="0.25">
      <c r="B1343" s="11"/>
    </row>
    <row r="1344" spans="2:2" x14ac:dyDescent="0.25">
      <c r="B1344" s="11"/>
    </row>
    <row r="1345" spans="2:2" x14ac:dyDescent="0.25">
      <c r="B1345" s="11"/>
    </row>
    <row r="1346" spans="2:2" x14ac:dyDescent="0.25">
      <c r="B1346" s="11"/>
    </row>
    <row r="1347" spans="2:2" x14ac:dyDescent="0.25">
      <c r="B1347" s="11"/>
    </row>
    <row r="1348" spans="2:2" x14ac:dyDescent="0.25">
      <c r="B1348" s="11"/>
    </row>
    <row r="1349" spans="2:2" x14ac:dyDescent="0.25">
      <c r="B1349" s="11"/>
    </row>
    <row r="1350" spans="2:2" x14ac:dyDescent="0.25">
      <c r="B1350" s="11"/>
    </row>
    <row r="1351" spans="2:2" x14ac:dyDescent="0.25">
      <c r="B1351" s="11"/>
    </row>
    <row r="1352" spans="2:2" x14ac:dyDescent="0.25">
      <c r="B1352" s="11"/>
    </row>
    <row r="1353" spans="2:2" x14ac:dyDescent="0.25">
      <c r="B1353" s="11"/>
    </row>
    <row r="1354" spans="2:2" x14ac:dyDescent="0.25">
      <c r="B1354" s="11"/>
    </row>
    <row r="1355" spans="2:2" x14ac:dyDescent="0.25">
      <c r="B1355" s="11"/>
    </row>
    <row r="1356" spans="2:2" x14ac:dyDescent="0.25">
      <c r="B1356" s="11"/>
    </row>
    <row r="1357" spans="2:2" x14ac:dyDescent="0.25">
      <c r="B1357" s="11"/>
    </row>
    <row r="1358" spans="2:2" x14ac:dyDescent="0.25">
      <c r="B1358" s="11"/>
    </row>
    <row r="1359" spans="2:2" x14ac:dyDescent="0.25">
      <c r="B1359" s="11"/>
    </row>
    <row r="1360" spans="2:2" x14ac:dyDescent="0.25">
      <c r="B1360" s="11"/>
    </row>
    <row r="1361" spans="2:2" x14ac:dyDescent="0.25">
      <c r="B1361" s="11"/>
    </row>
    <row r="1362" spans="2:2" x14ac:dyDescent="0.25">
      <c r="B1362" s="11"/>
    </row>
    <row r="1363" spans="2:2" x14ac:dyDescent="0.25">
      <c r="B1363" s="11"/>
    </row>
    <row r="1364" spans="2:2" x14ac:dyDescent="0.25">
      <c r="B1364" s="11"/>
    </row>
    <row r="1365" spans="2:2" x14ac:dyDescent="0.25">
      <c r="B1365" s="11"/>
    </row>
    <row r="1366" spans="2:2" x14ac:dyDescent="0.25">
      <c r="B1366" s="11"/>
    </row>
    <row r="1367" spans="2:2" x14ac:dyDescent="0.25">
      <c r="B1367" s="11"/>
    </row>
    <row r="1368" spans="2:2" x14ac:dyDescent="0.25">
      <c r="B1368" s="11"/>
    </row>
    <row r="1369" spans="2:2" x14ac:dyDescent="0.25">
      <c r="B1369" s="11"/>
    </row>
    <row r="1370" spans="2:2" x14ac:dyDescent="0.25">
      <c r="B1370" s="11"/>
    </row>
    <row r="1371" spans="2:2" x14ac:dyDescent="0.25">
      <c r="B1371" s="11"/>
    </row>
    <row r="1372" spans="2:2" x14ac:dyDescent="0.25">
      <c r="B1372" s="11"/>
    </row>
    <row r="1373" spans="2:2" x14ac:dyDescent="0.25">
      <c r="B1373" s="11"/>
    </row>
    <row r="1374" spans="2:2" x14ac:dyDescent="0.25">
      <c r="B1374" s="11"/>
    </row>
    <row r="1375" spans="2:2" x14ac:dyDescent="0.25">
      <c r="B1375" s="11"/>
    </row>
    <row r="1376" spans="2:2" x14ac:dyDescent="0.25">
      <c r="B1376" s="11"/>
    </row>
    <row r="1377" spans="2:2" x14ac:dyDescent="0.25">
      <c r="B1377" s="11"/>
    </row>
    <row r="1378" spans="2:2" x14ac:dyDescent="0.25">
      <c r="B1378" s="11"/>
    </row>
    <row r="1379" spans="2:2" x14ac:dyDescent="0.25">
      <c r="B1379" s="11"/>
    </row>
    <row r="1380" spans="2:2" x14ac:dyDescent="0.25">
      <c r="B1380" s="11"/>
    </row>
    <row r="1381" spans="2:2" x14ac:dyDescent="0.25">
      <c r="B1381" s="11"/>
    </row>
    <row r="1382" spans="2:2" x14ac:dyDescent="0.25">
      <c r="B1382" s="11"/>
    </row>
    <row r="1383" spans="2:2" x14ac:dyDescent="0.25">
      <c r="B1383" s="11"/>
    </row>
    <row r="1384" spans="2:2" x14ac:dyDescent="0.25">
      <c r="B1384" s="11"/>
    </row>
    <row r="1385" spans="2:2" x14ac:dyDescent="0.25">
      <c r="B1385" s="11"/>
    </row>
    <row r="1386" spans="2:2" x14ac:dyDescent="0.25">
      <c r="B1386" s="11"/>
    </row>
    <row r="1387" spans="2:2" x14ac:dyDescent="0.25">
      <c r="B1387" s="11"/>
    </row>
    <row r="1388" spans="2:2" x14ac:dyDescent="0.25">
      <c r="B1388" s="11"/>
    </row>
    <row r="1389" spans="2:2" x14ac:dyDescent="0.25">
      <c r="B1389" s="11"/>
    </row>
    <row r="1390" spans="2:2" x14ac:dyDescent="0.25">
      <c r="B1390" s="11"/>
    </row>
    <row r="1391" spans="2:2" x14ac:dyDescent="0.25">
      <c r="B1391" s="11"/>
    </row>
    <row r="1392" spans="2:2" x14ac:dyDescent="0.25">
      <c r="B1392" s="11"/>
    </row>
    <row r="1393" spans="2:2" x14ac:dyDescent="0.25">
      <c r="B1393" s="11"/>
    </row>
    <row r="1394" spans="2:2" x14ac:dyDescent="0.25">
      <c r="B1394" s="11"/>
    </row>
    <row r="1395" spans="2:2" x14ac:dyDescent="0.25">
      <c r="B1395" s="11"/>
    </row>
    <row r="1396" spans="2:2" x14ac:dyDescent="0.25">
      <c r="B1396" s="11"/>
    </row>
    <row r="1397" spans="2:2" x14ac:dyDescent="0.25">
      <c r="B1397" s="11"/>
    </row>
    <row r="1398" spans="2:2" x14ac:dyDescent="0.25">
      <c r="B1398" s="11"/>
    </row>
    <row r="1399" spans="2:2" x14ac:dyDescent="0.25">
      <c r="B1399" s="11"/>
    </row>
    <row r="1400" spans="2:2" x14ac:dyDescent="0.25">
      <c r="B1400" s="11"/>
    </row>
    <row r="1401" spans="2:2" x14ac:dyDescent="0.25">
      <c r="B1401" s="11"/>
    </row>
    <row r="1402" spans="2:2" x14ac:dyDescent="0.25">
      <c r="B1402" s="11"/>
    </row>
    <row r="1403" spans="2:2" x14ac:dyDescent="0.25">
      <c r="B1403" s="11"/>
    </row>
    <row r="1404" spans="2:2" x14ac:dyDescent="0.25">
      <c r="B1404" s="11"/>
    </row>
    <row r="1405" spans="2:2" x14ac:dyDescent="0.25">
      <c r="B1405" s="11"/>
    </row>
    <row r="1406" spans="2:2" x14ac:dyDescent="0.25">
      <c r="B1406" s="11"/>
    </row>
    <row r="1407" spans="2:2" x14ac:dyDescent="0.25">
      <c r="B1407" s="11"/>
    </row>
    <row r="1408" spans="2:2" x14ac:dyDescent="0.25">
      <c r="B1408" s="11"/>
    </row>
    <row r="1409" spans="2:2" x14ac:dyDescent="0.25">
      <c r="B1409" s="11"/>
    </row>
    <row r="1410" spans="2:2" x14ac:dyDescent="0.25">
      <c r="B1410" s="11"/>
    </row>
    <row r="1411" spans="2:2" x14ac:dyDescent="0.25">
      <c r="B1411" s="11"/>
    </row>
    <row r="1412" spans="2:2" x14ac:dyDescent="0.25">
      <c r="B1412" s="11"/>
    </row>
    <row r="1413" spans="2:2" x14ac:dyDescent="0.25">
      <c r="B1413" s="11"/>
    </row>
    <row r="1414" spans="2:2" x14ac:dyDescent="0.25">
      <c r="B1414" s="11"/>
    </row>
    <row r="1415" spans="2:2" x14ac:dyDescent="0.25">
      <c r="B1415" s="11"/>
    </row>
    <row r="1416" spans="2:2" x14ac:dyDescent="0.25">
      <c r="B1416" s="11"/>
    </row>
    <row r="1417" spans="2:2" x14ac:dyDescent="0.25">
      <c r="B1417" s="11"/>
    </row>
    <row r="1418" spans="2:2" x14ac:dyDescent="0.25">
      <c r="B1418" s="11"/>
    </row>
    <row r="1419" spans="2:2" x14ac:dyDescent="0.25">
      <c r="B1419" s="11"/>
    </row>
    <row r="1420" spans="2:2" x14ac:dyDescent="0.25">
      <c r="B1420" s="11"/>
    </row>
    <row r="1421" spans="2:2" x14ac:dyDescent="0.25">
      <c r="B1421" s="11"/>
    </row>
    <row r="1422" spans="2:2" x14ac:dyDescent="0.25">
      <c r="B1422" s="11"/>
    </row>
    <row r="1423" spans="2:2" x14ac:dyDescent="0.25">
      <c r="B1423" s="11"/>
    </row>
    <row r="1424" spans="2:2" x14ac:dyDescent="0.25">
      <c r="B1424" s="11"/>
    </row>
    <row r="1425" spans="2:2" x14ac:dyDescent="0.25">
      <c r="B1425" s="11"/>
    </row>
    <row r="1426" spans="2:2" x14ac:dyDescent="0.25">
      <c r="B1426" s="11"/>
    </row>
    <row r="1427" spans="2:2" x14ac:dyDescent="0.25">
      <c r="B1427" s="11"/>
    </row>
    <row r="1428" spans="2:2" x14ac:dyDescent="0.25">
      <c r="B1428" s="11"/>
    </row>
    <row r="1429" spans="2:2" x14ac:dyDescent="0.25">
      <c r="B1429" s="11"/>
    </row>
    <row r="1430" spans="2:2" x14ac:dyDescent="0.25">
      <c r="B1430" s="11"/>
    </row>
    <row r="1431" spans="2:2" x14ac:dyDescent="0.25">
      <c r="B1431" s="11"/>
    </row>
    <row r="1432" spans="2:2" x14ac:dyDescent="0.25">
      <c r="B1432" s="11"/>
    </row>
    <row r="1433" spans="2:2" x14ac:dyDescent="0.25">
      <c r="B1433" s="11"/>
    </row>
    <row r="1434" spans="2:2" x14ac:dyDescent="0.25">
      <c r="B1434" s="11"/>
    </row>
    <row r="1435" spans="2:2" x14ac:dyDescent="0.25">
      <c r="B1435" s="11"/>
    </row>
    <row r="1436" spans="2:2" x14ac:dyDescent="0.25">
      <c r="B1436" s="11"/>
    </row>
    <row r="1437" spans="2:2" x14ac:dyDescent="0.25">
      <c r="B1437" s="11"/>
    </row>
    <row r="1438" spans="2:2" x14ac:dyDescent="0.25">
      <c r="B1438" s="11"/>
    </row>
    <row r="1439" spans="2:2" x14ac:dyDescent="0.25">
      <c r="B1439" s="11"/>
    </row>
    <row r="1440" spans="2:2" x14ac:dyDescent="0.25">
      <c r="B1440" s="11"/>
    </row>
    <row r="1441" spans="2:2" x14ac:dyDescent="0.25">
      <c r="B1441" s="11"/>
    </row>
    <row r="1442" spans="2:2" x14ac:dyDescent="0.25">
      <c r="B1442" s="11"/>
    </row>
    <row r="1443" spans="2:2" x14ac:dyDescent="0.25">
      <c r="B1443" s="11"/>
    </row>
    <row r="1444" spans="2:2" x14ac:dyDescent="0.25">
      <c r="B1444" s="11"/>
    </row>
    <row r="1445" spans="2:2" x14ac:dyDescent="0.25">
      <c r="B1445" s="11"/>
    </row>
    <row r="1446" spans="2:2" x14ac:dyDescent="0.25">
      <c r="B1446" s="11"/>
    </row>
    <row r="1447" spans="2:2" x14ac:dyDescent="0.25">
      <c r="B1447" s="11"/>
    </row>
    <row r="1448" spans="2:2" x14ac:dyDescent="0.25">
      <c r="B1448" s="11"/>
    </row>
    <row r="1449" spans="2:2" x14ac:dyDescent="0.25">
      <c r="B1449" s="11"/>
    </row>
    <row r="1450" spans="2:2" x14ac:dyDescent="0.25">
      <c r="B1450" s="11"/>
    </row>
    <row r="1451" spans="2:2" x14ac:dyDescent="0.25">
      <c r="B1451" s="11"/>
    </row>
    <row r="1452" spans="2:2" x14ac:dyDescent="0.25">
      <c r="B1452" s="11"/>
    </row>
    <row r="1453" spans="2:2" x14ac:dyDescent="0.25">
      <c r="B1453" s="11"/>
    </row>
    <row r="1454" spans="2:2" x14ac:dyDescent="0.25">
      <c r="B1454" s="11"/>
    </row>
    <row r="1455" spans="2:2" x14ac:dyDescent="0.25">
      <c r="B1455" s="11"/>
    </row>
    <row r="1456" spans="2:2" x14ac:dyDescent="0.25">
      <c r="B1456" s="11"/>
    </row>
    <row r="1457" spans="2:2" x14ac:dyDescent="0.25">
      <c r="B1457" s="11"/>
    </row>
    <row r="1458" spans="2:2" x14ac:dyDescent="0.25">
      <c r="B1458" s="11"/>
    </row>
    <row r="1459" spans="2:2" x14ac:dyDescent="0.25">
      <c r="B1459" s="11"/>
    </row>
    <row r="1460" spans="2:2" x14ac:dyDescent="0.25">
      <c r="B1460" s="11"/>
    </row>
    <row r="1461" spans="2:2" x14ac:dyDescent="0.25">
      <c r="B1461" s="11"/>
    </row>
    <row r="1462" spans="2:2" x14ac:dyDescent="0.25">
      <c r="B1462" s="11"/>
    </row>
    <row r="1463" spans="2:2" x14ac:dyDescent="0.25">
      <c r="B1463" s="11"/>
    </row>
    <row r="1464" spans="2:2" x14ac:dyDescent="0.25">
      <c r="B1464" s="11"/>
    </row>
    <row r="1465" spans="2:2" x14ac:dyDescent="0.25">
      <c r="B1465" s="11"/>
    </row>
    <row r="1466" spans="2:2" x14ac:dyDescent="0.25">
      <c r="B1466" s="11"/>
    </row>
    <row r="1467" spans="2:2" x14ac:dyDescent="0.25">
      <c r="B1467" s="11"/>
    </row>
    <row r="1468" spans="2:2" x14ac:dyDescent="0.25">
      <c r="B1468" s="11"/>
    </row>
    <row r="1469" spans="2:2" x14ac:dyDescent="0.25">
      <c r="B1469" s="11"/>
    </row>
    <row r="1470" spans="2:2" x14ac:dyDescent="0.25">
      <c r="B1470" s="11"/>
    </row>
    <row r="1471" spans="2:2" x14ac:dyDescent="0.25">
      <c r="B1471" s="11"/>
    </row>
    <row r="1472" spans="2:2" x14ac:dyDescent="0.25">
      <c r="B1472" s="11"/>
    </row>
    <row r="1473" spans="2:2" x14ac:dyDescent="0.25">
      <c r="B1473" s="11"/>
    </row>
    <row r="1474" spans="2:2" x14ac:dyDescent="0.25">
      <c r="B1474" s="11"/>
    </row>
    <row r="1475" spans="2:2" x14ac:dyDescent="0.25">
      <c r="B1475" s="11"/>
    </row>
    <row r="1476" spans="2:2" x14ac:dyDescent="0.25">
      <c r="B1476" s="11"/>
    </row>
    <row r="1477" spans="2:2" x14ac:dyDescent="0.25">
      <c r="B1477" s="11"/>
    </row>
    <row r="1478" spans="2:2" x14ac:dyDescent="0.25">
      <c r="B1478" s="11"/>
    </row>
    <row r="1479" spans="2:2" x14ac:dyDescent="0.25">
      <c r="B1479" s="11"/>
    </row>
    <row r="1480" spans="2:2" x14ac:dyDescent="0.25">
      <c r="B1480" s="11"/>
    </row>
    <row r="1481" spans="2:2" x14ac:dyDescent="0.25">
      <c r="B1481" s="11"/>
    </row>
    <row r="1482" spans="2:2" x14ac:dyDescent="0.25">
      <c r="B1482" s="11"/>
    </row>
    <row r="1483" spans="2:2" x14ac:dyDescent="0.25">
      <c r="B1483" s="11"/>
    </row>
    <row r="1484" spans="2:2" x14ac:dyDescent="0.25">
      <c r="B1484" s="11"/>
    </row>
    <row r="1485" spans="2:2" x14ac:dyDescent="0.25">
      <c r="B1485" s="11"/>
    </row>
    <row r="1486" spans="2:2" x14ac:dyDescent="0.25">
      <c r="B1486" s="11"/>
    </row>
    <row r="1487" spans="2:2" x14ac:dyDescent="0.25">
      <c r="B1487" s="11"/>
    </row>
    <row r="1488" spans="2:2" x14ac:dyDescent="0.25">
      <c r="B1488" s="11"/>
    </row>
    <row r="1489" spans="2:2" x14ac:dyDescent="0.25">
      <c r="B1489" s="11"/>
    </row>
    <row r="1490" spans="2:2" x14ac:dyDescent="0.25">
      <c r="B1490" s="11"/>
    </row>
    <row r="1491" spans="2:2" x14ac:dyDescent="0.25">
      <c r="B1491" s="11"/>
    </row>
    <row r="1492" spans="2:2" x14ac:dyDescent="0.25">
      <c r="B1492" s="11"/>
    </row>
    <row r="1493" spans="2:2" x14ac:dyDescent="0.25">
      <c r="B1493" s="11"/>
    </row>
    <row r="1494" spans="2:2" x14ac:dyDescent="0.25">
      <c r="B1494" s="11"/>
    </row>
    <row r="1495" spans="2:2" x14ac:dyDescent="0.25">
      <c r="B1495" s="11"/>
    </row>
    <row r="1496" spans="2:2" x14ac:dyDescent="0.25">
      <c r="B1496" s="11"/>
    </row>
    <row r="1497" spans="2:2" x14ac:dyDescent="0.25">
      <c r="B1497" s="11"/>
    </row>
    <row r="1498" spans="2:2" x14ac:dyDescent="0.25">
      <c r="B1498" s="11"/>
    </row>
    <row r="1499" spans="2:2" x14ac:dyDescent="0.25">
      <c r="B1499" s="11"/>
    </row>
    <row r="1500" spans="2:2" x14ac:dyDescent="0.25">
      <c r="B1500" s="11"/>
    </row>
    <row r="1501" spans="2:2" x14ac:dyDescent="0.25">
      <c r="B1501" s="11"/>
    </row>
    <row r="1502" spans="2:2" x14ac:dyDescent="0.25">
      <c r="B1502" s="11"/>
    </row>
    <row r="1503" spans="2:2" x14ac:dyDescent="0.25">
      <c r="B1503" s="11"/>
    </row>
    <row r="1504" spans="2:2" x14ac:dyDescent="0.25">
      <c r="B1504" s="11"/>
    </row>
    <row r="1505" spans="2:2" x14ac:dyDescent="0.25">
      <c r="B1505" s="11"/>
    </row>
    <row r="1506" spans="2:2" x14ac:dyDescent="0.25">
      <c r="B1506" s="11"/>
    </row>
    <row r="1507" spans="2:2" x14ac:dyDescent="0.25">
      <c r="B1507" s="11"/>
    </row>
    <row r="1508" spans="2:2" x14ac:dyDescent="0.25">
      <c r="B1508" s="11"/>
    </row>
    <row r="1509" spans="2:2" x14ac:dyDescent="0.25">
      <c r="B1509" s="11"/>
    </row>
    <row r="1510" spans="2:2" x14ac:dyDescent="0.25">
      <c r="B1510" s="11"/>
    </row>
    <row r="1511" spans="2:2" x14ac:dyDescent="0.25">
      <c r="B1511" s="11"/>
    </row>
    <row r="1512" spans="2:2" x14ac:dyDescent="0.25">
      <c r="B1512" s="11"/>
    </row>
    <row r="1513" spans="2:2" x14ac:dyDescent="0.25">
      <c r="B1513" s="11"/>
    </row>
    <row r="1514" spans="2:2" x14ac:dyDescent="0.25">
      <c r="B1514" s="11"/>
    </row>
    <row r="1515" spans="2:2" x14ac:dyDescent="0.25">
      <c r="B1515" s="11"/>
    </row>
    <row r="1516" spans="2:2" x14ac:dyDescent="0.25">
      <c r="B1516" s="11"/>
    </row>
    <row r="1517" spans="2:2" x14ac:dyDescent="0.25">
      <c r="B1517" s="11"/>
    </row>
    <row r="1518" spans="2:2" x14ac:dyDescent="0.25">
      <c r="B1518" s="11"/>
    </row>
    <row r="1519" spans="2:2" x14ac:dyDescent="0.25">
      <c r="B1519" s="11"/>
    </row>
    <row r="1520" spans="2:2" x14ac:dyDescent="0.25">
      <c r="B1520" s="11"/>
    </row>
    <row r="1521" spans="2:2" x14ac:dyDescent="0.25">
      <c r="B1521" s="11"/>
    </row>
    <row r="1522" spans="2:2" x14ac:dyDescent="0.25">
      <c r="B1522" s="11"/>
    </row>
    <row r="1523" spans="2:2" x14ac:dyDescent="0.25">
      <c r="B1523" s="11"/>
    </row>
    <row r="1524" spans="2:2" x14ac:dyDescent="0.25">
      <c r="B1524" s="11"/>
    </row>
    <row r="1525" spans="2:2" x14ac:dyDescent="0.25">
      <c r="B1525" s="11"/>
    </row>
    <row r="1526" spans="2:2" x14ac:dyDescent="0.25">
      <c r="B1526" s="11"/>
    </row>
    <row r="1527" spans="2:2" x14ac:dyDescent="0.25">
      <c r="B1527" s="11"/>
    </row>
    <row r="1528" spans="2:2" x14ac:dyDescent="0.25">
      <c r="B1528" s="11"/>
    </row>
    <row r="1529" spans="2:2" x14ac:dyDescent="0.25">
      <c r="B1529" s="11"/>
    </row>
    <row r="1530" spans="2:2" x14ac:dyDescent="0.25">
      <c r="B1530" s="11"/>
    </row>
    <row r="1531" spans="2:2" x14ac:dyDescent="0.25">
      <c r="B1531" s="11"/>
    </row>
    <row r="1532" spans="2:2" x14ac:dyDescent="0.25">
      <c r="B1532" s="11"/>
    </row>
    <row r="1533" spans="2:2" x14ac:dyDescent="0.25">
      <c r="B1533" s="11"/>
    </row>
    <row r="1534" spans="2:2" x14ac:dyDescent="0.25">
      <c r="B1534" s="11"/>
    </row>
    <row r="1535" spans="2:2" x14ac:dyDescent="0.25">
      <c r="B1535" s="11"/>
    </row>
    <row r="1536" spans="2:2" x14ac:dyDescent="0.25">
      <c r="B1536" s="11"/>
    </row>
    <row r="1537" spans="2:2" x14ac:dyDescent="0.25">
      <c r="B1537" s="11"/>
    </row>
    <row r="1538" spans="2:2" x14ac:dyDescent="0.25">
      <c r="B1538" s="11"/>
    </row>
    <row r="1539" spans="2:2" x14ac:dyDescent="0.25">
      <c r="B1539" s="11"/>
    </row>
    <row r="1540" spans="2:2" x14ac:dyDescent="0.25">
      <c r="B1540" s="11"/>
    </row>
    <row r="1541" spans="2:2" x14ac:dyDescent="0.25">
      <c r="B1541" s="11"/>
    </row>
    <row r="1542" spans="2:2" x14ac:dyDescent="0.25">
      <c r="B1542" s="11"/>
    </row>
    <row r="1543" spans="2:2" x14ac:dyDescent="0.25">
      <c r="B1543" s="11"/>
    </row>
    <row r="1544" spans="2:2" x14ac:dyDescent="0.25">
      <c r="B1544" s="11"/>
    </row>
    <row r="1545" spans="2:2" x14ac:dyDescent="0.25">
      <c r="B1545" s="11"/>
    </row>
    <row r="1546" spans="2:2" x14ac:dyDescent="0.25">
      <c r="B1546" s="11"/>
    </row>
    <row r="1547" spans="2:2" x14ac:dyDescent="0.25">
      <c r="B1547" s="11"/>
    </row>
    <row r="1548" spans="2:2" x14ac:dyDescent="0.25">
      <c r="B1548" s="11"/>
    </row>
    <row r="1549" spans="2:2" x14ac:dyDescent="0.25">
      <c r="B1549" s="11"/>
    </row>
    <row r="1550" spans="2:2" x14ac:dyDescent="0.25">
      <c r="B1550" s="11"/>
    </row>
    <row r="1551" spans="2:2" x14ac:dyDescent="0.25">
      <c r="B1551" s="11"/>
    </row>
    <row r="1552" spans="2:2" x14ac:dyDescent="0.25">
      <c r="B1552" s="11"/>
    </row>
    <row r="1553" spans="2:2" x14ac:dyDescent="0.25">
      <c r="B1553" s="11"/>
    </row>
    <row r="1554" spans="2:2" x14ac:dyDescent="0.25">
      <c r="B1554" s="11"/>
    </row>
    <row r="1555" spans="2:2" x14ac:dyDescent="0.25">
      <c r="B1555" s="11"/>
    </row>
    <row r="1556" spans="2:2" x14ac:dyDescent="0.25">
      <c r="B1556" s="11"/>
    </row>
    <row r="1557" spans="2:2" x14ac:dyDescent="0.25">
      <c r="B1557" s="11"/>
    </row>
    <row r="1558" spans="2:2" x14ac:dyDescent="0.25">
      <c r="B1558" s="11"/>
    </row>
    <row r="1559" spans="2:2" x14ac:dyDescent="0.25">
      <c r="B1559" s="11"/>
    </row>
    <row r="1560" spans="2:2" x14ac:dyDescent="0.25">
      <c r="B1560" s="11"/>
    </row>
    <row r="1561" spans="2:2" x14ac:dyDescent="0.25">
      <c r="B1561" s="11"/>
    </row>
    <row r="1562" spans="2:2" x14ac:dyDescent="0.25">
      <c r="B1562" s="11"/>
    </row>
    <row r="1563" spans="2:2" x14ac:dyDescent="0.25">
      <c r="B1563" s="11"/>
    </row>
    <row r="1564" spans="2:2" x14ac:dyDescent="0.25">
      <c r="B1564" s="11"/>
    </row>
    <row r="1565" spans="2:2" x14ac:dyDescent="0.25">
      <c r="B1565" s="11"/>
    </row>
    <row r="1566" spans="2:2" x14ac:dyDescent="0.25">
      <c r="B1566" s="11"/>
    </row>
    <row r="1567" spans="2:2" x14ac:dyDescent="0.25">
      <c r="B1567" s="11"/>
    </row>
    <row r="1568" spans="2:2" x14ac:dyDescent="0.25">
      <c r="B1568" s="11"/>
    </row>
    <row r="1569" spans="2:2" x14ac:dyDescent="0.25">
      <c r="B1569" s="11"/>
    </row>
    <row r="1570" spans="2:2" x14ac:dyDescent="0.25">
      <c r="B1570" s="11"/>
    </row>
    <row r="1571" spans="2:2" x14ac:dyDescent="0.25">
      <c r="B1571" s="11"/>
    </row>
    <row r="1572" spans="2:2" x14ac:dyDescent="0.25">
      <c r="B1572" s="11"/>
    </row>
    <row r="1573" spans="2:2" x14ac:dyDescent="0.25">
      <c r="B1573" s="11"/>
    </row>
    <row r="1574" spans="2:2" x14ac:dyDescent="0.25">
      <c r="B1574" s="11"/>
    </row>
    <row r="1575" spans="2:2" x14ac:dyDescent="0.25">
      <c r="B1575" s="11"/>
    </row>
    <row r="1576" spans="2:2" x14ac:dyDescent="0.25">
      <c r="B1576" s="11"/>
    </row>
    <row r="1577" spans="2:2" x14ac:dyDescent="0.25">
      <c r="B1577" s="11"/>
    </row>
    <row r="1578" spans="2:2" x14ac:dyDescent="0.25">
      <c r="B1578" s="11"/>
    </row>
    <row r="1579" spans="2:2" x14ac:dyDescent="0.25">
      <c r="B1579" s="11"/>
    </row>
    <row r="1580" spans="2:2" x14ac:dyDescent="0.25">
      <c r="B1580" s="11"/>
    </row>
    <row r="1581" spans="2:2" x14ac:dyDescent="0.25">
      <c r="B1581" s="11"/>
    </row>
    <row r="1582" spans="2:2" x14ac:dyDescent="0.25">
      <c r="B1582" s="11"/>
    </row>
    <row r="1583" spans="2:2" x14ac:dyDescent="0.25">
      <c r="B1583" s="11"/>
    </row>
    <row r="1584" spans="2:2" x14ac:dyDescent="0.25">
      <c r="B1584" s="11"/>
    </row>
    <row r="1585" spans="2:2" x14ac:dyDescent="0.25">
      <c r="B1585" s="11"/>
    </row>
    <row r="1586" spans="2:2" x14ac:dyDescent="0.25">
      <c r="B1586" s="11"/>
    </row>
    <row r="1587" spans="2:2" x14ac:dyDescent="0.25">
      <c r="B1587" s="11"/>
    </row>
    <row r="1588" spans="2:2" x14ac:dyDescent="0.25">
      <c r="B1588" s="11"/>
    </row>
    <row r="1589" spans="2:2" x14ac:dyDescent="0.25">
      <c r="B1589" s="11"/>
    </row>
    <row r="1590" spans="2:2" x14ac:dyDescent="0.25">
      <c r="B1590" s="11"/>
    </row>
    <row r="1591" spans="2:2" x14ac:dyDescent="0.25">
      <c r="B1591" s="11"/>
    </row>
    <row r="1592" spans="2:2" x14ac:dyDescent="0.25">
      <c r="B1592" s="11"/>
    </row>
    <row r="1593" spans="2:2" x14ac:dyDescent="0.25">
      <c r="B1593" s="11"/>
    </row>
    <row r="1594" spans="2:2" x14ac:dyDescent="0.25">
      <c r="B1594" s="11"/>
    </row>
    <row r="1595" spans="2:2" x14ac:dyDescent="0.25">
      <c r="B1595" s="11"/>
    </row>
    <row r="1596" spans="2:2" x14ac:dyDescent="0.25">
      <c r="B1596" s="11"/>
    </row>
    <row r="1597" spans="2:2" x14ac:dyDescent="0.25">
      <c r="B1597" s="11"/>
    </row>
    <row r="1598" spans="2:2" x14ac:dyDescent="0.25">
      <c r="B1598" s="11"/>
    </row>
    <row r="1599" spans="2:2" x14ac:dyDescent="0.25">
      <c r="B1599" s="11"/>
    </row>
    <row r="1600" spans="2:2" x14ac:dyDescent="0.25">
      <c r="B1600" s="11"/>
    </row>
    <row r="1601" spans="2:2" x14ac:dyDescent="0.25">
      <c r="B1601" s="11"/>
    </row>
    <row r="1602" spans="2:2" x14ac:dyDescent="0.25">
      <c r="B1602" s="11"/>
    </row>
    <row r="1603" spans="2:2" x14ac:dyDescent="0.25">
      <c r="B1603" s="11"/>
    </row>
    <row r="1604" spans="2:2" x14ac:dyDescent="0.25">
      <c r="B1604" s="11"/>
    </row>
    <row r="1605" spans="2:2" x14ac:dyDescent="0.25">
      <c r="B1605" s="11"/>
    </row>
    <row r="1606" spans="2:2" x14ac:dyDescent="0.25">
      <c r="B1606" s="11"/>
    </row>
    <row r="1607" spans="2:2" x14ac:dyDescent="0.25">
      <c r="B1607" s="11"/>
    </row>
    <row r="1608" spans="2:2" x14ac:dyDescent="0.25">
      <c r="B1608" s="11"/>
    </row>
    <row r="1609" spans="2:2" x14ac:dyDescent="0.25">
      <c r="B1609" s="11"/>
    </row>
    <row r="1610" spans="2:2" x14ac:dyDescent="0.25">
      <c r="B1610" s="11"/>
    </row>
    <row r="1611" spans="2:2" x14ac:dyDescent="0.25">
      <c r="B1611" s="11"/>
    </row>
    <row r="1612" spans="2:2" x14ac:dyDescent="0.25">
      <c r="B1612" s="11"/>
    </row>
    <row r="1613" spans="2:2" x14ac:dyDescent="0.25">
      <c r="B1613" s="11"/>
    </row>
    <row r="1614" spans="2:2" x14ac:dyDescent="0.25">
      <c r="B1614" s="11"/>
    </row>
    <row r="1615" spans="2:2" x14ac:dyDescent="0.25">
      <c r="B1615" s="11"/>
    </row>
    <row r="1616" spans="2:2" x14ac:dyDescent="0.25">
      <c r="B1616" s="11"/>
    </row>
    <row r="1617" spans="2:2" x14ac:dyDescent="0.25">
      <c r="B1617" s="11"/>
    </row>
    <row r="1618" spans="2:2" x14ac:dyDescent="0.25">
      <c r="B1618" s="11"/>
    </row>
    <row r="1619" spans="2:2" x14ac:dyDescent="0.25">
      <c r="B1619" s="11"/>
    </row>
    <row r="1620" spans="2:2" x14ac:dyDescent="0.25">
      <c r="B1620" s="11"/>
    </row>
    <row r="1621" spans="2:2" x14ac:dyDescent="0.25">
      <c r="B1621" s="11"/>
    </row>
    <row r="1622" spans="2:2" x14ac:dyDescent="0.25">
      <c r="B1622" s="11"/>
    </row>
    <row r="1623" spans="2:2" x14ac:dyDescent="0.25">
      <c r="B1623" s="11"/>
    </row>
    <row r="1624" spans="2:2" x14ac:dyDescent="0.25">
      <c r="B1624" s="11"/>
    </row>
    <row r="1625" spans="2:2" x14ac:dyDescent="0.25">
      <c r="B1625" s="11"/>
    </row>
    <row r="1626" spans="2:2" x14ac:dyDescent="0.25">
      <c r="B1626" s="11"/>
    </row>
    <row r="1627" spans="2:2" x14ac:dyDescent="0.25">
      <c r="B1627" s="11"/>
    </row>
    <row r="1628" spans="2:2" x14ac:dyDescent="0.25">
      <c r="B1628" s="11"/>
    </row>
    <row r="1629" spans="2:2" x14ac:dyDescent="0.25">
      <c r="B1629" s="11"/>
    </row>
    <row r="1630" spans="2:2" x14ac:dyDescent="0.25">
      <c r="B1630" s="11"/>
    </row>
    <row r="1631" spans="2:2" x14ac:dyDescent="0.25">
      <c r="B1631" s="11"/>
    </row>
    <row r="1632" spans="2:2" x14ac:dyDescent="0.25">
      <c r="B1632" s="11"/>
    </row>
    <row r="1633" spans="2:2" x14ac:dyDescent="0.25">
      <c r="B1633" s="11"/>
    </row>
    <row r="1634" spans="2:2" x14ac:dyDescent="0.25">
      <c r="B1634" s="11"/>
    </row>
    <row r="1635" spans="2:2" x14ac:dyDescent="0.25">
      <c r="B1635" s="11"/>
    </row>
    <row r="1636" spans="2:2" x14ac:dyDescent="0.25">
      <c r="B1636" s="11"/>
    </row>
    <row r="1637" spans="2:2" x14ac:dyDescent="0.25">
      <c r="B1637" s="11"/>
    </row>
    <row r="1638" spans="2:2" x14ac:dyDescent="0.25">
      <c r="B1638" s="11"/>
    </row>
    <row r="1639" spans="2:2" x14ac:dyDescent="0.25">
      <c r="B1639" s="11"/>
    </row>
    <row r="1640" spans="2:2" x14ac:dyDescent="0.25">
      <c r="B1640" s="11"/>
    </row>
    <row r="1641" spans="2:2" x14ac:dyDescent="0.25">
      <c r="B1641" s="11"/>
    </row>
    <row r="1642" spans="2:2" x14ac:dyDescent="0.25">
      <c r="B1642" s="11"/>
    </row>
    <row r="1643" spans="2:2" x14ac:dyDescent="0.25">
      <c r="B1643" s="11"/>
    </row>
    <row r="1644" spans="2:2" x14ac:dyDescent="0.25">
      <c r="B1644" s="11"/>
    </row>
    <row r="1645" spans="2:2" x14ac:dyDescent="0.25">
      <c r="B1645" s="11"/>
    </row>
    <row r="1646" spans="2:2" x14ac:dyDescent="0.25">
      <c r="B1646" s="11"/>
    </row>
    <row r="1647" spans="2:2" x14ac:dyDescent="0.25">
      <c r="B1647" s="11"/>
    </row>
    <row r="1648" spans="2:2" x14ac:dyDescent="0.25">
      <c r="B1648" s="11"/>
    </row>
    <row r="1649" spans="2:2" x14ac:dyDescent="0.25">
      <c r="B1649" s="11"/>
    </row>
    <row r="1650" spans="2:2" x14ac:dyDescent="0.25">
      <c r="B1650" s="11"/>
    </row>
    <row r="1651" spans="2:2" x14ac:dyDescent="0.25">
      <c r="B1651" s="11"/>
    </row>
    <row r="1652" spans="2:2" x14ac:dyDescent="0.25">
      <c r="B1652" s="11"/>
    </row>
    <row r="1653" spans="2:2" x14ac:dyDescent="0.25">
      <c r="B1653" s="11"/>
    </row>
    <row r="1654" spans="2:2" x14ac:dyDescent="0.25">
      <c r="B1654" s="11"/>
    </row>
    <row r="1655" spans="2:2" x14ac:dyDescent="0.25">
      <c r="B1655" s="11"/>
    </row>
    <row r="1656" spans="2:2" x14ac:dyDescent="0.25">
      <c r="B1656" s="11"/>
    </row>
    <row r="1657" spans="2:2" x14ac:dyDescent="0.25">
      <c r="B1657" s="11"/>
    </row>
    <row r="1658" spans="2:2" x14ac:dyDescent="0.25">
      <c r="B1658" s="11"/>
    </row>
    <row r="1659" spans="2:2" x14ac:dyDescent="0.25">
      <c r="B1659" s="11"/>
    </row>
    <row r="1660" spans="2:2" x14ac:dyDescent="0.25">
      <c r="B1660" s="11"/>
    </row>
    <row r="1661" spans="2:2" x14ac:dyDescent="0.25">
      <c r="B1661" s="11"/>
    </row>
    <row r="1662" spans="2:2" x14ac:dyDescent="0.25">
      <c r="B1662" s="11"/>
    </row>
    <row r="1663" spans="2:2" x14ac:dyDescent="0.25">
      <c r="B1663" s="11"/>
    </row>
    <row r="1664" spans="2:2" x14ac:dyDescent="0.25">
      <c r="B1664" s="11"/>
    </row>
    <row r="1665" spans="2:2" x14ac:dyDescent="0.25">
      <c r="B1665" s="11"/>
    </row>
    <row r="1666" spans="2:2" x14ac:dyDescent="0.25">
      <c r="B1666" s="11"/>
    </row>
    <row r="1667" spans="2:2" x14ac:dyDescent="0.25">
      <c r="B1667" s="11"/>
    </row>
    <row r="1668" spans="2:2" x14ac:dyDescent="0.25">
      <c r="B1668" s="11"/>
    </row>
    <row r="1669" spans="2:2" x14ac:dyDescent="0.25">
      <c r="B1669" s="11"/>
    </row>
    <row r="1670" spans="2:2" x14ac:dyDescent="0.25">
      <c r="B1670" s="11"/>
    </row>
    <row r="1671" spans="2:2" x14ac:dyDescent="0.25">
      <c r="B1671" s="11"/>
    </row>
    <row r="1672" spans="2:2" x14ac:dyDescent="0.25">
      <c r="B1672" s="11"/>
    </row>
    <row r="1673" spans="2:2" x14ac:dyDescent="0.25">
      <c r="B1673" s="11"/>
    </row>
    <row r="1674" spans="2:2" x14ac:dyDescent="0.25">
      <c r="B1674" s="11"/>
    </row>
    <row r="1675" spans="2:2" x14ac:dyDescent="0.25">
      <c r="B1675" s="11"/>
    </row>
    <row r="1676" spans="2:2" x14ac:dyDescent="0.25">
      <c r="B1676" s="11"/>
    </row>
    <row r="1677" spans="2:2" x14ac:dyDescent="0.25">
      <c r="B1677" s="11"/>
    </row>
    <row r="1678" spans="2:2" x14ac:dyDescent="0.25">
      <c r="B1678" s="11"/>
    </row>
    <row r="1679" spans="2:2" x14ac:dyDescent="0.25">
      <c r="B1679" s="11"/>
    </row>
    <row r="1680" spans="2:2" x14ac:dyDescent="0.25">
      <c r="B1680" s="11"/>
    </row>
    <row r="1681" spans="2:2" x14ac:dyDescent="0.25">
      <c r="B1681" s="11"/>
    </row>
    <row r="1682" spans="2:2" x14ac:dyDescent="0.25">
      <c r="B1682" s="11"/>
    </row>
    <row r="1683" spans="2:2" x14ac:dyDescent="0.25">
      <c r="B1683" s="11"/>
    </row>
    <row r="1684" spans="2:2" x14ac:dyDescent="0.25">
      <c r="B1684" s="11"/>
    </row>
    <row r="1685" spans="2:2" x14ac:dyDescent="0.25">
      <c r="B1685" s="11"/>
    </row>
    <row r="1686" spans="2:2" x14ac:dyDescent="0.25">
      <c r="B1686" s="11"/>
    </row>
    <row r="1687" spans="2:2" x14ac:dyDescent="0.25">
      <c r="B1687" s="11"/>
    </row>
    <row r="1688" spans="2:2" x14ac:dyDescent="0.25">
      <c r="B1688" s="11"/>
    </row>
    <row r="1689" spans="2:2" x14ac:dyDescent="0.25">
      <c r="B1689" s="11"/>
    </row>
    <row r="1690" spans="2:2" x14ac:dyDescent="0.25">
      <c r="B1690" s="11"/>
    </row>
    <row r="1691" spans="2:2" x14ac:dyDescent="0.25">
      <c r="B1691" s="11"/>
    </row>
    <row r="1692" spans="2:2" x14ac:dyDescent="0.25">
      <c r="B1692" s="11"/>
    </row>
    <row r="1693" spans="2:2" x14ac:dyDescent="0.25">
      <c r="B1693" s="11"/>
    </row>
    <row r="1694" spans="2:2" x14ac:dyDescent="0.25">
      <c r="B1694" s="11"/>
    </row>
    <row r="1695" spans="2:2" x14ac:dyDescent="0.25">
      <c r="B1695" s="11"/>
    </row>
    <row r="1696" spans="2:2" x14ac:dyDescent="0.25">
      <c r="B1696" s="11"/>
    </row>
    <row r="1697" spans="2:2" x14ac:dyDescent="0.25">
      <c r="B1697" s="11"/>
    </row>
    <row r="1698" spans="2:2" x14ac:dyDescent="0.25">
      <c r="B1698" s="11"/>
    </row>
    <row r="1699" spans="2:2" x14ac:dyDescent="0.25">
      <c r="B1699" s="11"/>
    </row>
    <row r="1700" spans="2:2" x14ac:dyDescent="0.25">
      <c r="B1700" s="11"/>
    </row>
    <row r="1701" spans="2:2" x14ac:dyDescent="0.25">
      <c r="B1701" s="11"/>
    </row>
    <row r="1702" spans="2:2" x14ac:dyDescent="0.25">
      <c r="B1702" s="11"/>
    </row>
    <row r="1703" spans="2:2" x14ac:dyDescent="0.25">
      <c r="B1703" s="11"/>
    </row>
    <row r="1704" spans="2:2" x14ac:dyDescent="0.25">
      <c r="B1704" s="11"/>
    </row>
    <row r="1705" spans="2:2" x14ac:dyDescent="0.25">
      <c r="B1705" s="11"/>
    </row>
    <row r="1706" spans="2:2" x14ac:dyDescent="0.25">
      <c r="B1706" s="11"/>
    </row>
    <row r="1707" spans="2:2" x14ac:dyDescent="0.25">
      <c r="B1707" s="11"/>
    </row>
    <row r="1708" spans="2:2" x14ac:dyDescent="0.25">
      <c r="B1708" s="11"/>
    </row>
    <row r="1709" spans="2:2" x14ac:dyDescent="0.25">
      <c r="B1709" s="11"/>
    </row>
    <row r="1710" spans="2:2" x14ac:dyDescent="0.25">
      <c r="B1710" s="11"/>
    </row>
    <row r="1711" spans="2:2" x14ac:dyDescent="0.25">
      <c r="B1711" s="11"/>
    </row>
    <row r="1712" spans="2:2" x14ac:dyDescent="0.25">
      <c r="B1712" s="11"/>
    </row>
    <row r="1713" spans="2:2" x14ac:dyDescent="0.25">
      <c r="B1713" s="11"/>
    </row>
    <row r="1714" spans="2:2" x14ac:dyDescent="0.25">
      <c r="B1714" s="11"/>
    </row>
    <row r="1715" spans="2:2" x14ac:dyDescent="0.25">
      <c r="B1715" s="11"/>
    </row>
    <row r="1716" spans="2:2" x14ac:dyDescent="0.25">
      <c r="B1716" s="11"/>
    </row>
    <row r="1717" spans="2:2" x14ac:dyDescent="0.25">
      <c r="B1717" s="11"/>
    </row>
    <row r="1718" spans="2:2" x14ac:dyDescent="0.25">
      <c r="B1718" s="11"/>
    </row>
    <row r="1719" spans="2:2" x14ac:dyDescent="0.25">
      <c r="B1719" s="11"/>
    </row>
    <row r="1720" spans="2:2" x14ac:dyDescent="0.25">
      <c r="B1720" s="11"/>
    </row>
    <row r="1721" spans="2:2" x14ac:dyDescent="0.25">
      <c r="B1721" s="11"/>
    </row>
    <row r="1722" spans="2:2" x14ac:dyDescent="0.25">
      <c r="B1722" s="11"/>
    </row>
    <row r="1723" spans="2:2" x14ac:dyDescent="0.25">
      <c r="B1723" s="11"/>
    </row>
    <row r="1724" spans="2:2" x14ac:dyDescent="0.25">
      <c r="B1724" s="11"/>
    </row>
    <row r="1725" spans="2:2" x14ac:dyDescent="0.25">
      <c r="B1725" s="11"/>
    </row>
    <row r="1726" spans="2:2" x14ac:dyDescent="0.25">
      <c r="B1726" s="11"/>
    </row>
    <row r="1727" spans="2:2" x14ac:dyDescent="0.25">
      <c r="B1727" s="11"/>
    </row>
    <row r="1728" spans="2:2" x14ac:dyDescent="0.25">
      <c r="B1728" s="11"/>
    </row>
    <row r="1729" spans="2:2" x14ac:dyDescent="0.25">
      <c r="B1729" s="11"/>
    </row>
    <row r="1730" spans="2:2" x14ac:dyDescent="0.25">
      <c r="B1730" s="11"/>
    </row>
    <row r="1731" spans="2:2" x14ac:dyDescent="0.25">
      <c r="B1731" s="11"/>
    </row>
    <row r="1732" spans="2:2" x14ac:dyDescent="0.25">
      <c r="B1732" s="11"/>
    </row>
    <row r="1733" spans="2:2" x14ac:dyDescent="0.25">
      <c r="B1733" s="11"/>
    </row>
    <row r="1734" spans="2:2" x14ac:dyDescent="0.25">
      <c r="B1734" s="11"/>
    </row>
    <row r="1735" spans="2:2" x14ac:dyDescent="0.25">
      <c r="B1735" s="11"/>
    </row>
    <row r="1736" spans="2:2" x14ac:dyDescent="0.25">
      <c r="B1736" s="11"/>
    </row>
    <row r="1737" spans="2:2" x14ac:dyDescent="0.25">
      <c r="B1737" s="11"/>
    </row>
    <row r="1738" spans="2:2" x14ac:dyDescent="0.25">
      <c r="B1738" s="11"/>
    </row>
    <row r="1739" spans="2:2" x14ac:dyDescent="0.25">
      <c r="B1739" s="11"/>
    </row>
    <row r="1740" spans="2:2" x14ac:dyDescent="0.25">
      <c r="B1740" s="11"/>
    </row>
    <row r="1741" spans="2:2" x14ac:dyDescent="0.25">
      <c r="B1741" s="11"/>
    </row>
    <row r="1742" spans="2:2" x14ac:dyDescent="0.25">
      <c r="B1742" s="11"/>
    </row>
    <row r="1743" spans="2:2" x14ac:dyDescent="0.25">
      <c r="B1743" s="11"/>
    </row>
    <row r="1744" spans="2:2" x14ac:dyDescent="0.25">
      <c r="B1744" s="11"/>
    </row>
    <row r="1745" spans="2:2" x14ac:dyDescent="0.25">
      <c r="B1745" s="11"/>
    </row>
    <row r="1746" spans="2:2" x14ac:dyDescent="0.25">
      <c r="B1746" s="11"/>
    </row>
    <row r="1747" spans="2:2" x14ac:dyDescent="0.25">
      <c r="B1747" s="11"/>
    </row>
    <row r="1748" spans="2:2" x14ac:dyDescent="0.25">
      <c r="B1748" s="11"/>
    </row>
    <row r="1749" spans="2:2" x14ac:dyDescent="0.25">
      <c r="B1749" s="11"/>
    </row>
    <row r="1750" spans="2:2" x14ac:dyDescent="0.25">
      <c r="B1750" s="11"/>
    </row>
    <row r="1751" spans="2:2" x14ac:dyDescent="0.25">
      <c r="B1751" s="11"/>
    </row>
    <row r="1752" spans="2:2" x14ac:dyDescent="0.25">
      <c r="B1752" s="11"/>
    </row>
    <row r="1753" spans="2:2" x14ac:dyDescent="0.25">
      <c r="B1753" s="11"/>
    </row>
    <row r="1754" spans="2:2" x14ac:dyDescent="0.25">
      <c r="B1754" s="11"/>
    </row>
    <row r="1755" spans="2:2" x14ac:dyDescent="0.25">
      <c r="B1755" s="11"/>
    </row>
    <row r="1756" spans="2:2" x14ac:dyDescent="0.25">
      <c r="B1756" s="11"/>
    </row>
    <row r="1757" spans="2:2" x14ac:dyDescent="0.25">
      <c r="B1757" s="11"/>
    </row>
    <row r="1758" spans="2:2" x14ac:dyDescent="0.25">
      <c r="B1758" s="11"/>
    </row>
    <row r="1759" spans="2:2" x14ac:dyDescent="0.25">
      <c r="B1759" s="11"/>
    </row>
    <row r="1760" spans="2:2" x14ac:dyDescent="0.25">
      <c r="B1760" s="11"/>
    </row>
    <row r="1761" spans="2:2" x14ac:dyDescent="0.25">
      <c r="B1761" s="11"/>
    </row>
    <row r="1762" spans="2:2" x14ac:dyDescent="0.25">
      <c r="B1762" s="11"/>
    </row>
    <row r="1763" spans="2:2" x14ac:dyDescent="0.25">
      <c r="B1763" s="11"/>
    </row>
    <row r="1764" spans="2:2" x14ac:dyDescent="0.25">
      <c r="B1764" s="11"/>
    </row>
    <row r="1765" spans="2:2" x14ac:dyDescent="0.25">
      <c r="B1765" s="11"/>
    </row>
    <row r="1766" spans="2:2" x14ac:dyDescent="0.25">
      <c r="B1766" s="11"/>
    </row>
    <row r="1767" spans="2:2" x14ac:dyDescent="0.25">
      <c r="B1767" s="11"/>
    </row>
    <row r="1768" spans="2:2" x14ac:dyDescent="0.25">
      <c r="B1768" s="11"/>
    </row>
    <row r="1769" spans="2:2" x14ac:dyDescent="0.25">
      <c r="B1769" s="11"/>
    </row>
    <row r="1770" spans="2:2" x14ac:dyDescent="0.25">
      <c r="B1770" s="11"/>
    </row>
    <row r="1771" spans="2:2" x14ac:dyDescent="0.25">
      <c r="B1771" s="11"/>
    </row>
    <row r="1772" spans="2:2" x14ac:dyDescent="0.25">
      <c r="B1772" s="11"/>
    </row>
    <row r="1773" spans="2:2" x14ac:dyDescent="0.25">
      <c r="B1773" s="11"/>
    </row>
    <row r="1774" spans="2:2" x14ac:dyDescent="0.25">
      <c r="B1774" s="11"/>
    </row>
    <row r="1775" spans="2:2" x14ac:dyDescent="0.25">
      <c r="B1775" s="11"/>
    </row>
    <row r="1776" spans="2:2" x14ac:dyDescent="0.25">
      <c r="B1776" s="11"/>
    </row>
    <row r="1777" spans="2:2" x14ac:dyDescent="0.25">
      <c r="B1777" s="11"/>
    </row>
    <row r="1778" spans="2:2" x14ac:dyDescent="0.25">
      <c r="B1778" s="11"/>
    </row>
    <row r="1779" spans="2:2" x14ac:dyDescent="0.25">
      <c r="B1779" s="11"/>
    </row>
    <row r="1780" spans="2:2" x14ac:dyDescent="0.25">
      <c r="B1780" s="11"/>
    </row>
    <row r="1781" spans="2:2" x14ac:dyDescent="0.25">
      <c r="B1781" s="11"/>
    </row>
    <row r="1782" spans="2:2" x14ac:dyDescent="0.25">
      <c r="B1782" s="11"/>
    </row>
    <row r="1783" spans="2:2" x14ac:dyDescent="0.25">
      <c r="B1783" s="11"/>
    </row>
    <row r="1784" spans="2:2" x14ac:dyDescent="0.25">
      <c r="B1784" s="11"/>
    </row>
    <row r="1785" spans="2:2" x14ac:dyDescent="0.25">
      <c r="B1785" s="11"/>
    </row>
    <row r="1786" spans="2:2" x14ac:dyDescent="0.25">
      <c r="B1786" s="11"/>
    </row>
    <row r="1787" spans="2:2" x14ac:dyDescent="0.25">
      <c r="B1787" s="11"/>
    </row>
    <row r="1788" spans="2:2" x14ac:dyDescent="0.25">
      <c r="B1788" s="11"/>
    </row>
    <row r="1789" spans="2:2" x14ac:dyDescent="0.25">
      <c r="B1789" s="11"/>
    </row>
    <row r="1790" spans="2:2" x14ac:dyDescent="0.25">
      <c r="B1790" s="11"/>
    </row>
    <row r="1791" spans="2:2" x14ac:dyDescent="0.25">
      <c r="B1791" s="11"/>
    </row>
    <row r="1792" spans="2:2" x14ac:dyDescent="0.25">
      <c r="B1792" s="11"/>
    </row>
    <row r="1793" spans="2:2" x14ac:dyDescent="0.25">
      <c r="B1793" s="11"/>
    </row>
    <row r="1794" spans="2:2" x14ac:dyDescent="0.25">
      <c r="B1794" s="11"/>
    </row>
    <row r="1795" spans="2:2" x14ac:dyDescent="0.25">
      <c r="B1795" s="11"/>
    </row>
    <row r="1796" spans="2:2" x14ac:dyDescent="0.25">
      <c r="B1796" s="11"/>
    </row>
    <row r="1797" spans="2:2" x14ac:dyDescent="0.25">
      <c r="B1797" s="11"/>
    </row>
    <row r="1798" spans="2:2" x14ac:dyDescent="0.25">
      <c r="B1798" s="11"/>
    </row>
    <row r="1799" spans="2:2" x14ac:dyDescent="0.25">
      <c r="B1799" s="11"/>
    </row>
    <row r="1800" spans="2:2" x14ac:dyDescent="0.25">
      <c r="B1800" s="11"/>
    </row>
    <row r="1801" spans="2:2" x14ac:dyDescent="0.25">
      <c r="B1801" s="11"/>
    </row>
    <row r="1802" spans="2:2" x14ac:dyDescent="0.25">
      <c r="B1802" s="11"/>
    </row>
    <row r="1803" spans="2:2" x14ac:dyDescent="0.25">
      <c r="B1803" s="11"/>
    </row>
    <row r="1804" spans="2:2" x14ac:dyDescent="0.25">
      <c r="B1804" s="11"/>
    </row>
    <row r="1805" spans="2:2" x14ac:dyDescent="0.25">
      <c r="B1805" s="11"/>
    </row>
    <row r="1806" spans="2:2" x14ac:dyDescent="0.25">
      <c r="B1806" s="11"/>
    </row>
    <row r="1807" spans="2:2" x14ac:dyDescent="0.25">
      <c r="B1807" s="11"/>
    </row>
    <row r="1808" spans="2:2" x14ac:dyDescent="0.25">
      <c r="B1808" s="11"/>
    </row>
    <row r="1809" spans="2:2" x14ac:dyDescent="0.25">
      <c r="B1809" s="11"/>
    </row>
    <row r="1810" spans="2:2" x14ac:dyDescent="0.25">
      <c r="B1810" s="11"/>
    </row>
    <row r="1811" spans="2:2" x14ac:dyDescent="0.25">
      <c r="B1811" s="11"/>
    </row>
    <row r="1812" spans="2:2" x14ac:dyDescent="0.25">
      <c r="B1812" s="11"/>
    </row>
    <row r="1813" spans="2:2" x14ac:dyDescent="0.25">
      <c r="B1813" s="11"/>
    </row>
    <row r="1814" spans="2:2" x14ac:dyDescent="0.25">
      <c r="B1814" s="11"/>
    </row>
    <row r="1815" spans="2:2" x14ac:dyDescent="0.25">
      <c r="B1815" s="11"/>
    </row>
    <row r="1816" spans="2:2" x14ac:dyDescent="0.25">
      <c r="B1816" s="11"/>
    </row>
    <row r="1817" spans="2:2" x14ac:dyDescent="0.25">
      <c r="B1817" s="11"/>
    </row>
    <row r="1818" spans="2:2" x14ac:dyDescent="0.25">
      <c r="B1818" s="11"/>
    </row>
    <row r="1819" spans="2:2" x14ac:dyDescent="0.25">
      <c r="B1819" s="11"/>
    </row>
    <row r="1820" spans="2:2" x14ac:dyDescent="0.25">
      <c r="B1820" s="11"/>
    </row>
    <row r="1821" spans="2:2" x14ac:dyDescent="0.25">
      <c r="B1821" s="11"/>
    </row>
    <row r="1822" spans="2:2" x14ac:dyDescent="0.25">
      <c r="B1822" s="11"/>
    </row>
    <row r="1823" spans="2:2" x14ac:dyDescent="0.25">
      <c r="B1823" s="11"/>
    </row>
    <row r="1824" spans="2:2" x14ac:dyDescent="0.25">
      <c r="B1824" s="11"/>
    </row>
    <row r="1825" spans="2:2" x14ac:dyDescent="0.25">
      <c r="B1825" s="11"/>
    </row>
    <row r="1826" spans="2:2" x14ac:dyDescent="0.25">
      <c r="B1826" s="11"/>
    </row>
    <row r="1827" spans="2:2" x14ac:dyDescent="0.25">
      <c r="B1827" s="11"/>
    </row>
    <row r="1828" spans="2:2" x14ac:dyDescent="0.25">
      <c r="B1828" s="11"/>
    </row>
    <row r="1829" spans="2:2" x14ac:dyDescent="0.25">
      <c r="B1829" s="11"/>
    </row>
    <row r="1830" spans="2:2" x14ac:dyDescent="0.25">
      <c r="B1830" s="11"/>
    </row>
    <row r="1831" spans="2:2" x14ac:dyDescent="0.25">
      <c r="B1831" s="11"/>
    </row>
    <row r="1832" spans="2:2" x14ac:dyDescent="0.25">
      <c r="B1832" s="11"/>
    </row>
    <row r="1833" spans="2:2" x14ac:dyDescent="0.25">
      <c r="B1833" s="11"/>
    </row>
    <row r="1834" spans="2:2" x14ac:dyDescent="0.25">
      <c r="B1834" s="11"/>
    </row>
    <row r="1835" spans="2:2" x14ac:dyDescent="0.25">
      <c r="B1835" s="11"/>
    </row>
    <row r="1836" spans="2:2" x14ac:dyDescent="0.25">
      <c r="B1836" s="11"/>
    </row>
    <row r="1837" spans="2:2" x14ac:dyDescent="0.25">
      <c r="B1837" s="11"/>
    </row>
    <row r="1838" spans="2:2" x14ac:dyDescent="0.25">
      <c r="B1838" s="11"/>
    </row>
    <row r="1839" spans="2:2" x14ac:dyDescent="0.25">
      <c r="B1839" s="11"/>
    </row>
    <row r="1840" spans="2:2" x14ac:dyDescent="0.25">
      <c r="B1840" s="11"/>
    </row>
    <row r="1841" spans="2:2" x14ac:dyDescent="0.25">
      <c r="B1841" s="11"/>
    </row>
    <row r="1842" spans="2:2" x14ac:dyDescent="0.25">
      <c r="B1842" s="11"/>
    </row>
    <row r="1843" spans="2:2" x14ac:dyDescent="0.25">
      <c r="B1843" s="11"/>
    </row>
    <row r="1844" spans="2:2" x14ac:dyDescent="0.25">
      <c r="B1844" s="11"/>
    </row>
    <row r="1845" spans="2:2" x14ac:dyDescent="0.25">
      <c r="B1845" s="11"/>
    </row>
    <row r="1846" spans="2:2" x14ac:dyDescent="0.25">
      <c r="B1846" s="11"/>
    </row>
    <row r="1847" spans="2:2" x14ac:dyDescent="0.25">
      <c r="B1847" s="11"/>
    </row>
    <row r="1848" spans="2:2" x14ac:dyDescent="0.25">
      <c r="B1848" s="11"/>
    </row>
    <row r="1849" spans="2:2" x14ac:dyDescent="0.25">
      <c r="B1849" s="11"/>
    </row>
    <row r="1850" spans="2:2" x14ac:dyDescent="0.25">
      <c r="B1850" s="11"/>
    </row>
    <row r="1851" spans="2:2" x14ac:dyDescent="0.25">
      <c r="B1851" s="11"/>
    </row>
    <row r="1852" spans="2:2" x14ac:dyDescent="0.25">
      <c r="B1852" s="11"/>
    </row>
    <row r="1853" spans="2:2" x14ac:dyDescent="0.25">
      <c r="B1853" s="11"/>
    </row>
    <row r="1854" spans="2:2" x14ac:dyDescent="0.25">
      <c r="B1854" s="11"/>
    </row>
    <row r="1855" spans="2:2" x14ac:dyDescent="0.25">
      <c r="B1855" s="11"/>
    </row>
    <row r="1856" spans="2:2" x14ac:dyDescent="0.25">
      <c r="B1856" s="11"/>
    </row>
    <row r="1857" spans="2:2" x14ac:dyDescent="0.25">
      <c r="B1857" s="11"/>
    </row>
    <row r="1858" spans="2:2" x14ac:dyDescent="0.25">
      <c r="B1858" s="11"/>
    </row>
    <row r="1859" spans="2:2" x14ac:dyDescent="0.25">
      <c r="B1859" s="11"/>
    </row>
    <row r="1860" spans="2:2" x14ac:dyDescent="0.25">
      <c r="B1860" s="11"/>
    </row>
    <row r="1861" spans="2:2" x14ac:dyDescent="0.25">
      <c r="B1861" s="11"/>
    </row>
    <row r="1862" spans="2:2" x14ac:dyDescent="0.25">
      <c r="B1862" s="11"/>
    </row>
    <row r="1863" spans="2:2" x14ac:dyDescent="0.25">
      <c r="B1863" s="11"/>
    </row>
    <row r="1864" spans="2:2" x14ac:dyDescent="0.25">
      <c r="B1864" s="11"/>
    </row>
    <row r="1865" spans="2:2" x14ac:dyDescent="0.25">
      <c r="B1865" s="11"/>
    </row>
    <row r="1866" spans="2:2" x14ac:dyDescent="0.25">
      <c r="B1866" s="11"/>
    </row>
    <row r="1867" spans="2:2" x14ac:dyDescent="0.25">
      <c r="B1867" s="11"/>
    </row>
    <row r="1868" spans="2:2" x14ac:dyDescent="0.25">
      <c r="B1868" s="11"/>
    </row>
    <row r="1869" spans="2:2" x14ac:dyDescent="0.25">
      <c r="B1869" s="11"/>
    </row>
    <row r="1870" spans="2:2" x14ac:dyDescent="0.25">
      <c r="B1870" s="11"/>
    </row>
    <row r="1871" spans="2:2" x14ac:dyDescent="0.25">
      <c r="B1871" s="11"/>
    </row>
    <row r="1872" spans="2:2" x14ac:dyDescent="0.25">
      <c r="B1872" s="11"/>
    </row>
    <row r="1873" spans="2:2" x14ac:dyDescent="0.25">
      <c r="B1873" s="11"/>
    </row>
    <row r="1874" spans="2:2" x14ac:dyDescent="0.25">
      <c r="B1874" s="11"/>
    </row>
    <row r="1875" spans="2:2" x14ac:dyDescent="0.25">
      <c r="B1875" s="11"/>
    </row>
    <row r="1876" spans="2:2" x14ac:dyDescent="0.25">
      <c r="B1876" s="11"/>
    </row>
    <row r="1877" spans="2:2" x14ac:dyDescent="0.25">
      <c r="B1877" s="11"/>
    </row>
    <row r="1878" spans="2:2" x14ac:dyDescent="0.25">
      <c r="B1878" s="11"/>
    </row>
    <row r="1879" spans="2:2" x14ac:dyDescent="0.25">
      <c r="B1879" s="11"/>
    </row>
    <row r="1880" spans="2:2" x14ac:dyDescent="0.25">
      <c r="B1880" s="11"/>
    </row>
    <row r="1881" spans="2:2" x14ac:dyDescent="0.25">
      <c r="B1881" s="11"/>
    </row>
    <row r="1882" spans="2:2" x14ac:dyDescent="0.25">
      <c r="B1882" s="11"/>
    </row>
    <row r="1883" spans="2:2" x14ac:dyDescent="0.25">
      <c r="B1883" s="11"/>
    </row>
    <row r="1884" spans="2:2" x14ac:dyDescent="0.25">
      <c r="B1884" s="11"/>
    </row>
    <row r="1885" spans="2:2" x14ac:dyDescent="0.25">
      <c r="B1885" s="11"/>
    </row>
    <row r="1886" spans="2:2" x14ac:dyDescent="0.25">
      <c r="B1886" s="11"/>
    </row>
    <row r="1887" spans="2:2" x14ac:dyDescent="0.25">
      <c r="B1887" s="11"/>
    </row>
    <row r="1888" spans="2:2" x14ac:dyDescent="0.25">
      <c r="B1888" s="11"/>
    </row>
    <row r="1889" spans="2:2" x14ac:dyDescent="0.25">
      <c r="B1889" s="11"/>
    </row>
    <row r="1890" spans="2:2" x14ac:dyDescent="0.25">
      <c r="B1890" s="11"/>
    </row>
    <row r="1891" spans="2:2" x14ac:dyDescent="0.25">
      <c r="B1891" s="11"/>
    </row>
    <row r="1892" spans="2:2" x14ac:dyDescent="0.25">
      <c r="B1892" s="11"/>
    </row>
    <row r="1893" spans="2:2" x14ac:dyDescent="0.25">
      <c r="B1893" s="11"/>
    </row>
    <row r="1894" spans="2:2" x14ac:dyDescent="0.25">
      <c r="B1894" s="11"/>
    </row>
    <row r="1895" spans="2:2" x14ac:dyDescent="0.25">
      <c r="B1895" s="11"/>
    </row>
    <row r="1896" spans="2:2" x14ac:dyDescent="0.25">
      <c r="B1896" s="11"/>
    </row>
    <row r="1897" spans="2:2" x14ac:dyDescent="0.25">
      <c r="B1897" s="11"/>
    </row>
    <row r="1898" spans="2:2" x14ac:dyDescent="0.25">
      <c r="B1898" s="11"/>
    </row>
    <row r="1899" spans="2:2" x14ac:dyDescent="0.25">
      <c r="B1899" s="11"/>
    </row>
    <row r="1900" spans="2:2" x14ac:dyDescent="0.25">
      <c r="B1900" s="11"/>
    </row>
    <row r="1901" spans="2:2" x14ac:dyDescent="0.25">
      <c r="B1901" s="11"/>
    </row>
    <row r="1902" spans="2:2" x14ac:dyDescent="0.25">
      <c r="B1902" s="11"/>
    </row>
    <row r="1903" spans="2:2" x14ac:dyDescent="0.25">
      <c r="B1903" s="11"/>
    </row>
    <row r="1904" spans="2:2" x14ac:dyDescent="0.25">
      <c r="B1904" s="11"/>
    </row>
    <row r="1905" spans="2:2" x14ac:dyDescent="0.25">
      <c r="B1905" s="11"/>
    </row>
    <row r="1906" spans="2:2" x14ac:dyDescent="0.25">
      <c r="B1906" s="11"/>
    </row>
    <row r="1907" spans="2:2" x14ac:dyDescent="0.25">
      <c r="B1907" s="11"/>
    </row>
    <row r="1908" spans="2:2" x14ac:dyDescent="0.25">
      <c r="B1908" s="11"/>
    </row>
    <row r="1909" spans="2:2" x14ac:dyDescent="0.25">
      <c r="B1909" s="11"/>
    </row>
    <row r="1910" spans="2:2" x14ac:dyDescent="0.25">
      <c r="B1910" s="11"/>
    </row>
    <row r="1911" spans="2:2" x14ac:dyDescent="0.25">
      <c r="B1911" s="11"/>
    </row>
    <row r="1912" spans="2:2" x14ac:dyDescent="0.25">
      <c r="B1912" s="11"/>
    </row>
    <row r="1913" spans="2:2" x14ac:dyDescent="0.25">
      <c r="B1913" s="11"/>
    </row>
    <row r="1914" spans="2:2" x14ac:dyDescent="0.25">
      <c r="B1914" s="11"/>
    </row>
    <row r="1915" spans="2:2" x14ac:dyDescent="0.25">
      <c r="B1915" s="11"/>
    </row>
    <row r="1916" spans="2:2" x14ac:dyDescent="0.25">
      <c r="B1916" s="11"/>
    </row>
    <row r="1917" spans="2:2" x14ac:dyDescent="0.25">
      <c r="B1917" s="11"/>
    </row>
    <row r="1918" spans="2:2" x14ac:dyDescent="0.25">
      <c r="B1918" s="11"/>
    </row>
    <row r="1919" spans="2:2" x14ac:dyDescent="0.25">
      <c r="B1919" s="11"/>
    </row>
    <row r="1920" spans="2:2" x14ac:dyDescent="0.25">
      <c r="B1920" s="11"/>
    </row>
    <row r="1921" spans="2:2" x14ac:dyDescent="0.25">
      <c r="B1921" s="11"/>
    </row>
    <row r="1922" spans="2:2" x14ac:dyDescent="0.25">
      <c r="B1922" s="11"/>
    </row>
    <row r="1923" spans="2:2" x14ac:dyDescent="0.25">
      <c r="B1923" s="11"/>
    </row>
    <row r="1924" spans="2:2" x14ac:dyDescent="0.25">
      <c r="B1924" s="11"/>
    </row>
    <row r="1925" spans="2:2" x14ac:dyDescent="0.25">
      <c r="B1925" s="11"/>
    </row>
    <row r="1926" spans="2:2" x14ac:dyDescent="0.25">
      <c r="B1926" s="11"/>
    </row>
    <row r="1927" spans="2:2" x14ac:dyDescent="0.25">
      <c r="B1927" s="11"/>
    </row>
    <row r="1928" spans="2:2" x14ac:dyDescent="0.25">
      <c r="B1928" s="11"/>
    </row>
    <row r="1929" spans="2:2" x14ac:dyDescent="0.25">
      <c r="B1929" s="11"/>
    </row>
    <row r="1930" spans="2:2" x14ac:dyDescent="0.25">
      <c r="B1930" s="11"/>
    </row>
    <row r="1931" spans="2:2" x14ac:dyDescent="0.25">
      <c r="B1931" s="11"/>
    </row>
    <row r="1932" spans="2:2" x14ac:dyDescent="0.25">
      <c r="B1932" s="11"/>
    </row>
    <row r="1933" spans="2:2" x14ac:dyDescent="0.25">
      <c r="B1933" s="11"/>
    </row>
    <row r="1934" spans="2:2" x14ac:dyDescent="0.25">
      <c r="B1934" s="11"/>
    </row>
    <row r="1935" spans="2:2" x14ac:dyDescent="0.25">
      <c r="B1935" s="11"/>
    </row>
    <row r="1936" spans="2:2" x14ac:dyDescent="0.25">
      <c r="B1936" s="11"/>
    </row>
    <row r="1937" spans="2:2" x14ac:dyDescent="0.25">
      <c r="B1937" s="11"/>
    </row>
    <row r="1938" spans="2:2" x14ac:dyDescent="0.25">
      <c r="B1938" s="11"/>
    </row>
    <row r="1939" spans="2:2" x14ac:dyDescent="0.25">
      <c r="B1939" s="11"/>
    </row>
    <row r="1940" spans="2:2" x14ac:dyDescent="0.25">
      <c r="B1940" s="11"/>
    </row>
    <row r="1941" spans="2:2" x14ac:dyDescent="0.25">
      <c r="B1941" s="11"/>
    </row>
    <row r="1942" spans="2:2" x14ac:dyDescent="0.25">
      <c r="B1942" s="11"/>
    </row>
    <row r="1943" spans="2:2" x14ac:dyDescent="0.25">
      <c r="B1943" s="11"/>
    </row>
    <row r="1944" spans="2:2" x14ac:dyDescent="0.25">
      <c r="B1944" s="11"/>
    </row>
    <row r="1945" spans="2:2" x14ac:dyDescent="0.25">
      <c r="B1945" s="11"/>
    </row>
    <row r="1946" spans="2:2" x14ac:dyDescent="0.25">
      <c r="B1946" s="11"/>
    </row>
    <row r="1947" spans="2:2" x14ac:dyDescent="0.25">
      <c r="B1947" s="11"/>
    </row>
    <row r="1948" spans="2:2" x14ac:dyDescent="0.25">
      <c r="B1948" s="11"/>
    </row>
    <row r="1949" spans="2:2" x14ac:dyDescent="0.25">
      <c r="B1949" s="11"/>
    </row>
    <row r="1950" spans="2:2" x14ac:dyDescent="0.25">
      <c r="B1950" s="11"/>
    </row>
    <row r="1951" spans="2:2" x14ac:dyDescent="0.25">
      <c r="B1951" s="11"/>
    </row>
    <row r="1952" spans="2:2" x14ac:dyDescent="0.25">
      <c r="B1952" s="11"/>
    </row>
    <row r="1953" spans="2:2" x14ac:dyDescent="0.25">
      <c r="B1953" s="11"/>
    </row>
    <row r="1954" spans="2:2" x14ac:dyDescent="0.25">
      <c r="B1954" s="11"/>
    </row>
    <row r="1955" spans="2:2" x14ac:dyDescent="0.25">
      <c r="B1955" s="11"/>
    </row>
    <row r="1956" spans="2:2" x14ac:dyDescent="0.25">
      <c r="B1956" s="11"/>
    </row>
    <row r="1957" spans="2:2" x14ac:dyDescent="0.25">
      <c r="B1957" s="11"/>
    </row>
    <row r="1958" spans="2:2" x14ac:dyDescent="0.25">
      <c r="B1958" s="11"/>
    </row>
    <row r="1959" spans="2:2" x14ac:dyDescent="0.25">
      <c r="B1959" s="11"/>
    </row>
    <row r="1960" spans="2:2" x14ac:dyDescent="0.25">
      <c r="B1960" s="11"/>
    </row>
    <row r="1961" spans="2:2" x14ac:dyDescent="0.25">
      <c r="B1961" s="11"/>
    </row>
    <row r="1962" spans="2:2" x14ac:dyDescent="0.25">
      <c r="B1962" s="11"/>
    </row>
    <row r="1963" spans="2:2" x14ac:dyDescent="0.25">
      <c r="B1963" s="11"/>
    </row>
    <row r="1964" spans="2:2" x14ac:dyDescent="0.25">
      <c r="B1964" s="11"/>
    </row>
    <row r="1965" spans="2:2" x14ac:dyDescent="0.25">
      <c r="B1965" s="11"/>
    </row>
    <row r="1966" spans="2:2" x14ac:dyDescent="0.25">
      <c r="B1966" s="11"/>
    </row>
    <row r="1967" spans="2:2" x14ac:dyDescent="0.25">
      <c r="B1967" s="11"/>
    </row>
    <row r="1968" spans="2:2" x14ac:dyDescent="0.25">
      <c r="B1968" s="11"/>
    </row>
    <row r="1969" spans="2:2" x14ac:dyDescent="0.25">
      <c r="B1969" s="11"/>
    </row>
    <row r="1970" spans="2:2" x14ac:dyDescent="0.25">
      <c r="B1970" s="11"/>
    </row>
    <row r="1971" spans="2:2" x14ac:dyDescent="0.25">
      <c r="B1971" s="11"/>
    </row>
    <row r="1972" spans="2:2" x14ac:dyDescent="0.25">
      <c r="B1972" s="11"/>
    </row>
    <row r="1973" spans="2:2" x14ac:dyDescent="0.25">
      <c r="B1973" s="11"/>
    </row>
    <row r="1974" spans="2:2" x14ac:dyDescent="0.25">
      <c r="B1974" s="11"/>
    </row>
    <row r="1975" spans="2:2" x14ac:dyDescent="0.25">
      <c r="B1975" s="11"/>
    </row>
    <row r="1976" spans="2:2" x14ac:dyDescent="0.25">
      <c r="B1976" s="11"/>
    </row>
    <row r="1977" spans="2:2" x14ac:dyDescent="0.25">
      <c r="B1977" s="11"/>
    </row>
    <row r="1978" spans="2:2" x14ac:dyDescent="0.25">
      <c r="B1978" s="11"/>
    </row>
    <row r="1979" spans="2:2" x14ac:dyDescent="0.25">
      <c r="B1979" s="11"/>
    </row>
    <row r="1980" spans="2:2" x14ac:dyDescent="0.25">
      <c r="B1980" s="11"/>
    </row>
    <row r="1981" spans="2:2" x14ac:dyDescent="0.25">
      <c r="B1981" s="11"/>
    </row>
    <row r="1982" spans="2:2" x14ac:dyDescent="0.25">
      <c r="B1982" s="11"/>
    </row>
    <row r="1983" spans="2:2" x14ac:dyDescent="0.25">
      <c r="B1983" s="11"/>
    </row>
    <row r="1984" spans="2:2" x14ac:dyDescent="0.25">
      <c r="B1984" s="11"/>
    </row>
    <row r="1985" spans="2:2" x14ac:dyDescent="0.25">
      <c r="B1985" s="11"/>
    </row>
    <row r="1986" spans="2:2" x14ac:dyDescent="0.25">
      <c r="B1986" s="11"/>
    </row>
    <row r="1987" spans="2:2" x14ac:dyDescent="0.25">
      <c r="B1987" s="11"/>
    </row>
    <row r="1988" spans="2:2" x14ac:dyDescent="0.25">
      <c r="B1988" s="11"/>
    </row>
    <row r="1989" spans="2:2" x14ac:dyDescent="0.25">
      <c r="B1989" s="11"/>
    </row>
    <row r="1990" spans="2:2" x14ac:dyDescent="0.25">
      <c r="B1990" s="11"/>
    </row>
    <row r="1991" spans="2:2" x14ac:dyDescent="0.25">
      <c r="B1991" s="11"/>
    </row>
    <row r="1992" spans="2:2" x14ac:dyDescent="0.25">
      <c r="B1992" s="11"/>
    </row>
    <row r="1993" spans="2:2" x14ac:dyDescent="0.25">
      <c r="B1993" s="11"/>
    </row>
    <row r="1994" spans="2:2" x14ac:dyDescent="0.25">
      <c r="B1994" s="11"/>
    </row>
    <row r="1995" spans="2:2" x14ac:dyDescent="0.25">
      <c r="B1995" s="11"/>
    </row>
    <row r="1996" spans="2:2" x14ac:dyDescent="0.25">
      <c r="B1996" s="11"/>
    </row>
    <row r="1997" spans="2:2" x14ac:dyDescent="0.25">
      <c r="B1997" s="11"/>
    </row>
    <row r="1998" spans="2:2" x14ac:dyDescent="0.25">
      <c r="B1998" s="11"/>
    </row>
    <row r="1999" spans="2:2" x14ac:dyDescent="0.25">
      <c r="B1999" s="11"/>
    </row>
    <row r="2000" spans="2:2" x14ac:dyDescent="0.25">
      <c r="B2000" s="11"/>
    </row>
    <row r="2001" spans="2:2" x14ac:dyDescent="0.25">
      <c r="B2001" s="11"/>
    </row>
    <row r="2002" spans="2:2" x14ac:dyDescent="0.25">
      <c r="B2002" s="11"/>
    </row>
    <row r="2003" spans="2:2" x14ac:dyDescent="0.25">
      <c r="B2003" s="11"/>
    </row>
    <row r="2004" spans="2:2" x14ac:dyDescent="0.25">
      <c r="B2004" s="11"/>
    </row>
    <row r="2005" spans="2:2" x14ac:dyDescent="0.25">
      <c r="B2005" s="11"/>
    </row>
    <row r="2006" spans="2:2" x14ac:dyDescent="0.25">
      <c r="B2006" s="11"/>
    </row>
    <row r="2007" spans="2:2" x14ac:dyDescent="0.25">
      <c r="B2007" s="11"/>
    </row>
    <row r="2008" spans="2:2" x14ac:dyDescent="0.25">
      <c r="B2008" s="11"/>
    </row>
    <row r="2009" spans="2:2" x14ac:dyDescent="0.25">
      <c r="B2009" s="11"/>
    </row>
    <row r="2010" spans="2:2" x14ac:dyDescent="0.25">
      <c r="B2010" s="11"/>
    </row>
    <row r="2011" spans="2:2" x14ac:dyDescent="0.25">
      <c r="B2011" s="11"/>
    </row>
    <row r="2012" spans="2:2" x14ac:dyDescent="0.25">
      <c r="B2012" s="11"/>
    </row>
    <row r="2013" spans="2:2" x14ac:dyDescent="0.25">
      <c r="B2013" s="11"/>
    </row>
    <row r="2014" spans="2:2" x14ac:dyDescent="0.25">
      <c r="B2014" s="11"/>
    </row>
    <row r="2015" spans="2:2" x14ac:dyDescent="0.25">
      <c r="B2015" s="11"/>
    </row>
    <row r="2016" spans="2:2" x14ac:dyDescent="0.25">
      <c r="B2016" s="11"/>
    </row>
    <row r="2017" spans="2:2" x14ac:dyDescent="0.25">
      <c r="B2017" s="11"/>
    </row>
    <row r="2018" spans="2:2" x14ac:dyDescent="0.25">
      <c r="B2018" s="11"/>
    </row>
    <row r="2019" spans="2:2" x14ac:dyDescent="0.25">
      <c r="B2019" s="11"/>
    </row>
    <row r="2020" spans="2:2" x14ac:dyDescent="0.25">
      <c r="B2020" s="11"/>
    </row>
    <row r="2021" spans="2:2" x14ac:dyDescent="0.25">
      <c r="B2021" s="11"/>
    </row>
    <row r="2022" spans="2:2" x14ac:dyDescent="0.25">
      <c r="B2022" s="11"/>
    </row>
    <row r="2023" spans="2:2" x14ac:dyDescent="0.25">
      <c r="B2023" s="11"/>
    </row>
    <row r="2024" spans="2:2" x14ac:dyDescent="0.25">
      <c r="B2024" s="11"/>
    </row>
    <row r="2025" spans="2:2" x14ac:dyDescent="0.25">
      <c r="B2025" s="11"/>
    </row>
    <row r="2026" spans="2:2" x14ac:dyDescent="0.25">
      <c r="B2026" s="11"/>
    </row>
    <row r="2027" spans="2:2" x14ac:dyDescent="0.25">
      <c r="B2027" s="11"/>
    </row>
    <row r="2028" spans="2:2" x14ac:dyDescent="0.25">
      <c r="B2028" s="11"/>
    </row>
    <row r="2029" spans="2:2" x14ac:dyDescent="0.25">
      <c r="B2029" s="11"/>
    </row>
    <row r="2030" spans="2:2" x14ac:dyDescent="0.25">
      <c r="B2030" s="11"/>
    </row>
    <row r="2031" spans="2:2" x14ac:dyDescent="0.25">
      <c r="B2031" s="11"/>
    </row>
    <row r="2032" spans="2:2" x14ac:dyDescent="0.25">
      <c r="B2032" s="11"/>
    </row>
    <row r="2033" spans="2:2" x14ac:dyDescent="0.25">
      <c r="B2033" s="11"/>
    </row>
    <row r="2034" spans="2:2" x14ac:dyDescent="0.25">
      <c r="B2034" s="11"/>
    </row>
    <row r="2035" spans="2:2" x14ac:dyDescent="0.25">
      <c r="B2035" s="11"/>
    </row>
    <row r="2036" spans="2:2" x14ac:dyDescent="0.25">
      <c r="B2036" s="11"/>
    </row>
    <row r="2037" spans="2:2" x14ac:dyDescent="0.25">
      <c r="B2037" s="11"/>
    </row>
    <row r="2038" spans="2:2" x14ac:dyDescent="0.25">
      <c r="B2038" s="11"/>
    </row>
    <row r="2039" spans="2:2" x14ac:dyDescent="0.25">
      <c r="B2039" s="11"/>
    </row>
    <row r="2040" spans="2:2" x14ac:dyDescent="0.25">
      <c r="B2040" s="11"/>
    </row>
    <row r="2041" spans="2:2" x14ac:dyDescent="0.25">
      <c r="B2041" s="11"/>
    </row>
    <row r="2042" spans="2:2" x14ac:dyDescent="0.25">
      <c r="B2042" s="11"/>
    </row>
    <row r="2043" spans="2:2" x14ac:dyDescent="0.25">
      <c r="B2043" s="11"/>
    </row>
    <row r="2044" spans="2:2" x14ac:dyDescent="0.25">
      <c r="B2044" s="11"/>
    </row>
    <row r="2045" spans="2:2" x14ac:dyDescent="0.25">
      <c r="B2045" s="11"/>
    </row>
    <row r="2046" spans="2:2" x14ac:dyDescent="0.25">
      <c r="B2046" s="11"/>
    </row>
    <row r="2047" spans="2:2" x14ac:dyDescent="0.25">
      <c r="B2047" s="11"/>
    </row>
    <row r="2048" spans="2:2" x14ac:dyDescent="0.25">
      <c r="B2048" s="11"/>
    </row>
    <row r="2049" spans="2:2" x14ac:dyDescent="0.25">
      <c r="B2049" s="11"/>
    </row>
    <row r="2050" spans="2:2" x14ac:dyDescent="0.25">
      <c r="B2050" s="11"/>
    </row>
    <row r="2051" spans="2:2" x14ac:dyDescent="0.25">
      <c r="B2051" s="11"/>
    </row>
    <row r="2052" spans="2:2" x14ac:dyDescent="0.25">
      <c r="B2052" s="11"/>
    </row>
    <row r="2053" spans="2:2" x14ac:dyDescent="0.25">
      <c r="B2053" s="11"/>
    </row>
    <row r="2054" spans="2:2" x14ac:dyDescent="0.25">
      <c r="B2054" s="11"/>
    </row>
    <row r="2055" spans="2:2" x14ac:dyDescent="0.25">
      <c r="B2055" s="11"/>
    </row>
    <row r="2056" spans="2:2" x14ac:dyDescent="0.25">
      <c r="B2056" s="11"/>
    </row>
    <row r="2057" spans="2:2" x14ac:dyDescent="0.25">
      <c r="B2057" s="11"/>
    </row>
    <row r="2058" spans="2:2" x14ac:dyDescent="0.25">
      <c r="B2058" s="11"/>
    </row>
    <row r="2059" spans="2:2" x14ac:dyDescent="0.25">
      <c r="B2059" s="11"/>
    </row>
    <row r="2060" spans="2:2" x14ac:dyDescent="0.25">
      <c r="B2060" s="11"/>
    </row>
    <row r="2061" spans="2:2" x14ac:dyDescent="0.25">
      <c r="B2061" s="11"/>
    </row>
    <row r="2062" spans="2:2" x14ac:dyDescent="0.25">
      <c r="B2062" s="11"/>
    </row>
    <row r="2063" spans="2:2" x14ac:dyDescent="0.25">
      <c r="B2063" s="11"/>
    </row>
    <row r="2064" spans="2:2" x14ac:dyDescent="0.25">
      <c r="B2064" s="11"/>
    </row>
    <row r="2065" spans="2:2" x14ac:dyDescent="0.25">
      <c r="B2065" s="11"/>
    </row>
    <row r="2066" spans="2:2" x14ac:dyDescent="0.25">
      <c r="B2066" s="11"/>
    </row>
    <row r="2067" spans="2:2" x14ac:dyDescent="0.25">
      <c r="B2067" s="11"/>
    </row>
    <row r="2068" spans="2:2" x14ac:dyDescent="0.25">
      <c r="B2068" s="11"/>
    </row>
    <row r="2069" spans="2:2" x14ac:dyDescent="0.25">
      <c r="B2069" s="11"/>
    </row>
    <row r="2070" spans="2:2" x14ac:dyDescent="0.25">
      <c r="B2070" s="11"/>
    </row>
    <row r="2071" spans="2:2" x14ac:dyDescent="0.25">
      <c r="B2071" s="11"/>
    </row>
    <row r="2072" spans="2:2" x14ac:dyDescent="0.25">
      <c r="B2072" s="11"/>
    </row>
    <row r="2073" spans="2:2" x14ac:dyDescent="0.25">
      <c r="B2073" s="11"/>
    </row>
    <row r="2074" spans="2:2" x14ac:dyDescent="0.25">
      <c r="B2074" s="11"/>
    </row>
    <row r="2075" spans="2:2" x14ac:dyDescent="0.25">
      <c r="B2075" s="11"/>
    </row>
    <row r="2076" spans="2:2" x14ac:dyDescent="0.25">
      <c r="B2076" s="11"/>
    </row>
    <row r="2077" spans="2:2" x14ac:dyDescent="0.25">
      <c r="B2077" s="11"/>
    </row>
    <row r="2078" spans="2:2" x14ac:dyDescent="0.25">
      <c r="B2078" s="11"/>
    </row>
    <row r="2079" spans="2:2" x14ac:dyDescent="0.25">
      <c r="B2079" s="11"/>
    </row>
    <row r="2080" spans="2:2" x14ac:dyDescent="0.25">
      <c r="B2080" s="11"/>
    </row>
    <row r="2081" spans="2:2" x14ac:dyDescent="0.25">
      <c r="B2081" s="11"/>
    </row>
    <row r="2082" spans="2:2" x14ac:dyDescent="0.25">
      <c r="B2082" s="11"/>
    </row>
    <row r="2083" spans="2:2" x14ac:dyDescent="0.25">
      <c r="B2083" s="11"/>
    </row>
    <row r="2084" spans="2:2" x14ac:dyDescent="0.25">
      <c r="B2084" s="11"/>
    </row>
    <row r="2085" spans="2:2" x14ac:dyDescent="0.25">
      <c r="B2085" s="11"/>
    </row>
    <row r="2086" spans="2:2" x14ac:dyDescent="0.25">
      <c r="B2086" s="11"/>
    </row>
    <row r="2087" spans="2:2" x14ac:dyDescent="0.25">
      <c r="B2087" s="11"/>
    </row>
    <row r="2088" spans="2:2" x14ac:dyDescent="0.25">
      <c r="B2088" s="11"/>
    </row>
    <row r="2089" spans="2:2" x14ac:dyDescent="0.25">
      <c r="B2089" s="11"/>
    </row>
    <row r="2090" spans="2:2" x14ac:dyDescent="0.25">
      <c r="B2090" s="11"/>
    </row>
    <row r="2091" spans="2:2" x14ac:dyDescent="0.25">
      <c r="B2091" s="11"/>
    </row>
    <row r="2092" spans="2:2" x14ac:dyDescent="0.25">
      <c r="B2092" s="11"/>
    </row>
    <row r="2093" spans="2:2" x14ac:dyDescent="0.25">
      <c r="B2093" s="11"/>
    </row>
    <row r="2094" spans="2:2" x14ac:dyDescent="0.25">
      <c r="B2094" s="11"/>
    </row>
    <row r="2095" spans="2:2" x14ac:dyDescent="0.25">
      <c r="B2095" s="11"/>
    </row>
    <row r="2096" spans="2:2" x14ac:dyDescent="0.25">
      <c r="B2096" s="11"/>
    </row>
    <row r="2097" spans="2:2" x14ac:dyDescent="0.25">
      <c r="B2097" s="11"/>
    </row>
    <row r="2098" spans="2:2" x14ac:dyDescent="0.25">
      <c r="B2098" s="11"/>
    </row>
    <row r="2099" spans="2:2" x14ac:dyDescent="0.25">
      <c r="B2099" s="11"/>
    </row>
    <row r="2100" spans="2:2" x14ac:dyDescent="0.25">
      <c r="B2100" s="11"/>
    </row>
    <row r="2101" spans="2:2" x14ac:dyDescent="0.25">
      <c r="B2101" s="11"/>
    </row>
    <row r="2102" spans="2:2" x14ac:dyDescent="0.25">
      <c r="B2102" s="11"/>
    </row>
    <row r="2103" spans="2:2" x14ac:dyDescent="0.25">
      <c r="B2103" s="11"/>
    </row>
    <row r="2104" spans="2:2" x14ac:dyDescent="0.25">
      <c r="B2104" s="11"/>
    </row>
    <row r="2105" spans="2:2" x14ac:dyDescent="0.25">
      <c r="B2105" s="11"/>
    </row>
    <row r="2106" spans="2:2" x14ac:dyDescent="0.25">
      <c r="B2106" s="11"/>
    </row>
    <row r="2107" spans="2:2" x14ac:dyDescent="0.25">
      <c r="B2107" s="11"/>
    </row>
    <row r="2108" spans="2:2" x14ac:dyDescent="0.25">
      <c r="B2108" s="11"/>
    </row>
    <row r="2109" spans="2:2" x14ac:dyDescent="0.25">
      <c r="B2109" s="11"/>
    </row>
    <row r="2110" spans="2:2" x14ac:dyDescent="0.25">
      <c r="B2110" s="11"/>
    </row>
    <row r="2111" spans="2:2" x14ac:dyDescent="0.25">
      <c r="B2111" s="11"/>
    </row>
    <row r="2112" spans="2:2" x14ac:dyDescent="0.25">
      <c r="B2112" s="11"/>
    </row>
    <row r="2113" spans="2:2" x14ac:dyDescent="0.25">
      <c r="B2113" s="11"/>
    </row>
    <row r="2114" spans="2:2" x14ac:dyDescent="0.25">
      <c r="B2114" s="11"/>
    </row>
    <row r="2115" spans="2:2" x14ac:dyDescent="0.25">
      <c r="B2115" s="11"/>
    </row>
    <row r="2116" spans="2:2" x14ac:dyDescent="0.25">
      <c r="B2116" s="11"/>
    </row>
    <row r="2117" spans="2:2" x14ac:dyDescent="0.25">
      <c r="B2117" s="11"/>
    </row>
    <row r="2118" spans="2:2" x14ac:dyDescent="0.25">
      <c r="B2118" s="11"/>
    </row>
    <row r="2119" spans="2:2" x14ac:dyDescent="0.25">
      <c r="B2119" s="11"/>
    </row>
    <row r="2120" spans="2:2" x14ac:dyDescent="0.25">
      <c r="B2120" s="11"/>
    </row>
    <row r="2121" spans="2:2" x14ac:dyDescent="0.25">
      <c r="B2121" s="11"/>
    </row>
    <row r="2122" spans="2:2" x14ac:dyDescent="0.25">
      <c r="B2122" s="11"/>
    </row>
    <row r="2123" spans="2:2" x14ac:dyDescent="0.25">
      <c r="B2123" s="11"/>
    </row>
    <row r="2124" spans="2:2" x14ac:dyDescent="0.25">
      <c r="B2124" s="11"/>
    </row>
    <row r="2125" spans="2:2" x14ac:dyDescent="0.25">
      <c r="B2125" s="11"/>
    </row>
    <row r="2126" spans="2:2" x14ac:dyDescent="0.25">
      <c r="B2126" s="11"/>
    </row>
    <row r="2127" spans="2:2" x14ac:dyDescent="0.25">
      <c r="B2127" s="11"/>
    </row>
    <row r="2128" spans="2:2" x14ac:dyDescent="0.25">
      <c r="B2128" s="11"/>
    </row>
    <row r="2129" spans="2:2" x14ac:dyDescent="0.25">
      <c r="B2129" s="11"/>
    </row>
    <row r="2130" spans="2:2" x14ac:dyDescent="0.25">
      <c r="B2130" s="11"/>
    </row>
    <row r="2131" spans="2:2" x14ac:dyDescent="0.25">
      <c r="B2131" s="11"/>
    </row>
    <row r="2132" spans="2:2" x14ac:dyDescent="0.25">
      <c r="B2132" s="11"/>
    </row>
    <row r="2133" spans="2:2" x14ac:dyDescent="0.25">
      <c r="B2133" s="11"/>
    </row>
    <row r="2134" spans="2:2" x14ac:dyDescent="0.25">
      <c r="B2134" s="11"/>
    </row>
    <row r="2135" spans="2:2" x14ac:dyDescent="0.25">
      <c r="B2135" s="11"/>
    </row>
    <row r="2136" spans="2:2" x14ac:dyDescent="0.25">
      <c r="B2136" s="11"/>
    </row>
    <row r="2137" spans="2:2" x14ac:dyDescent="0.25">
      <c r="B2137" s="11"/>
    </row>
    <row r="2138" spans="2:2" x14ac:dyDescent="0.25">
      <c r="B2138" s="11"/>
    </row>
    <row r="2139" spans="2:2" x14ac:dyDescent="0.25">
      <c r="B2139" s="11"/>
    </row>
    <row r="2140" spans="2:2" x14ac:dyDescent="0.25">
      <c r="B2140" s="11"/>
    </row>
    <row r="2141" spans="2:2" x14ac:dyDescent="0.25">
      <c r="B2141" s="11"/>
    </row>
    <row r="2142" spans="2:2" x14ac:dyDescent="0.25">
      <c r="B2142" s="11"/>
    </row>
    <row r="2143" spans="2:2" x14ac:dyDescent="0.25">
      <c r="B2143" s="11"/>
    </row>
    <row r="2144" spans="2:2" x14ac:dyDescent="0.25">
      <c r="B2144" s="11"/>
    </row>
    <row r="2145" spans="2:2" x14ac:dyDescent="0.25">
      <c r="B2145" s="11"/>
    </row>
    <row r="2146" spans="2:2" x14ac:dyDescent="0.25">
      <c r="B2146" s="11"/>
    </row>
    <row r="2147" spans="2:2" x14ac:dyDescent="0.25">
      <c r="B2147" s="11"/>
    </row>
    <row r="2148" spans="2:2" x14ac:dyDescent="0.25">
      <c r="B2148" s="11"/>
    </row>
    <row r="2149" spans="2:2" x14ac:dyDescent="0.25">
      <c r="B2149" s="11"/>
    </row>
    <row r="2150" spans="2:2" x14ac:dyDescent="0.25">
      <c r="B2150" s="11"/>
    </row>
    <row r="2151" spans="2:2" x14ac:dyDescent="0.25">
      <c r="B2151" s="11"/>
    </row>
    <row r="2152" spans="2:2" x14ac:dyDescent="0.25">
      <c r="B2152" s="11"/>
    </row>
    <row r="2153" spans="2:2" x14ac:dyDescent="0.25">
      <c r="B2153" s="11"/>
    </row>
    <row r="2154" spans="2:2" x14ac:dyDescent="0.25">
      <c r="B2154" s="11"/>
    </row>
    <row r="2155" spans="2:2" x14ac:dyDescent="0.25">
      <c r="B2155" s="11"/>
    </row>
    <row r="2156" spans="2:2" x14ac:dyDescent="0.25">
      <c r="B2156" s="11"/>
    </row>
    <row r="2157" spans="2:2" x14ac:dyDescent="0.25">
      <c r="B2157" s="11"/>
    </row>
    <row r="2158" spans="2:2" x14ac:dyDescent="0.25">
      <c r="B2158" s="11"/>
    </row>
    <row r="2159" spans="2:2" x14ac:dyDescent="0.25">
      <c r="B2159" s="11"/>
    </row>
    <row r="2160" spans="2:2" x14ac:dyDescent="0.25">
      <c r="B2160" s="11"/>
    </row>
    <row r="2161" spans="2:2" x14ac:dyDescent="0.25">
      <c r="B2161" s="11"/>
    </row>
    <row r="2162" spans="2:2" x14ac:dyDescent="0.25">
      <c r="B2162" s="11"/>
    </row>
    <row r="2163" spans="2:2" x14ac:dyDescent="0.25">
      <c r="B2163" s="11"/>
    </row>
    <row r="2164" spans="2:2" x14ac:dyDescent="0.25">
      <c r="B2164" s="11"/>
    </row>
    <row r="2165" spans="2:2" x14ac:dyDescent="0.25">
      <c r="B2165" s="11"/>
    </row>
    <row r="2166" spans="2:2" x14ac:dyDescent="0.25">
      <c r="B2166" s="11"/>
    </row>
    <row r="2167" spans="2:2" x14ac:dyDescent="0.25">
      <c r="B2167" s="11"/>
    </row>
    <row r="2168" spans="2:2" x14ac:dyDescent="0.25">
      <c r="B2168" s="11"/>
    </row>
    <row r="2169" spans="2:2" x14ac:dyDescent="0.25">
      <c r="B2169" s="11"/>
    </row>
    <row r="2170" spans="2:2" x14ac:dyDescent="0.25">
      <c r="B2170" s="11"/>
    </row>
    <row r="2171" spans="2:2" x14ac:dyDescent="0.25">
      <c r="B2171" s="11"/>
    </row>
    <row r="2172" spans="2:2" x14ac:dyDescent="0.25">
      <c r="B2172" s="11"/>
    </row>
    <row r="2173" spans="2:2" x14ac:dyDescent="0.25">
      <c r="B2173" s="11"/>
    </row>
    <row r="2174" spans="2:2" x14ac:dyDescent="0.25">
      <c r="B2174" s="11"/>
    </row>
    <row r="2175" spans="2:2" x14ac:dyDescent="0.25">
      <c r="B2175" s="11"/>
    </row>
    <row r="2176" spans="2:2" x14ac:dyDescent="0.25">
      <c r="B2176" s="11"/>
    </row>
    <row r="2177" spans="2:2" x14ac:dyDescent="0.25">
      <c r="B2177" s="11"/>
    </row>
    <row r="2178" spans="2:2" x14ac:dyDescent="0.25">
      <c r="B2178" s="11"/>
    </row>
    <row r="2179" spans="2:2" x14ac:dyDescent="0.25">
      <c r="B2179" s="11"/>
    </row>
    <row r="2180" spans="2:2" x14ac:dyDescent="0.25">
      <c r="B2180" s="11"/>
    </row>
    <row r="2181" spans="2:2" x14ac:dyDescent="0.25">
      <c r="B2181" s="11"/>
    </row>
    <row r="2182" spans="2:2" x14ac:dyDescent="0.25">
      <c r="B2182" s="11"/>
    </row>
    <row r="2183" spans="2:2" x14ac:dyDescent="0.25">
      <c r="B2183" s="11"/>
    </row>
    <row r="2184" spans="2:2" x14ac:dyDescent="0.25">
      <c r="B2184" s="11"/>
    </row>
    <row r="2185" spans="2:2" x14ac:dyDescent="0.25">
      <c r="B2185" s="11"/>
    </row>
    <row r="2186" spans="2:2" x14ac:dyDescent="0.25">
      <c r="B2186" s="11"/>
    </row>
    <row r="2187" spans="2:2" x14ac:dyDescent="0.25">
      <c r="B2187" s="11"/>
    </row>
    <row r="2188" spans="2:2" x14ac:dyDescent="0.25">
      <c r="B2188" s="11"/>
    </row>
    <row r="2189" spans="2:2" x14ac:dyDescent="0.25">
      <c r="B2189" s="11"/>
    </row>
    <row r="2190" spans="2:2" x14ac:dyDescent="0.25">
      <c r="B2190" s="11"/>
    </row>
    <row r="2191" spans="2:2" x14ac:dyDescent="0.25">
      <c r="B2191" s="11"/>
    </row>
    <row r="2192" spans="2:2" x14ac:dyDescent="0.25">
      <c r="B2192" s="11"/>
    </row>
    <row r="2193" spans="2:2" x14ac:dyDescent="0.25">
      <c r="B2193" s="11"/>
    </row>
    <row r="2194" spans="2:2" x14ac:dyDescent="0.25">
      <c r="B2194" s="11"/>
    </row>
    <row r="2195" spans="2:2" x14ac:dyDescent="0.25">
      <c r="B2195" s="11"/>
    </row>
    <row r="2196" spans="2:2" x14ac:dyDescent="0.25">
      <c r="B2196" s="11"/>
    </row>
    <row r="2197" spans="2:2" x14ac:dyDescent="0.25">
      <c r="B2197" s="11"/>
    </row>
    <row r="2198" spans="2:2" x14ac:dyDescent="0.25">
      <c r="B2198" s="11"/>
    </row>
    <row r="2199" spans="2:2" x14ac:dyDescent="0.25">
      <c r="B2199" s="11"/>
    </row>
    <row r="2200" spans="2:2" x14ac:dyDescent="0.25">
      <c r="B2200" s="11"/>
    </row>
    <row r="2201" spans="2:2" x14ac:dyDescent="0.25">
      <c r="B2201" s="11"/>
    </row>
    <row r="2202" spans="2:2" x14ac:dyDescent="0.25">
      <c r="B2202" s="11"/>
    </row>
    <row r="2203" spans="2:2" x14ac:dyDescent="0.25">
      <c r="B2203" s="11"/>
    </row>
    <row r="2204" spans="2:2" x14ac:dyDescent="0.25">
      <c r="B2204" s="11"/>
    </row>
    <row r="2205" spans="2:2" x14ac:dyDescent="0.25">
      <c r="B2205" s="11"/>
    </row>
    <row r="2206" spans="2:2" x14ac:dyDescent="0.25">
      <c r="B2206" s="11"/>
    </row>
    <row r="2207" spans="2:2" x14ac:dyDescent="0.25">
      <c r="B2207" s="11"/>
    </row>
    <row r="2208" spans="2:2" x14ac:dyDescent="0.25">
      <c r="B2208" s="11"/>
    </row>
    <row r="2209" spans="2:2" x14ac:dyDescent="0.25">
      <c r="B2209" s="11"/>
    </row>
    <row r="2210" spans="2:2" x14ac:dyDescent="0.25">
      <c r="B2210" s="11"/>
    </row>
    <row r="2211" spans="2:2" x14ac:dyDescent="0.25">
      <c r="B2211" s="11"/>
    </row>
    <row r="2212" spans="2:2" x14ac:dyDescent="0.25">
      <c r="B2212" s="11"/>
    </row>
    <row r="2213" spans="2:2" x14ac:dyDescent="0.25">
      <c r="B2213" s="11"/>
    </row>
    <row r="2214" spans="2:2" x14ac:dyDescent="0.25">
      <c r="B2214" s="11"/>
    </row>
    <row r="2215" spans="2:2" x14ac:dyDescent="0.25">
      <c r="B2215" s="11"/>
    </row>
    <row r="2216" spans="2:2" x14ac:dyDescent="0.25">
      <c r="B2216" s="11"/>
    </row>
    <row r="2217" spans="2:2" x14ac:dyDescent="0.25">
      <c r="B2217" s="11"/>
    </row>
    <row r="2218" spans="2:2" x14ac:dyDescent="0.25">
      <c r="B2218" s="11"/>
    </row>
    <row r="2219" spans="2:2" x14ac:dyDescent="0.25">
      <c r="B2219" s="11"/>
    </row>
    <row r="2220" spans="2:2" x14ac:dyDescent="0.25">
      <c r="B2220" s="11"/>
    </row>
    <row r="2221" spans="2:2" x14ac:dyDescent="0.25">
      <c r="B2221" s="11"/>
    </row>
    <row r="2222" spans="2:2" x14ac:dyDescent="0.25">
      <c r="B2222" s="11"/>
    </row>
    <row r="2223" spans="2:2" x14ac:dyDescent="0.25">
      <c r="B2223" s="11"/>
    </row>
    <row r="2224" spans="2:2" x14ac:dyDescent="0.25">
      <c r="B2224" s="11"/>
    </row>
    <row r="2225" spans="2:2" x14ac:dyDescent="0.25">
      <c r="B2225" s="11"/>
    </row>
    <row r="2226" spans="2:2" x14ac:dyDescent="0.25">
      <c r="B2226" s="11"/>
    </row>
    <row r="2227" spans="2:2" x14ac:dyDescent="0.25">
      <c r="B2227" s="11"/>
    </row>
    <row r="2228" spans="2:2" x14ac:dyDescent="0.25">
      <c r="B2228" s="11"/>
    </row>
    <row r="2229" spans="2:2" x14ac:dyDescent="0.25">
      <c r="B2229" s="11"/>
    </row>
    <row r="2230" spans="2:2" x14ac:dyDescent="0.25">
      <c r="B2230" s="11"/>
    </row>
    <row r="2231" spans="2:2" x14ac:dyDescent="0.25">
      <c r="B2231" s="11"/>
    </row>
    <row r="2232" spans="2:2" x14ac:dyDescent="0.25">
      <c r="B2232" s="11"/>
    </row>
    <row r="2233" spans="2:2" x14ac:dyDescent="0.25">
      <c r="B2233" s="11"/>
    </row>
    <row r="2234" spans="2:2" x14ac:dyDescent="0.25">
      <c r="B2234" s="11"/>
    </row>
    <row r="2235" spans="2:2" x14ac:dyDescent="0.25">
      <c r="B2235" s="11"/>
    </row>
    <row r="2236" spans="2:2" x14ac:dyDescent="0.25">
      <c r="B2236" s="11"/>
    </row>
    <row r="2237" spans="2:2" x14ac:dyDescent="0.25">
      <c r="B2237" s="11"/>
    </row>
    <row r="2238" spans="2:2" x14ac:dyDescent="0.25">
      <c r="B2238" s="11"/>
    </row>
    <row r="2239" spans="2:2" x14ac:dyDescent="0.25">
      <c r="B2239" s="11"/>
    </row>
    <row r="2240" spans="2:2" x14ac:dyDescent="0.25">
      <c r="B2240" s="11"/>
    </row>
    <row r="2241" spans="2:2" x14ac:dyDescent="0.25">
      <c r="B2241" s="11"/>
    </row>
    <row r="2242" spans="2:2" x14ac:dyDescent="0.25">
      <c r="B2242" s="11"/>
    </row>
    <row r="2243" spans="2:2" x14ac:dyDescent="0.25">
      <c r="B2243" s="11"/>
    </row>
    <row r="2244" spans="2:2" x14ac:dyDescent="0.25">
      <c r="B2244" s="11"/>
    </row>
    <row r="2245" spans="2:2" x14ac:dyDescent="0.25">
      <c r="B2245" s="11"/>
    </row>
    <row r="2246" spans="2:2" x14ac:dyDescent="0.25">
      <c r="B2246" s="11"/>
    </row>
    <row r="2247" spans="2:2" x14ac:dyDescent="0.25">
      <c r="B2247" s="11"/>
    </row>
    <row r="2248" spans="2:2" x14ac:dyDescent="0.25">
      <c r="B2248" s="11"/>
    </row>
    <row r="2249" spans="2:2" x14ac:dyDescent="0.25">
      <c r="B2249" s="11"/>
    </row>
    <row r="2250" spans="2:2" x14ac:dyDescent="0.25">
      <c r="B2250" s="11"/>
    </row>
    <row r="2251" spans="2:2" x14ac:dyDescent="0.25">
      <c r="B2251" s="11"/>
    </row>
    <row r="2252" spans="2:2" x14ac:dyDescent="0.25">
      <c r="B2252" s="11"/>
    </row>
    <row r="2253" spans="2:2" x14ac:dyDescent="0.25">
      <c r="B2253" s="11"/>
    </row>
    <row r="2254" spans="2:2" x14ac:dyDescent="0.25">
      <c r="B2254" s="11"/>
    </row>
    <row r="2255" spans="2:2" x14ac:dyDescent="0.25">
      <c r="B2255" s="11"/>
    </row>
    <row r="2256" spans="2:2" x14ac:dyDescent="0.25">
      <c r="B2256" s="11"/>
    </row>
    <row r="2257" spans="2:2" x14ac:dyDescent="0.25">
      <c r="B2257" s="11"/>
    </row>
    <row r="2258" spans="2:2" x14ac:dyDescent="0.25">
      <c r="B2258" s="11"/>
    </row>
    <row r="2259" spans="2:2" x14ac:dyDescent="0.25">
      <c r="B2259" s="11"/>
    </row>
    <row r="2260" spans="2:2" x14ac:dyDescent="0.25">
      <c r="B2260" s="11"/>
    </row>
    <row r="2261" spans="2:2" x14ac:dyDescent="0.25">
      <c r="B2261" s="11"/>
    </row>
    <row r="2262" spans="2:2" x14ac:dyDescent="0.25">
      <c r="B2262" s="11"/>
    </row>
    <row r="2263" spans="2:2" x14ac:dyDescent="0.25">
      <c r="B2263" s="11"/>
    </row>
    <row r="2264" spans="2:2" x14ac:dyDescent="0.25">
      <c r="B2264" s="11"/>
    </row>
    <row r="2265" spans="2:2" x14ac:dyDescent="0.25">
      <c r="B2265" s="11"/>
    </row>
    <row r="2266" spans="2:2" x14ac:dyDescent="0.25">
      <c r="B2266" s="11"/>
    </row>
    <row r="2267" spans="2:2" x14ac:dyDescent="0.25">
      <c r="B2267" s="11"/>
    </row>
    <row r="2268" spans="2:2" x14ac:dyDescent="0.25">
      <c r="B2268" s="11"/>
    </row>
    <row r="2269" spans="2:2" x14ac:dyDescent="0.25">
      <c r="B2269" s="11"/>
    </row>
    <row r="2270" spans="2:2" x14ac:dyDescent="0.25">
      <c r="B2270" s="11"/>
    </row>
    <row r="2271" spans="2:2" x14ac:dyDescent="0.25">
      <c r="B2271" s="11"/>
    </row>
    <row r="2272" spans="2:2" x14ac:dyDescent="0.25">
      <c r="B2272" s="11"/>
    </row>
    <row r="2273" spans="2:2" x14ac:dyDescent="0.25">
      <c r="B2273" s="11"/>
    </row>
    <row r="2274" spans="2:2" x14ac:dyDescent="0.25">
      <c r="B2274" s="11"/>
    </row>
    <row r="2275" spans="2:2" x14ac:dyDescent="0.25">
      <c r="B2275" s="11"/>
    </row>
    <row r="2276" spans="2:2" x14ac:dyDescent="0.25">
      <c r="B2276" s="11"/>
    </row>
    <row r="2277" spans="2:2" x14ac:dyDescent="0.25">
      <c r="B2277" s="11"/>
    </row>
    <row r="2278" spans="2:2" x14ac:dyDescent="0.25">
      <c r="B2278" s="11"/>
    </row>
    <row r="2279" spans="2:2" x14ac:dyDescent="0.25">
      <c r="B2279" s="11"/>
    </row>
    <row r="2280" spans="2:2" x14ac:dyDescent="0.25">
      <c r="B2280" s="11"/>
    </row>
    <row r="2281" spans="2:2" x14ac:dyDescent="0.25">
      <c r="B2281" s="11"/>
    </row>
    <row r="2282" spans="2:2" x14ac:dyDescent="0.25">
      <c r="B2282" s="11"/>
    </row>
    <row r="2283" spans="2:2" x14ac:dyDescent="0.25">
      <c r="B2283" s="11"/>
    </row>
    <row r="2284" spans="2:2" x14ac:dyDescent="0.25">
      <c r="B2284" s="11"/>
    </row>
    <row r="2285" spans="2:2" x14ac:dyDescent="0.25">
      <c r="B2285" s="11"/>
    </row>
    <row r="2286" spans="2:2" x14ac:dyDescent="0.25">
      <c r="B2286" s="11"/>
    </row>
    <row r="2287" spans="2:2" x14ac:dyDescent="0.25">
      <c r="B2287" s="11"/>
    </row>
    <row r="2288" spans="2:2" x14ac:dyDescent="0.25">
      <c r="B2288" s="11"/>
    </row>
    <row r="2289" spans="2:2" x14ac:dyDescent="0.25">
      <c r="B2289" s="11"/>
    </row>
    <row r="2290" spans="2:2" x14ac:dyDescent="0.25">
      <c r="B2290" s="11"/>
    </row>
    <row r="2291" spans="2:2" x14ac:dyDescent="0.25">
      <c r="B2291" s="11"/>
    </row>
    <row r="2292" spans="2:2" x14ac:dyDescent="0.25">
      <c r="B2292" s="11"/>
    </row>
    <row r="2293" spans="2:2" x14ac:dyDescent="0.25">
      <c r="B2293" s="11"/>
    </row>
    <row r="2294" spans="2:2" x14ac:dyDescent="0.25">
      <c r="B2294" s="11"/>
    </row>
    <row r="2295" spans="2:2" x14ac:dyDescent="0.25">
      <c r="B2295" s="11"/>
    </row>
    <row r="2296" spans="2:2" x14ac:dyDescent="0.25">
      <c r="B2296" s="11"/>
    </row>
    <row r="2297" spans="2:2" x14ac:dyDescent="0.25">
      <c r="B2297" s="11"/>
    </row>
    <row r="2298" spans="2:2" x14ac:dyDescent="0.25">
      <c r="B2298" s="11"/>
    </row>
    <row r="2299" spans="2:2" x14ac:dyDescent="0.25">
      <c r="B2299" s="11"/>
    </row>
    <row r="2300" spans="2:2" x14ac:dyDescent="0.25">
      <c r="B2300" s="11"/>
    </row>
    <row r="2301" spans="2:2" x14ac:dyDescent="0.25">
      <c r="B2301" s="11"/>
    </row>
    <row r="2302" spans="2:2" x14ac:dyDescent="0.25">
      <c r="B2302" s="11"/>
    </row>
    <row r="2303" spans="2:2" x14ac:dyDescent="0.25">
      <c r="B2303" s="11"/>
    </row>
    <row r="2304" spans="2:2" x14ac:dyDescent="0.25">
      <c r="B2304" s="11"/>
    </row>
    <row r="2305" spans="2:2" x14ac:dyDescent="0.25">
      <c r="B2305" s="11"/>
    </row>
    <row r="2306" spans="2:2" x14ac:dyDescent="0.25">
      <c r="B2306" s="11"/>
    </row>
    <row r="2307" spans="2:2" x14ac:dyDescent="0.25">
      <c r="B2307" s="11"/>
    </row>
    <row r="2308" spans="2:2" x14ac:dyDescent="0.25">
      <c r="B2308" s="11"/>
    </row>
    <row r="2309" spans="2:2" x14ac:dyDescent="0.25">
      <c r="B2309" s="11"/>
    </row>
    <row r="2310" spans="2:2" x14ac:dyDescent="0.25">
      <c r="B2310" s="11"/>
    </row>
    <row r="2311" spans="2:2" x14ac:dyDescent="0.25">
      <c r="B2311" s="11"/>
    </row>
    <row r="2312" spans="2:2" x14ac:dyDescent="0.25">
      <c r="B2312" s="11"/>
    </row>
    <row r="2313" spans="2:2" x14ac:dyDescent="0.25">
      <c r="B2313" s="11"/>
    </row>
    <row r="2314" spans="2:2" x14ac:dyDescent="0.25">
      <c r="B2314" s="11"/>
    </row>
    <row r="2315" spans="2:2" x14ac:dyDescent="0.25">
      <c r="B2315" s="11"/>
    </row>
    <row r="2316" spans="2:2" x14ac:dyDescent="0.25">
      <c r="B2316" s="11"/>
    </row>
    <row r="2317" spans="2:2" x14ac:dyDescent="0.25">
      <c r="B2317" s="11"/>
    </row>
    <row r="2318" spans="2:2" x14ac:dyDescent="0.25">
      <c r="B2318" s="11"/>
    </row>
    <row r="2319" spans="2:2" x14ac:dyDescent="0.25">
      <c r="B2319" s="11"/>
    </row>
    <row r="2320" spans="2:2" x14ac:dyDescent="0.25">
      <c r="B2320" s="11"/>
    </row>
    <row r="2321" spans="2:2" x14ac:dyDescent="0.25">
      <c r="B2321" s="11"/>
    </row>
    <row r="2322" spans="2:2" x14ac:dyDescent="0.25">
      <c r="B2322" s="11"/>
    </row>
    <row r="2323" spans="2:2" x14ac:dyDescent="0.25">
      <c r="B2323" s="11"/>
    </row>
    <row r="2324" spans="2:2" x14ac:dyDescent="0.25">
      <c r="B2324" s="11"/>
    </row>
    <row r="2325" spans="2:2" x14ac:dyDescent="0.25">
      <c r="B2325" s="11"/>
    </row>
    <row r="2326" spans="2:2" x14ac:dyDescent="0.25">
      <c r="B2326" s="11"/>
    </row>
    <row r="2327" spans="2:2" x14ac:dyDescent="0.25">
      <c r="B2327" s="11"/>
    </row>
    <row r="2328" spans="2:2" x14ac:dyDescent="0.25">
      <c r="B2328" s="11"/>
    </row>
    <row r="2329" spans="2:2" x14ac:dyDescent="0.25">
      <c r="B2329" s="11"/>
    </row>
    <row r="2330" spans="2:2" x14ac:dyDescent="0.25">
      <c r="B2330" s="11"/>
    </row>
    <row r="2331" spans="2:2" x14ac:dyDescent="0.25">
      <c r="B2331" s="11"/>
    </row>
    <row r="2332" spans="2:2" x14ac:dyDescent="0.25">
      <c r="B2332" s="11"/>
    </row>
    <row r="2333" spans="2:2" x14ac:dyDescent="0.25">
      <c r="B2333" s="11"/>
    </row>
    <row r="2334" spans="2:2" x14ac:dyDescent="0.25">
      <c r="B2334" s="11"/>
    </row>
    <row r="2335" spans="2:2" x14ac:dyDescent="0.25">
      <c r="B2335" s="11"/>
    </row>
    <row r="2336" spans="2:2" x14ac:dyDescent="0.25">
      <c r="B2336" s="11"/>
    </row>
    <row r="2337" spans="2:2" x14ac:dyDescent="0.25">
      <c r="B2337" s="11"/>
    </row>
    <row r="2338" spans="2:2" x14ac:dyDescent="0.25">
      <c r="B2338" s="11"/>
    </row>
    <row r="2339" spans="2:2" x14ac:dyDescent="0.25">
      <c r="B2339" s="11"/>
    </row>
    <row r="2340" spans="2:2" x14ac:dyDescent="0.25">
      <c r="B2340" s="11"/>
    </row>
    <row r="2341" spans="2:2" x14ac:dyDescent="0.25">
      <c r="B2341" s="11"/>
    </row>
    <row r="2342" spans="2:2" x14ac:dyDescent="0.25">
      <c r="B2342" s="11"/>
    </row>
    <row r="2343" spans="2:2" x14ac:dyDescent="0.25">
      <c r="B2343" s="11"/>
    </row>
    <row r="2344" spans="2:2" x14ac:dyDescent="0.25">
      <c r="B2344" s="11"/>
    </row>
    <row r="2345" spans="2:2" x14ac:dyDescent="0.25">
      <c r="B2345" s="11"/>
    </row>
    <row r="2346" spans="2:2" x14ac:dyDescent="0.25">
      <c r="B2346" s="11"/>
    </row>
    <row r="2347" spans="2:2" x14ac:dyDescent="0.25">
      <c r="B2347" s="11"/>
    </row>
    <row r="2348" spans="2:2" x14ac:dyDescent="0.25">
      <c r="B2348" s="11"/>
    </row>
    <row r="2349" spans="2:2" x14ac:dyDescent="0.25">
      <c r="B2349" s="11"/>
    </row>
    <row r="2350" spans="2:2" x14ac:dyDescent="0.25">
      <c r="B2350" s="11"/>
    </row>
    <row r="2351" spans="2:2" x14ac:dyDescent="0.25">
      <c r="B2351" s="11"/>
    </row>
    <row r="2352" spans="2:2" x14ac:dyDescent="0.25">
      <c r="B2352" s="11"/>
    </row>
    <row r="2353" spans="2:2" x14ac:dyDescent="0.25">
      <c r="B2353" s="11"/>
    </row>
    <row r="2354" spans="2:2" x14ac:dyDescent="0.25">
      <c r="B2354" s="11"/>
    </row>
    <row r="2355" spans="2:2" x14ac:dyDescent="0.25">
      <c r="B2355" s="11"/>
    </row>
    <row r="2356" spans="2:2" x14ac:dyDescent="0.25">
      <c r="B2356" s="11"/>
    </row>
    <row r="2357" spans="2:2" x14ac:dyDescent="0.25">
      <c r="B2357" s="11"/>
    </row>
    <row r="2358" spans="2:2" x14ac:dyDescent="0.25">
      <c r="B2358" s="11"/>
    </row>
    <row r="2359" spans="2:2" x14ac:dyDescent="0.25">
      <c r="B2359" s="11"/>
    </row>
    <row r="2360" spans="2:2" x14ac:dyDescent="0.25">
      <c r="B2360" s="11"/>
    </row>
    <row r="2361" spans="2:2" x14ac:dyDescent="0.25">
      <c r="B2361" s="11"/>
    </row>
    <row r="2362" spans="2:2" x14ac:dyDescent="0.25">
      <c r="B2362" s="11"/>
    </row>
    <row r="2363" spans="2:2" x14ac:dyDescent="0.25">
      <c r="B2363" s="11"/>
    </row>
    <row r="2364" spans="2:2" x14ac:dyDescent="0.25">
      <c r="B2364" s="11"/>
    </row>
    <row r="2365" spans="2:2" x14ac:dyDescent="0.25">
      <c r="B2365" s="11"/>
    </row>
    <row r="2366" spans="2:2" x14ac:dyDescent="0.25">
      <c r="B2366" s="11"/>
    </row>
    <row r="2367" spans="2:2" x14ac:dyDescent="0.25">
      <c r="B2367" s="11"/>
    </row>
    <row r="2368" spans="2:2" x14ac:dyDescent="0.25">
      <c r="B2368" s="11"/>
    </row>
    <row r="2369" spans="2:2" x14ac:dyDescent="0.25">
      <c r="B2369" s="11"/>
    </row>
    <row r="2370" spans="2:2" x14ac:dyDescent="0.25">
      <c r="B2370" s="11"/>
    </row>
    <row r="2371" spans="2:2" x14ac:dyDescent="0.25">
      <c r="B2371" s="11"/>
    </row>
    <row r="2372" spans="2:2" x14ac:dyDescent="0.25">
      <c r="B2372" s="11"/>
    </row>
    <row r="2373" spans="2:2" x14ac:dyDescent="0.25">
      <c r="B2373" s="11"/>
    </row>
    <row r="2374" spans="2:2" x14ac:dyDescent="0.25">
      <c r="B2374" s="11"/>
    </row>
    <row r="2375" spans="2:2" x14ac:dyDescent="0.25">
      <c r="B2375" s="11"/>
    </row>
    <row r="2376" spans="2:2" x14ac:dyDescent="0.25">
      <c r="B2376" s="11"/>
    </row>
    <row r="2377" spans="2:2" x14ac:dyDescent="0.25">
      <c r="B2377" s="11"/>
    </row>
    <row r="2378" spans="2:2" x14ac:dyDescent="0.25">
      <c r="B2378" s="11"/>
    </row>
    <row r="2379" spans="2:2" x14ac:dyDescent="0.25">
      <c r="B2379" s="11"/>
    </row>
    <row r="2380" spans="2:2" x14ac:dyDescent="0.25">
      <c r="B2380" s="11"/>
    </row>
    <row r="2381" spans="2:2" x14ac:dyDescent="0.25">
      <c r="B2381" s="11"/>
    </row>
    <row r="2382" spans="2:2" x14ac:dyDescent="0.25">
      <c r="B2382" s="11"/>
    </row>
    <row r="2383" spans="2:2" x14ac:dyDescent="0.25">
      <c r="B2383" s="11"/>
    </row>
    <row r="2384" spans="2:2" x14ac:dyDescent="0.25">
      <c r="B2384" s="11"/>
    </row>
    <row r="2385" spans="2:2" x14ac:dyDescent="0.25">
      <c r="B2385" s="11"/>
    </row>
    <row r="2386" spans="2:2" x14ac:dyDescent="0.25">
      <c r="B2386" s="11"/>
    </row>
    <row r="2387" spans="2:2" x14ac:dyDescent="0.25">
      <c r="B2387" s="11"/>
    </row>
    <row r="2388" spans="2:2" x14ac:dyDescent="0.25">
      <c r="B2388" s="11"/>
    </row>
    <row r="2389" spans="2:2" x14ac:dyDescent="0.25">
      <c r="B2389" s="11"/>
    </row>
    <row r="2390" spans="2:2" x14ac:dyDescent="0.25">
      <c r="B2390" s="11"/>
    </row>
    <row r="2391" spans="2:2" x14ac:dyDescent="0.25">
      <c r="B2391" s="11"/>
    </row>
    <row r="2392" spans="2:2" x14ac:dyDescent="0.25">
      <c r="B2392" s="11"/>
    </row>
    <row r="2393" spans="2:2" x14ac:dyDescent="0.25">
      <c r="B2393" s="11"/>
    </row>
    <row r="2394" spans="2:2" x14ac:dyDescent="0.25">
      <c r="B2394" s="11"/>
    </row>
    <row r="2395" spans="2:2" x14ac:dyDescent="0.25">
      <c r="B2395" s="11"/>
    </row>
    <row r="2396" spans="2:2" x14ac:dyDescent="0.25">
      <c r="B2396" s="11"/>
    </row>
    <row r="2397" spans="2:2" x14ac:dyDescent="0.25">
      <c r="B2397" s="11"/>
    </row>
    <row r="2398" spans="2:2" x14ac:dyDescent="0.25">
      <c r="B2398" s="11"/>
    </row>
    <row r="2399" spans="2:2" x14ac:dyDescent="0.25">
      <c r="B2399" s="11"/>
    </row>
    <row r="2400" spans="2:2" x14ac:dyDescent="0.25">
      <c r="B2400" s="11"/>
    </row>
    <row r="2401" spans="2:2" x14ac:dyDescent="0.25">
      <c r="B2401" s="11"/>
    </row>
    <row r="2402" spans="2:2" x14ac:dyDescent="0.25">
      <c r="B2402" s="11"/>
    </row>
    <row r="2403" spans="2:2" x14ac:dyDescent="0.25">
      <c r="B2403" s="11"/>
    </row>
    <row r="2404" spans="2:2" x14ac:dyDescent="0.25">
      <c r="B2404" s="11"/>
    </row>
    <row r="2405" spans="2:2" x14ac:dyDescent="0.25">
      <c r="B2405" s="11"/>
    </row>
    <row r="2406" spans="2:2" x14ac:dyDescent="0.25">
      <c r="B2406" s="11"/>
    </row>
    <row r="2407" spans="2:2" x14ac:dyDescent="0.25">
      <c r="B2407" s="11"/>
    </row>
    <row r="2408" spans="2:2" x14ac:dyDescent="0.25">
      <c r="B2408" s="11"/>
    </row>
    <row r="2409" spans="2:2" x14ac:dyDescent="0.25">
      <c r="B2409" s="11"/>
    </row>
    <row r="2410" spans="2:2" x14ac:dyDescent="0.25">
      <c r="B2410" s="11"/>
    </row>
    <row r="2411" spans="2:2" x14ac:dyDescent="0.25">
      <c r="B2411" s="11"/>
    </row>
    <row r="2412" spans="2:2" x14ac:dyDescent="0.25">
      <c r="B2412" s="11"/>
    </row>
    <row r="2413" spans="2:2" x14ac:dyDescent="0.25">
      <c r="B2413" s="11"/>
    </row>
    <row r="2414" spans="2:2" x14ac:dyDescent="0.25">
      <c r="B2414" s="11"/>
    </row>
    <row r="2415" spans="2:2" x14ac:dyDescent="0.25">
      <c r="B2415" s="11"/>
    </row>
    <row r="2416" spans="2:2" x14ac:dyDescent="0.25">
      <c r="B2416" s="11"/>
    </row>
    <row r="2417" spans="2:2" x14ac:dyDescent="0.25">
      <c r="B2417" s="11"/>
    </row>
    <row r="2418" spans="2:2" x14ac:dyDescent="0.25">
      <c r="B2418" s="11"/>
    </row>
    <row r="2419" spans="2:2" x14ac:dyDescent="0.25">
      <c r="B2419" s="11"/>
    </row>
    <row r="2420" spans="2:2" x14ac:dyDescent="0.25">
      <c r="B2420" s="11"/>
    </row>
    <row r="2421" spans="2:2" x14ac:dyDescent="0.25">
      <c r="B2421" s="11"/>
    </row>
    <row r="2422" spans="2:2" x14ac:dyDescent="0.25">
      <c r="B2422" s="11"/>
    </row>
    <row r="2423" spans="2:2" x14ac:dyDescent="0.25">
      <c r="B2423" s="11"/>
    </row>
    <row r="2424" spans="2:2" x14ac:dyDescent="0.25">
      <c r="B2424" s="11"/>
    </row>
    <row r="2425" spans="2:2" x14ac:dyDescent="0.25">
      <c r="B2425" s="11"/>
    </row>
    <row r="2426" spans="2:2" x14ac:dyDescent="0.25">
      <c r="B2426" s="11"/>
    </row>
    <row r="2427" spans="2:2" x14ac:dyDescent="0.25">
      <c r="B2427" s="11"/>
    </row>
    <row r="2428" spans="2:2" x14ac:dyDescent="0.25">
      <c r="B2428" s="11"/>
    </row>
    <row r="2429" spans="2:2" x14ac:dyDescent="0.25">
      <c r="B2429" s="11"/>
    </row>
    <row r="2430" spans="2:2" x14ac:dyDescent="0.25">
      <c r="B2430" s="11"/>
    </row>
    <row r="2431" spans="2:2" x14ac:dyDescent="0.25">
      <c r="B2431" s="11"/>
    </row>
    <row r="2432" spans="2:2" x14ac:dyDescent="0.25">
      <c r="B2432" s="11"/>
    </row>
    <row r="2433" spans="2:2" x14ac:dyDescent="0.25">
      <c r="B2433" s="11"/>
    </row>
    <row r="2434" spans="2:2" x14ac:dyDescent="0.25">
      <c r="B2434" s="11"/>
    </row>
    <row r="2435" spans="2:2" x14ac:dyDescent="0.25">
      <c r="B2435" s="11"/>
    </row>
    <row r="2436" spans="2:2" x14ac:dyDescent="0.25">
      <c r="B2436" s="11"/>
    </row>
    <row r="2437" spans="2:2" x14ac:dyDescent="0.25">
      <c r="B2437" s="11"/>
    </row>
    <row r="2438" spans="2:2" x14ac:dyDescent="0.25">
      <c r="B2438" s="11"/>
    </row>
    <row r="2439" spans="2:2" x14ac:dyDescent="0.25">
      <c r="B2439" s="11"/>
    </row>
    <row r="2440" spans="2:2" x14ac:dyDescent="0.25">
      <c r="B2440" s="11"/>
    </row>
    <row r="2441" spans="2:2" x14ac:dyDescent="0.25">
      <c r="B2441" s="11"/>
    </row>
    <row r="2442" spans="2:2" x14ac:dyDescent="0.25">
      <c r="B2442" s="11"/>
    </row>
    <row r="2443" spans="2:2" x14ac:dyDescent="0.25">
      <c r="B2443" s="11"/>
    </row>
    <row r="2444" spans="2:2" x14ac:dyDescent="0.25">
      <c r="B2444" s="11"/>
    </row>
    <row r="2445" spans="2:2" x14ac:dyDescent="0.25">
      <c r="B2445" s="11"/>
    </row>
    <row r="2446" spans="2:2" x14ac:dyDescent="0.25">
      <c r="B2446" s="11"/>
    </row>
    <row r="2447" spans="2:2" x14ac:dyDescent="0.25">
      <c r="B2447" s="11"/>
    </row>
    <row r="2448" spans="2:2" x14ac:dyDescent="0.25">
      <c r="B2448" s="11"/>
    </row>
    <row r="2449" spans="2:2" x14ac:dyDescent="0.25">
      <c r="B2449" s="11"/>
    </row>
    <row r="2450" spans="2:2" x14ac:dyDescent="0.25">
      <c r="B2450" s="11"/>
    </row>
    <row r="2451" spans="2:2" x14ac:dyDescent="0.25">
      <c r="B2451" s="11"/>
    </row>
    <row r="2452" spans="2:2" x14ac:dyDescent="0.25">
      <c r="B2452" s="11"/>
    </row>
    <row r="2453" spans="2:2" x14ac:dyDescent="0.25">
      <c r="B2453" s="11"/>
    </row>
    <row r="2454" spans="2:2" x14ac:dyDescent="0.25">
      <c r="B2454" s="11"/>
    </row>
    <row r="2455" spans="2:2" x14ac:dyDescent="0.25">
      <c r="B2455" s="11"/>
    </row>
    <row r="2456" spans="2:2" x14ac:dyDescent="0.25">
      <c r="B2456" s="11"/>
    </row>
    <row r="2457" spans="2:2" x14ac:dyDescent="0.25">
      <c r="B2457" s="11"/>
    </row>
    <row r="2458" spans="2:2" x14ac:dyDescent="0.25">
      <c r="B2458" s="11"/>
    </row>
    <row r="2459" spans="2:2" x14ac:dyDescent="0.25">
      <c r="B2459" s="11"/>
    </row>
    <row r="2460" spans="2:2" x14ac:dyDescent="0.25">
      <c r="B2460" s="11"/>
    </row>
    <row r="2461" spans="2:2" x14ac:dyDescent="0.25">
      <c r="B2461" s="11"/>
    </row>
    <row r="2462" spans="2:2" x14ac:dyDescent="0.25">
      <c r="B2462" s="11"/>
    </row>
    <row r="2463" spans="2:2" x14ac:dyDescent="0.25">
      <c r="B2463" s="11"/>
    </row>
    <row r="2464" spans="2:2" x14ac:dyDescent="0.25">
      <c r="B2464" s="11"/>
    </row>
    <row r="2465" spans="2:2" x14ac:dyDescent="0.25">
      <c r="B2465" s="11"/>
    </row>
    <row r="2466" spans="2:2" x14ac:dyDescent="0.25">
      <c r="B2466" s="11"/>
    </row>
    <row r="2467" spans="2:2" x14ac:dyDescent="0.25">
      <c r="B2467" s="11"/>
    </row>
    <row r="2468" spans="2:2" x14ac:dyDescent="0.25">
      <c r="B2468" s="11"/>
    </row>
    <row r="2469" spans="2:2" x14ac:dyDescent="0.25">
      <c r="B2469" s="11"/>
    </row>
    <row r="2470" spans="2:2" x14ac:dyDescent="0.25">
      <c r="B2470" s="11"/>
    </row>
    <row r="2471" spans="2:2" x14ac:dyDescent="0.25">
      <c r="B2471" s="11"/>
    </row>
    <row r="2472" spans="2:2" x14ac:dyDescent="0.25">
      <c r="B2472" s="11"/>
    </row>
    <row r="2473" spans="2:2" x14ac:dyDescent="0.25">
      <c r="B2473" s="11"/>
    </row>
    <row r="2474" spans="2:2" x14ac:dyDescent="0.25">
      <c r="B2474" s="11"/>
    </row>
    <row r="2475" spans="2:2" x14ac:dyDescent="0.25">
      <c r="B2475" s="11"/>
    </row>
    <row r="2476" spans="2:2" x14ac:dyDescent="0.25">
      <c r="B2476" s="11"/>
    </row>
    <row r="2477" spans="2:2" x14ac:dyDescent="0.25">
      <c r="B2477" s="11"/>
    </row>
    <row r="2478" spans="2:2" x14ac:dyDescent="0.25">
      <c r="B2478" s="11"/>
    </row>
    <row r="2479" spans="2:2" x14ac:dyDescent="0.25">
      <c r="B2479" s="11"/>
    </row>
    <row r="2480" spans="2:2" x14ac:dyDescent="0.25">
      <c r="B2480" s="11"/>
    </row>
    <row r="2481" spans="2:2" x14ac:dyDescent="0.25">
      <c r="B2481" s="11"/>
    </row>
    <row r="2482" spans="2:2" x14ac:dyDescent="0.25">
      <c r="B2482" s="11"/>
    </row>
    <row r="2483" spans="2:2" x14ac:dyDescent="0.25">
      <c r="B2483" s="11"/>
    </row>
    <row r="2484" spans="2:2" x14ac:dyDescent="0.25">
      <c r="B2484" s="11"/>
    </row>
    <row r="2485" spans="2:2" x14ac:dyDescent="0.25">
      <c r="B2485" s="11"/>
    </row>
    <row r="2486" spans="2:2" x14ac:dyDescent="0.25">
      <c r="B2486" s="11"/>
    </row>
    <row r="2487" spans="2:2" x14ac:dyDescent="0.25">
      <c r="B2487" s="11"/>
    </row>
    <row r="2488" spans="2:2" x14ac:dyDescent="0.25">
      <c r="B2488" s="11"/>
    </row>
    <row r="2489" spans="2:2" x14ac:dyDescent="0.25">
      <c r="B2489" s="11"/>
    </row>
    <row r="2490" spans="2:2" x14ac:dyDescent="0.25">
      <c r="B2490" s="11"/>
    </row>
    <row r="2491" spans="2:2" x14ac:dyDescent="0.25">
      <c r="B2491" s="11"/>
    </row>
    <row r="2492" spans="2:2" x14ac:dyDescent="0.25">
      <c r="B2492" s="11"/>
    </row>
    <row r="2493" spans="2:2" x14ac:dyDescent="0.25">
      <c r="B2493" s="11"/>
    </row>
    <row r="2494" spans="2:2" x14ac:dyDescent="0.25">
      <c r="B2494" s="11"/>
    </row>
    <row r="2495" spans="2:2" x14ac:dyDescent="0.25">
      <c r="B2495" s="11"/>
    </row>
    <row r="2496" spans="2:2" x14ac:dyDescent="0.25">
      <c r="B2496" s="11"/>
    </row>
    <row r="2497" spans="2:2" x14ac:dyDescent="0.25">
      <c r="B2497" s="11"/>
    </row>
    <row r="2498" spans="2:2" x14ac:dyDescent="0.25">
      <c r="B2498" s="11"/>
    </row>
    <row r="2499" spans="2:2" x14ac:dyDescent="0.25">
      <c r="B2499" s="11"/>
    </row>
    <row r="2500" spans="2:2" x14ac:dyDescent="0.25">
      <c r="B2500" s="11"/>
    </row>
    <row r="2501" spans="2:2" x14ac:dyDescent="0.25">
      <c r="B2501" s="11"/>
    </row>
    <row r="2502" spans="2:2" x14ac:dyDescent="0.25">
      <c r="B2502" s="11"/>
    </row>
    <row r="2503" spans="2:2" x14ac:dyDescent="0.25">
      <c r="B2503" s="11"/>
    </row>
    <row r="2504" spans="2:2" x14ac:dyDescent="0.25">
      <c r="B2504" s="11"/>
    </row>
    <row r="2505" spans="2:2" x14ac:dyDescent="0.25">
      <c r="B2505" s="11"/>
    </row>
    <row r="2506" spans="2:2" x14ac:dyDescent="0.25">
      <c r="B2506" s="11"/>
    </row>
    <row r="2507" spans="2:2" x14ac:dyDescent="0.25">
      <c r="B2507" s="11"/>
    </row>
    <row r="2508" spans="2:2" x14ac:dyDescent="0.25">
      <c r="B2508" s="11"/>
    </row>
    <row r="2509" spans="2:2" x14ac:dyDescent="0.25">
      <c r="B2509" s="11"/>
    </row>
    <row r="2510" spans="2:2" x14ac:dyDescent="0.25">
      <c r="B2510" s="11"/>
    </row>
    <row r="2511" spans="2:2" x14ac:dyDescent="0.25">
      <c r="B2511" s="11"/>
    </row>
    <row r="2512" spans="2:2" x14ac:dyDescent="0.25">
      <c r="B2512" s="11"/>
    </row>
    <row r="2513" spans="2:2" x14ac:dyDescent="0.25">
      <c r="B2513" s="11"/>
    </row>
    <row r="2514" spans="2:2" x14ac:dyDescent="0.25">
      <c r="B2514" s="11"/>
    </row>
    <row r="2515" spans="2:2" x14ac:dyDescent="0.25">
      <c r="B2515" s="11"/>
    </row>
    <row r="2516" spans="2:2" x14ac:dyDescent="0.25">
      <c r="B2516" s="11"/>
    </row>
    <row r="2517" spans="2:2" x14ac:dyDescent="0.25">
      <c r="B2517" s="11"/>
    </row>
    <row r="2518" spans="2:2" x14ac:dyDescent="0.25">
      <c r="B2518" s="11"/>
    </row>
    <row r="2519" spans="2:2" x14ac:dyDescent="0.25">
      <c r="B2519" s="11"/>
    </row>
    <row r="2520" spans="2:2" x14ac:dyDescent="0.25">
      <c r="B2520" s="11"/>
    </row>
    <row r="2521" spans="2:2" x14ac:dyDescent="0.25">
      <c r="B2521" s="11"/>
    </row>
    <row r="2522" spans="2:2" x14ac:dyDescent="0.25">
      <c r="B2522" s="11"/>
    </row>
    <row r="2523" spans="2:2" x14ac:dyDescent="0.25">
      <c r="B2523" s="11"/>
    </row>
    <row r="2524" spans="2:2" x14ac:dyDescent="0.25">
      <c r="B2524" s="11"/>
    </row>
    <row r="2525" spans="2:2" x14ac:dyDescent="0.25">
      <c r="B2525" s="11"/>
    </row>
    <row r="2526" spans="2:2" x14ac:dyDescent="0.25">
      <c r="B2526" s="11"/>
    </row>
    <row r="2527" spans="2:2" x14ac:dyDescent="0.25">
      <c r="B2527" s="11"/>
    </row>
    <row r="2528" spans="2:2" x14ac:dyDescent="0.25">
      <c r="B2528" s="11"/>
    </row>
    <row r="2529" spans="2:2" x14ac:dyDescent="0.25">
      <c r="B2529" s="11"/>
    </row>
    <row r="2530" spans="2:2" x14ac:dyDescent="0.25">
      <c r="B2530" s="11"/>
    </row>
    <row r="2531" spans="2:2" x14ac:dyDescent="0.25">
      <c r="B2531" s="11"/>
    </row>
    <row r="2532" spans="2:2" x14ac:dyDescent="0.25">
      <c r="B2532" s="11"/>
    </row>
    <row r="2533" spans="2:2" x14ac:dyDescent="0.25">
      <c r="B2533" s="11"/>
    </row>
    <row r="2534" spans="2:2" x14ac:dyDescent="0.25">
      <c r="B2534" s="11"/>
    </row>
    <row r="2535" spans="2:2" x14ac:dyDescent="0.25">
      <c r="B2535" s="11"/>
    </row>
    <row r="2536" spans="2:2" x14ac:dyDescent="0.25">
      <c r="B2536" s="11"/>
    </row>
    <row r="2537" spans="2:2" x14ac:dyDescent="0.25">
      <c r="B2537" s="11"/>
    </row>
    <row r="2538" spans="2:2" x14ac:dyDescent="0.25">
      <c r="B2538" s="11"/>
    </row>
    <row r="2539" spans="2:2" x14ac:dyDescent="0.25">
      <c r="B2539" s="11"/>
    </row>
    <row r="2540" spans="2:2" x14ac:dyDescent="0.25">
      <c r="B2540" s="11"/>
    </row>
    <row r="2541" spans="2:2" x14ac:dyDescent="0.25">
      <c r="B2541" s="11"/>
    </row>
    <row r="2542" spans="2:2" x14ac:dyDescent="0.25">
      <c r="B2542" s="11"/>
    </row>
    <row r="2543" spans="2:2" x14ac:dyDescent="0.25">
      <c r="B2543" s="11"/>
    </row>
    <row r="2544" spans="2:2" x14ac:dyDescent="0.25">
      <c r="B2544" s="11"/>
    </row>
    <row r="2545" spans="2:2" x14ac:dyDescent="0.25">
      <c r="B2545" s="11"/>
    </row>
    <row r="2546" spans="2:2" x14ac:dyDescent="0.25">
      <c r="B2546" s="11"/>
    </row>
    <row r="2547" spans="2:2" x14ac:dyDescent="0.25">
      <c r="B2547" s="11"/>
    </row>
    <row r="2548" spans="2:2" x14ac:dyDescent="0.25">
      <c r="B2548" s="11"/>
    </row>
    <row r="2549" spans="2:2" x14ac:dyDescent="0.25">
      <c r="B2549" s="11"/>
    </row>
    <row r="2550" spans="2:2" x14ac:dyDescent="0.25">
      <c r="B2550" s="11"/>
    </row>
    <row r="2551" spans="2:2" x14ac:dyDescent="0.25">
      <c r="B2551" s="11"/>
    </row>
    <row r="2552" spans="2:2" x14ac:dyDescent="0.25">
      <c r="B2552" s="11"/>
    </row>
    <row r="2553" spans="2:2" x14ac:dyDescent="0.25">
      <c r="B2553" s="11"/>
    </row>
    <row r="2554" spans="2:2" x14ac:dyDescent="0.25">
      <c r="B2554" s="11"/>
    </row>
    <row r="2555" spans="2:2" x14ac:dyDescent="0.25">
      <c r="B2555" s="11"/>
    </row>
    <row r="2556" spans="2:2" x14ac:dyDescent="0.25">
      <c r="B2556" s="11"/>
    </row>
    <row r="2557" spans="2:2" x14ac:dyDescent="0.25">
      <c r="B2557" s="11"/>
    </row>
    <row r="2558" spans="2:2" x14ac:dyDescent="0.25">
      <c r="B2558" s="11"/>
    </row>
    <row r="2559" spans="2:2" x14ac:dyDescent="0.25">
      <c r="B2559" s="11"/>
    </row>
    <row r="2560" spans="2:2" x14ac:dyDescent="0.25">
      <c r="B2560" s="11"/>
    </row>
    <row r="2561" spans="2:2" x14ac:dyDescent="0.25">
      <c r="B2561" s="11"/>
    </row>
    <row r="2562" spans="2:2" x14ac:dyDescent="0.25">
      <c r="B2562" s="11"/>
    </row>
    <row r="2563" spans="2:2" x14ac:dyDescent="0.25">
      <c r="B2563" s="11"/>
    </row>
    <row r="2564" spans="2:2" x14ac:dyDescent="0.25">
      <c r="B2564" s="11"/>
    </row>
    <row r="2565" spans="2:2" x14ac:dyDescent="0.25">
      <c r="B2565" s="11"/>
    </row>
    <row r="2566" spans="2:2" x14ac:dyDescent="0.25">
      <c r="B2566" s="11"/>
    </row>
    <row r="2567" spans="2:2" x14ac:dyDescent="0.25">
      <c r="B2567" s="11"/>
    </row>
    <row r="2568" spans="2:2" x14ac:dyDescent="0.25">
      <c r="B2568" s="11"/>
    </row>
    <row r="2569" spans="2:2" x14ac:dyDescent="0.25">
      <c r="B2569" s="11"/>
    </row>
    <row r="2570" spans="2:2" x14ac:dyDescent="0.25">
      <c r="B2570" s="11"/>
    </row>
    <row r="2571" spans="2:2" x14ac:dyDescent="0.25">
      <c r="B2571" s="11"/>
    </row>
    <row r="2572" spans="2:2" x14ac:dyDescent="0.25">
      <c r="B2572" s="11"/>
    </row>
    <row r="2573" spans="2:2" x14ac:dyDescent="0.25">
      <c r="B2573" s="11"/>
    </row>
    <row r="2574" spans="2:2" x14ac:dyDescent="0.25">
      <c r="B2574" s="11"/>
    </row>
    <row r="2575" spans="2:2" x14ac:dyDescent="0.25">
      <c r="B2575" s="11"/>
    </row>
    <row r="2576" spans="2:2" x14ac:dyDescent="0.25">
      <c r="B2576" s="11"/>
    </row>
    <row r="2577" spans="2:2" x14ac:dyDescent="0.25">
      <c r="B2577" s="11"/>
    </row>
    <row r="2578" spans="2:2" x14ac:dyDescent="0.25">
      <c r="B2578" s="11"/>
    </row>
    <row r="2579" spans="2:2" x14ac:dyDescent="0.25">
      <c r="B2579" s="11"/>
    </row>
    <row r="2580" spans="2:2" x14ac:dyDescent="0.25">
      <c r="B2580" s="11"/>
    </row>
    <row r="2581" spans="2:2" x14ac:dyDescent="0.25">
      <c r="B2581" s="11"/>
    </row>
    <row r="2582" spans="2:2" x14ac:dyDescent="0.25">
      <c r="B2582" s="11"/>
    </row>
    <row r="2583" spans="2:2" x14ac:dyDescent="0.25">
      <c r="B2583" s="11"/>
    </row>
    <row r="2584" spans="2:2" x14ac:dyDescent="0.25">
      <c r="B2584" s="11"/>
    </row>
    <row r="2585" spans="2:2" x14ac:dyDescent="0.25">
      <c r="B2585" s="11"/>
    </row>
    <row r="2586" spans="2:2" x14ac:dyDescent="0.25">
      <c r="B2586" s="11"/>
    </row>
    <row r="2587" spans="2:2" x14ac:dyDescent="0.25">
      <c r="B2587" s="11"/>
    </row>
    <row r="2588" spans="2:2" x14ac:dyDescent="0.25">
      <c r="B2588" s="11"/>
    </row>
    <row r="2589" spans="2:2" x14ac:dyDescent="0.25">
      <c r="B2589" s="11"/>
    </row>
    <row r="2590" spans="2:2" x14ac:dyDescent="0.25">
      <c r="B2590" s="11"/>
    </row>
    <row r="2591" spans="2:2" x14ac:dyDescent="0.25">
      <c r="B2591" s="11"/>
    </row>
    <row r="2592" spans="2:2" x14ac:dyDescent="0.25">
      <c r="B2592" s="11"/>
    </row>
    <row r="2593" spans="2:2" x14ac:dyDescent="0.25">
      <c r="B2593" s="11"/>
    </row>
    <row r="2594" spans="2:2" x14ac:dyDescent="0.25">
      <c r="B2594" s="11"/>
    </row>
    <row r="2595" spans="2:2" x14ac:dyDescent="0.25">
      <c r="B2595" s="11"/>
    </row>
    <row r="2596" spans="2:2" x14ac:dyDescent="0.25">
      <c r="B2596" s="11"/>
    </row>
    <row r="2597" spans="2:2" x14ac:dyDescent="0.25">
      <c r="B2597" s="11"/>
    </row>
    <row r="2598" spans="2:2" x14ac:dyDescent="0.25">
      <c r="B2598" s="11"/>
    </row>
    <row r="2599" spans="2:2" x14ac:dyDescent="0.25">
      <c r="B2599" s="11"/>
    </row>
    <row r="2600" spans="2:2" x14ac:dyDescent="0.25">
      <c r="B2600" s="11"/>
    </row>
    <row r="2601" spans="2:2" x14ac:dyDescent="0.25">
      <c r="B2601" s="11"/>
    </row>
    <row r="2602" spans="2:2" x14ac:dyDescent="0.25">
      <c r="B2602" s="11"/>
    </row>
    <row r="2603" spans="2:2" x14ac:dyDescent="0.25">
      <c r="B2603" s="11"/>
    </row>
    <row r="2604" spans="2:2" x14ac:dyDescent="0.25">
      <c r="B2604" s="11"/>
    </row>
    <row r="2605" spans="2:2" x14ac:dyDescent="0.25">
      <c r="B2605" s="11"/>
    </row>
    <row r="2606" spans="2:2" x14ac:dyDescent="0.25">
      <c r="B2606" s="11"/>
    </row>
    <row r="2607" spans="2:2" x14ac:dyDescent="0.25">
      <c r="B2607" s="11"/>
    </row>
    <row r="2608" spans="2:2" x14ac:dyDescent="0.25">
      <c r="B2608" s="11"/>
    </row>
    <row r="2609" spans="2:2" x14ac:dyDescent="0.25">
      <c r="B2609" s="11"/>
    </row>
    <row r="2610" spans="2:2" x14ac:dyDescent="0.25">
      <c r="B2610" s="11"/>
    </row>
    <row r="2611" spans="2:2" x14ac:dyDescent="0.25">
      <c r="B2611" s="11"/>
    </row>
    <row r="2612" spans="2:2" x14ac:dyDescent="0.25">
      <c r="B2612" s="11"/>
    </row>
    <row r="2613" spans="2:2" x14ac:dyDescent="0.25">
      <c r="B2613" s="11"/>
    </row>
    <row r="2614" spans="2:2" x14ac:dyDescent="0.25">
      <c r="B2614" s="11"/>
    </row>
    <row r="2615" spans="2:2" x14ac:dyDescent="0.25">
      <c r="B2615" s="11"/>
    </row>
    <row r="2616" spans="2:2" x14ac:dyDescent="0.25">
      <c r="B2616" s="11"/>
    </row>
    <row r="2617" spans="2:2" x14ac:dyDescent="0.25">
      <c r="B2617" s="11"/>
    </row>
    <row r="2618" spans="2:2" x14ac:dyDescent="0.25">
      <c r="B2618" s="11"/>
    </row>
    <row r="2619" spans="2:2" x14ac:dyDescent="0.25">
      <c r="B2619" s="11"/>
    </row>
    <row r="2620" spans="2:2" x14ac:dyDescent="0.25">
      <c r="B2620" s="11"/>
    </row>
    <row r="2621" spans="2:2" x14ac:dyDescent="0.25">
      <c r="B2621" s="11"/>
    </row>
    <row r="2622" spans="2:2" x14ac:dyDescent="0.25">
      <c r="B2622" s="11"/>
    </row>
    <row r="2623" spans="2:2" x14ac:dyDescent="0.25">
      <c r="B2623" s="11"/>
    </row>
    <row r="2624" spans="2:2" x14ac:dyDescent="0.25">
      <c r="B2624" s="11"/>
    </row>
    <row r="2625" spans="2:2" x14ac:dyDescent="0.25">
      <c r="B2625" s="11"/>
    </row>
    <row r="2626" spans="2:2" x14ac:dyDescent="0.25">
      <c r="B2626" s="11"/>
    </row>
    <row r="2627" spans="2:2" x14ac:dyDescent="0.25">
      <c r="B2627" s="11"/>
    </row>
    <row r="2628" spans="2:2" x14ac:dyDescent="0.25">
      <c r="B2628" s="11"/>
    </row>
    <row r="2629" spans="2:2" x14ac:dyDescent="0.25">
      <c r="B2629" s="11"/>
    </row>
    <row r="2630" spans="2:2" x14ac:dyDescent="0.25">
      <c r="B2630" s="11"/>
    </row>
    <row r="2631" spans="2:2" x14ac:dyDescent="0.25">
      <c r="B2631" s="11"/>
    </row>
    <row r="2632" spans="2:2" x14ac:dyDescent="0.25">
      <c r="B2632" s="11"/>
    </row>
    <row r="2633" spans="2:2" x14ac:dyDescent="0.25">
      <c r="B2633" s="11"/>
    </row>
    <row r="2634" spans="2:2" x14ac:dyDescent="0.25">
      <c r="B2634" s="11"/>
    </row>
    <row r="2635" spans="2:2" x14ac:dyDescent="0.25">
      <c r="B2635" s="11"/>
    </row>
    <row r="2636" spans="2:2" x14ac:dyDescent="0.25">
      <c r="B2636" s="11"/>
    </row>
    <row r="2637" spans="2:2" x14ac:dyDescent="0.25">
      <c r="B2637" s="11"/>
    </row>
    <row r="2638" spans="2:2" x14ac:dyDescent="0.25">
      <c r="B2638" s="11"/>
    </row>
    <row r="2639" spans="2:2" x14ac:dyDescent="0.25">
      <c r="B2639" s="11"/>
    </row>
    <row r="2640" spans="2:2" x14ac:dyDescent="0.25">
      <c r="B2640" s="11"/>
    </row>
    <row r="2641" spans="2:2" x14ac:dyDescent="0.25">
      <c r="B2641" s="11"/>
    </row>
    <row r="2642" spans="2:2" x14ac:dyDescent="0.25">
      <c r="B2642" s="11"/>
    </row>
    <row r="2643" spans="2:2" x14ac:dyDescent="0.25">
      <c r="B2643" s="11"/>
    </row>
    <row r="2644" spans="2:2" x14ac:dyDescent="0.25">
      <c r="B2644" s="11"/>
    </row>
    <row r="2645" spans="2:2" x14ac:dyDescent="0.25">
      <c r="B2645" s="11"/>
    </row>
    <row r="2646" spans="2:2" x14ac:dyDescent="0.25">
      <c r="B2646" s="11"/>
    </row>
    <row r="2647" spans="2:2" x14ac:dyDescent="0.25">
      <c r="B2647" s="11"/>
    </row>
    <row r="2648" spans="2:2" x14ac:dyDescent="0.25">
      <c r="B2648" s="11"/>
    </row>
    <row r="2649" spans="2:2" x14ac:dyDescent="0.25">
      <c r="B2649" s="11"/>
    </row>
    <row r="2650" spans="2:2" x14ac:dyDescent="0.25">
      <c r="B2650" s="11"/>
    </row>
    <row r="2651" spans="2:2" x14ac:dyDescent="0.25">
      <c r="B2651" s="11"/>
    </row>
    <row r="2652" spans="2:2" x14ac:dyDescent="0.25">
      <c r="B2652" s="11"/>
    </row>
    <row r="2653" spans="2:2" x14ac:dyDescent="0.25">
      <c r="B2653" s="11"/>
    </row>
    <row r="2654" spans="2:2" x14ac:dyDescent="0.25">
      <c r="B2654" s="11"/>
    </row>
    <row r="2655" spans="2:2" x14ac:dyDescent="0.25">
      <c r="B2655" s="11"/>
    </row>
    <row r="2656" spans="2:2" x14ac:dyDescent="0.25">
      <c r="B2656" s="11"/>
    </row>
    <row r="2657" spans="2:2" x14ac:dyDescent="0.25">
      <c r="B2657" s="11"/>
    </row>
    <row r="2658" spans="2:2" x14ac:dyDescent="0.25">
      <c r="B2658" s="11"/>
    </row>
    <row r="2659" spans="2:2" x14ac:dyDescent="0.25">
      <c r="B2659" s="11"/>
    </row>
    <row r="2660" spans="2:2" x14ac:dyDescent="0.25">
      <c r="B2660" s="11"/>
    </row>
    <row r="2661" spans="2:2" x14ac:dyDescent="0.25">
      <c r="B2661" s="11"/>
    </row>
    <row r="2662" spans="2:2" x14ac:dyDescent="0.25">
      <c r="B2662" s="11"/>
    </row>
    <row r="2663" spans="2:2" x14ac:dyDescent="0.25">
      <c r="B2663" s="11"/>
    </row>
    <row r="2664" spans="2:2" x14ac:dyDescent="0.25">
      <c r="B2664" s="11"/>
    </row>
    <row r="2665" spans="2:2" x14ac:dyDescent="0.25">
      <c r="B2665" s="11"/>
    </row>
    <row r="2666" spans="2:2" x14ac:dyDescent="0.25">
      <c r="B2666" s="11"/>
    </row>
    <row r="2667" spans="2:2" x14ac:dyDescent="0.25">
      <c r="B2667" s="11"/>
    </row>
    <row r="2668" spans="2:2" x14ac:dyDescent="0.25">
      <c r="B2668" s="11"/>
    </row>
    <row r="2669" spans="2:2" x14ac:dyDescent="0.25">
      <c r="B2669" s="11"/>
    </row>
    <row r="2670" spans="2:2" x14ac:dyDescent="0.25">
      <c r="B2670" s="11"/>
    </row>
    <row r="2671" spans="2:2" x14ac:dyDescent="0.25">
      <c r="B2671" s="11"/>
    </row>
    <row r="2672" spans="2:2" x14ac:dyDescent="0.25">
      <c r="B2672" s="11"/>
    </row>
    <row r="2673" spans="2:2" x14ac:dyDescent="0.25">
      <c r="B2673" s="11"/>
    </row>
    <row r="2674" spans="2:2" x14ac:dyDescent="0.25">
      <c r="B2674" s="11"/>
    </row>
    <row r="2675" spans="2:2" x14ac:dyDescent="0.25">
      <c r="B2675" s="11"/>
    </row>
    <row r="2676" spans="2:2" x14ac:dyDescent="0.25">
      <c r="B2676" s="11"/>
    </row>
    <row r="2677" spans="2:2" x14ac:dyDescent="0.25">
      <c r="B2677" s="11"/>
    </row>
    <row r="2678" spans="2:2" x14ac:dyDescent="0.25">
      <c r="B2678" s="11"/>
    </row>
    <row r="2679" spans="2:2" x14ac:dyDescent="0.25">
      <c r="B2679" s="11"/>
    </row>
    <row r="2680" spans="2:2" x14ac:dyDescent="0.25">
      <c r="B2680" s="11"/>
    </row>
    <row r="2681" spans="2:2" x14ac:dyDescent="0.25">
      <c r="B2681" s="11"/>
    </row>
    <row r="2682" spans="2:2" x14ac:dyDescent="0.25">
      <c r="B2682" s="11"/>
    </row>
    <row r="2683" spans="2:2" x14ac:dyDescent="0.25">
      <c r="B2683" s="11"/>
    </row>
    <row r="2684" spans="2:2" x14ac:dyDescent="0.25">
      <c r="B2684" s="11"/>
    </row>
    <row r="2685" spans="2:2" x14ac:dyDescent="0.25">
      <c r="B2685" s="11"/>
    </row>
    <row r="2686" spans="2:2" x14ac:dyDescent="0.25">
      <c r="B2686" s="11"/>
    </row>
    <row r="2687" spans="2:2" x14ac:dyDescent="0.25">
      <c r="B2687" s="11"/>
    </row>
    <row r="2688" spans="2:2" x14ac:dyDescent="0.25">
      <c r="B2688" s="11"/>
    </row>
    <row r="2689" spans="2:2" x14ac:dyDescent="0.25">
      <c r="B2689" s="11"/>
    </row>
    <row r="2690" spans="2:2" x14ac:dyDescent="0.25">
      <c r="B2690" s="11"/>
    </row>
    <row r="2691" spans="2:2" x14ac:dyDescent="0.25">
      <c r="B2691" s="11"/>
    </row>
    <row r="2692" spans="2:2" x14ac:dyDescent="0.25">
      <c r="B2692" s="11"/>
    </row>
    <row r="2693" spans="2:2" x14ac:dyDescent="0.25">
      <c r="B2693" s="11"/>
    </row>
    <row r="2694" spans="2:2" x14ac:dyDescent="0.25">
      <c r="B2694" s="11"/>
    </row>
    <row r="2695" spans="2:2" x14ac:dyDescent="0.25">
      <c r="B2695" s="11"/>
    </row>
    <row r="2696" spans="2:2" x14ac:dyDescent="0.25">
      <c r="B2696" s="11"/>
    </row>
    <row r="2697" spans="2:2" x14ac:dyDescent="0.25">
      <c r="B2697" s="11"/>
    </row>
    <row r="2698" spans="2:2" x14ac:dyDescent="0.25">
      <c r="B2698" s="11"/>
    </row>
    <row r="2699" spans="2:2" x14ac:dyDescent="0.25">
      <c r="B2699" s="11"/>
    </row>
    <row r="2700" spans="2:2" x14ac:dyDescent="0.25">
      <c r="B2700" s="11"/>
    </row>
    <row r="2701" spans="2:2" x14ac:dyDescent="0.25">
      <c r="B2701" s="11"/>
    </row>
    <row r="2702" spans="2:2" x14ac:dyDescent="0.25">
      <c r="B2702" s="11"/>
    </row>
    <row r="2703" spans="2:2" x14ac:dyDescent="0.25">
      <c r="B2703" s="11"/>
    </row>
    <row r="2704" spans="2:2" x14ac:dyDescent="0.25">
      <c r="B2704" s="11"/>
    </row>
    <row r="2705" spans="2:2" x14ac:dyDescent="0.25">
      <c r="B2705" s="11"/>
    </row>
    <row r="2706" spans="2:2" x14ac:dyDescent="0.25">
      <c r="B2706" s="11"/>
    </row>
    <row r="2707" spans="2:2" x14ac:dyDescent="0.25">
      <c r="B2707" s="11"/>
    </row>
    <row r="2708" spans="2:2" x14ac:dyDescent="0.25">
      <c r="B2708" s="11"/>
    </row>
    <row r="2709" spans="2:2" x14ac:dyDescent="0.25">
      <c r="B2709" s="11"/>
    </row>
    <row r="2710" spans="2:2" x14ac:dyDescent="0.25">
      <c r="B2710" s="11"/>
    </row>
    <row r="2711" spans="2:2" x14ac:dyDescent="0.25">
      <c r="B2711" s="11"/>
    </row>
    <row r="2712" spans="2:2" x14ac:dyDescent="0.25">
      <c r="B2712" s="11"/>
    </row>
    <row r="2713" spans="2:2" x14ac:dyDescent="0.25">
      <c r="B2713" s="11"/>
    </row>
    <row r="2714" spans="2:2" x14ac:dyDescent="0.25">
      <c r="B2714" s="11"/>
    </row>
    <row r="2715" spans="2:2" x14ac:dyDescent="0.25">
      <c r="B2715" s="11"/>
    </row>
    <row r="2716" spans="2:2" x14ac:dyDescent="0.25">
      <c r="B2716" s="11"/>
    </row>
    <row r="2717" spans="2:2" x14ac:dyDescent="0.25">
      <c r="B2717" s="11"/>
    </row>
    <row r="2718" spans="2:2" x14ac:dyDescent="0.25">
      <c r="B2718" s="11"/>
    </row>
    <row r="2719" spans="2:2" x14ac:dyDescent="0.25">
      <c r="B2719" s="11"/>
    </row>
    <row r="2720" spans="2:2" x14ac:dyDescent="0.25">
      <c r="B2720" s="11"/>
    </row>
    <row r="2721" spans="2:2" x14ac:dyDescent="0.25">
      <c r="B2721" s="11"/>
    </row>
    <row r="2722" spans="2:2" x14ac:dyDescent="0.25">
      <c r="B2722" s="11"/>
    </row>
    <row r="2723" spans="2:2" x14ac:dyDescent="0.25">
      <c r="B2723" s="11"/>
    </row>
    <row r="2724" spans="2:2" x14ac:dyDescent="0.25">
      <c r="B2724" s="11"/>
    </row>
    <row r="2725" spans="2:2" x14ac:dyDescent="0.25">
      <c r="B2725" s="11"/>
    </row>
    <row r="2726" spans="2:2" x14ac:dyDescent="0.25">
      <c r="B2726" s="11"/>
    </row>
    <row r="2727" spans="2:2" x14ac:dyDescent="0.25">
      <c r="B2727" s="11"/>
    </row>
    <row r="2728" spans="2:2" x14ac:dyDescent="0.25">
      <c r="B2728" s="11"/>
    </row>
    <row r="2729" spans="2:2" x14ac:dyDescent="0.25">
      <c r="B2729" s="11"/>
    </row>
    <row r="2730" spans="2:2" x14ac:dyDescent="0.25">
      <c r="B2730" s="11"/>
    </row>
    <row r="2731" spans="2:2" x14ac:dyDescent="0.25">
      <c r="B2731" s="11"/>
    </row>
    <row r="2732" spans="2:2" x14ac:dyDescent="0.25">
      <c r="B2732" s="11"/>
    </row>
    <row r="2733" spans="2:2" x14ac:dyDescent="0.25">
      <c r="B2733" s="11"/>
    </row>
    <row r="2734" spans="2:2" x14ac:dyDescent="0.25">
      <c r="B2734" s="11"/>
    </row>
    <row r="2735" spans="2:2" x14ac:dyDescent="0.25">
      <c r="B2735" s="11"/>
    </row>
    <row r="2736" spans="2:2" x14ac:dyDescent="0.25">
      <c r="B2736" s="11"/>
    </row>
    <row r="2737" spans="2:2" x14ac:dyDescent="0.25">
      <c r="B2737" s="11"/>
    </row>
    <row r="2738" spans="2:2" x14ac:dyDescent="0.25">
      <c r="B2738" s="11"/>
    </row>
    <row r="2739" spans="2:2" x14ac:dyDescent="0.25">
      <c r="B2739" s="11"/>
    </row>
    <row r="2740" spans="2:2" x14ac:dyDescent="0.25">
      <c r="B2740" s="11"/>
    </row>
    <row r="2741" spans="2:2" x14ac:dyDescent="0.25">
      <c r="B2741" s="11"/>
    </row>
    <row r="2742" spans="2:2" x14ac:dyDescent="0.25">
      <c r="B2742" s="11"/>
    </row>
    <row r="2743" spans="2:2" x14ac:dyDescent="0.25">
      <c r="B2743" s="11"/>
    </row>
    <row r="2744" spans="2:2" x14ac:dyDescent="0.25">
      <c r="B2744" s="11"/>
    </row>
    <row r="2745" spans="2:2" x14ac:dyDescent="0.25">
      <c r="B2745" s="11"/>
    </row>
    <row r="2746" spans="2:2" x14ac:dyDescent="0.25">
      <c r="B2746" s="11"/>
    </row>
    <row r="2747" spans="2:2" x14ac:dyDescent="0.25">
      <c r="B2747" s="11"/>
    </row>
    <row r="2748" spans="2:2" x14ac:dyDescent="0.25">
      <c r="B2748" s="11"/>
    </row>
    <row r="2749" spans="2:2" x14ac:dyDescent="0.25">
      <c r="B2749" s="11"/>
    </row>
    <row r="2750" spans="2:2" x14ac:dyDescent="0.25">
      <c r="B2750" s="11"/>
    </row>
    <row r="2751" spans="2:2" x14ac:dyDescent="0.25">
      <c r="B2751" s="11"/>
    </row>
    <row r="2752" spans="2:2" x14ac:dyDescent="0.25">
      <c r="B2752" s="11"/>
    </row>
    <row r="2753" spans="2:2" x14ac:dyDescent="0.25">
      <c r="B2753" s="11"/>
    </row>
    <row r="2754" spans="2:2" x14ac:dyDescent="0.25">
      <c r="B2754" s="11"/>
    </row>
    <row r="2755" spans="2:2" x14ac:dyDescent="0.25">
      <c r="B2755" s="11"/>
    </row>
    <row r="2756" spans="2:2" x14ac:dyDescent="0.25">
      <c r="B2756" s="11"/>
    </row>
    <row r="2757" spans="2:2" x14ac:dyDescent="0.25">
      <c r="B2757" s="11"/>
    </row>
    <row r="2758" spans="2:2" x14ac:dyDescent="0.25">
      <c r="B2758" s="11"/>
    </row>
    <row r="2759" spans="2:2" x14ac:dyDescent="0.25">
      <c r="B2759" s="11"/>
    </row>
    <row r="2760" spans="2:2" x14ac:dyDescent="0.25">
      <c r="B2760" s="11"/>
    </row>
    <row r="2761" spans="2:2" x14ac:dyDescent="0.25">
      <c r="B2761" s="11"/>
    </row>
    <row r="2762" spans="2:2" x14ac:dyDescent="0.25">
      <c r="B2762" s="11"/>
    </row>
    <row r="2763" spans="2:2" x14ac:dyDescent="0.25">
      <c r="B2763" s="11"/>
    </row>
    <row r="2764" spans="2:2" x14ac:dyDescent="0.25">
      <c r="B2764" s="11"/>
    </row>
    <row r="2765" spans="2:2" x14ac:dyDescent="0.25">
      <c r="B2765" s="11"/>
    </row>
    <row r="2766" spans="2:2" x14ac:dyDescent="0.25">
      <c r="B2766" s="11"/>
    </row>
    <row r="2767" spans="2:2" x14ac:dyDescent="0.25">
      <c r="B2767" s="11"/>
    </row>
    <row r="2768" spans="2:2" x14ac:dyDescent="0.25">
      <c r="B2768" s="11"/>
    </row>
    <row r="2769" spans="2:2" x14ac:dyDescent="0.25">
      <c r="B2769" s="11"/>
    </row>
    <row r="2770" spans="2:2" x14ac:dyDescent="0.25">
      <c r="B2770" s="11"/>
    </row>
    <row r="2771" spans="2:2" x14ac:dyDescent="0.25">
      <c r="B2771" s="11"/>
    </row>
    <row r="2772" spans="2:2" x14ac:dyDescent="0.25">
      <c r="B2772" s="11"/>
    </row>
    <row r="2773" spans="2:2" x14ac:dyDescent="0.25">
      <c r="B2773" s="11"/>
    </row>
    <row r="2774" spans="2:2" x14ac:dyDescent="0.25">
      <c r="B2774" s="11"/>
    </row>
    <row r="2775" spans="2:2" x14ac:dyDescent="0.25">
      <c r="B2775" s="11"/>
    </row>
    <row r="2776" spans="2:2" x14ac:dyDescent="0.25">
      <c r="B2776" s="11"/>
    </row>
    <row r="2777" spans="2:2" x14ac:dyDescent="0.25">
      <c r="B2777" s="11"/>
    </row>
    <row r="2778" spans="2:2" x14ac:dyDescent="0.25">
      <c r="B2778" s="11"/>
    </row>
    <row r="2779" spans="2:2" x14ac:dyDescent="0.25">
      <c r="B2779" s="11"/>
    </row>
    <row r="2780" spans="2:2" x14ac:dyDescent="0.25">
      <c r="B2780" s="11"/>
    </row>
    <row r="2781" spans="2:2" x14ac:dyDescent="0.25">
      <c r="B2781" s="11"/>
    </row>
    <row r="2782" spans="2:2" x14ac:dyDescent="0.25">
      <c r="B2782" s="11"/>
    </row>
    <row r="2783" spans="2:2" x14ac:dyDescent="0.25">
      <c r="B2783" s="11"/>
    </row>
    <row r="2784" spans="2:2" x14ac:dyDescent="0.25">
      <c r="B2784" s="11"/>
    </row>
    <row r="2785" spans="2:2" x14ac:dyDescent="0.25">
      <c r="B2785" s="11"/>
    </row>
    <row r="2786" spans="2:2" x14ac:dyDescent="0.25">
      <c r="B2786" s="11"/>
    </row>
    <row r="2787" spans="2:2" x14ac:dyDescent="0.25">
      <c r="B2787" s="11"/>
    </row>
    <row r="2788" spans="2:2" x14ac:dyDescent="0.25">
      <c r="B2788" s="11"/>
    </row>
    <row r="2789" spans="2:2" x14ac:dyDescent="0.25">
      <c r="B2789" s="11"/>
    </row>
    <row r="2790" spans="2:2" x14ac:dyDescent="0.25">
      <c r="B2790" s="11"/>
    </row>
    <row r="2791" spans="2:2" x14ac:dyDescent="0.25">
      <c r="B2791" s="11"/>
    </row>
    <row r="2792" spans="2:2" x14ac:dyDescent="0.25">
      <c r="B2792" s="11"/>
    </row>
    <row r="2793" spans="2:2" x14ac:dyDescent="0.25">
      <c r="B2793" s="11"/>
    </row>
    <row r="2794" spans="2:2" x14ac:dyDescent="0.25">
      <c r="B2794" s="11"/>
    </row>
    <row r="2795" spans="2:2" x14ac:dyDescent="0.25">
      <c r="B2795" s="11"/>
    </row>
    <row r="2796" spans="2:2" x14ac:dyDescent="0.25">
      <c r="B2796" s="11"/>
    </row>
    <row r="2797" spans="2:2" x14ac:dyDescent="0.25">
      <c r="B2797" s="11"/>
    </row>
    <row r="2798" spans="2:2" x14ac:dyDescent="0.25">
      <c r="B2798" s="11"/>
    </row>
    <row r="2799" spans="2:2" x14ac:dyDescent="0.25">
      <c r="B2799" s="11"/>
    </row>
    <row r="2800" spans="2:2" x14ac:dyDescent="0.25">
      <c r="B2800" s="11"/>
    </row>
    <row r="2801" spans="2:2" x14ac:dyDescent="0.25">
      <c r="B2801" s="11"/>
    </row>
    <row r="2802" spans="2:2" x14ac:dyDescent="0.25">
      <c r="B2802" s="11"/>
    </row>
    <row r="2803" spans="2:2" x14ac:dyDescent="0.25">
      <c r="B2803" s="11"/>
    </row>
    <row r="2804" spans="2:2" x14ac:dyDescent="0.25">
      <c r="B2804" s="11"/>
    </row>
    <row r="2805" spans="2:2" x14ac:dyDescent="0.25">
      <c r="B2805" s="11"/>
    </row>
    <row r="2806" spans="2:2" x14ac:dyDescent="0.25">
      <c r="B2806" s="11"/>
    </row>
    <row r="2807" spans="2:2" x14ac:dyDescent="0.25">
      <c r="B2807" s="11"/>
    </row>
    <row r="2808" spans="2:2" x14ac:dyDescent="0.25">
      <c r="B2808" s="11"/>
    </row>
    <row r="2809" spans="2:2" x14ac:dyDescent="0.25">
      <c r="B2809" s="11"/>
    </row>
    <row r="2810" spans="2:2" x14ac:dyDescent="0.25">
      <c r="B2810" s="11"/>
    </row>
    <row r="2811" spans="2:2" x14ac:dyDescent="0.25">
      <c r="B2811" s="11"/>
    </row>
    <row r="2812" spans="2:2" x14ac:dyDescent="0.25">
      <c r="B2812" s="11"/>
    </row>
    <row r="2813" spans="2:2" x14ac:dyDescent="0.25">
      <c r="B2813" s="11"/>
    </row>
    <row r="2814" spans="2:2" x14ac:dyDescent="0.25">
      <c r="B2814" s="11"/>
    </row>
    <row r="2815" spans="2:2" x14ac:dyDescent="0.25">
      <c r="B2815" s="11"/>
    </row>
    <row r="2816" spans="2:2" x14ac:dyDescent="0.25">
      <c r="B2816" s="11"/>
    </row>
    <row r="2817" spans="2:2" x14ac:dyDescent="0.25">
      <c r="B2817" s="11"/>
    </row>
    <row r="2818" spans="2:2" x14ac:dyDescent="0.25">
      <c r="B2818" s="11"/>
    </row>
    <row r="2819" spans="2:2" x14ac:dyDescent="0.25">
      <c r="B2819" s="11"/>
    </row>
    <row r="2820" spans="2:2" x14ac:dyDescent="0.25">
      <c r="B2820" s="11"/>
    </row>
    <row r="2821" spans="2:2" x14ac:dyDescent="0.25">
      <c r="B2821" s="11"/>
    </row>
    <row r="2822" spans="2:2" x14ac:dyDescent="0.25">
      <c r="B2822" s="11"/>
    </row>
    <row r="2823" spans="2:2" x14ac:dyDescent="0.25">
      <c r="B2823" s="11"/>
    </row>
    <row r="2824" spans="2:2" x14ac:dyDescent="0.25">
      <c r="B2824" s="11"/>
    </row>
    <row r="2825" spans="2:2" x14ac:dyDescent="0.25">
      <c r="B2825" s="11"/>
    </row>
    <row r="2826" spans="2:2" x14ac:dyDescent="0.25">
      <c r="B2826" s="11"/>
    </row>
    <row r="2827" spans="2:2" x14ac:dyDescent="0.25">
      <c r="B2827" s="11"/>
    </row>
    <row r="2828" spans="2:2" x14ac:dyDescent="0.25">
      <c r="B2828" s="11"/>
    </row>
    <row r="2829" spans="2:2" x14ac:dyDescent="0.25">
      <c r="B2829" s="11"/>
    </row>
    <row r="2830" spans="2:2" x14ac:dyDescent="0.25">
      <c r="B2830" s="11"/>
    </row>
    <row r="2831" spans="2:2" x14ac:dyDescent="0.25">
      <c r="B2831" s="11"/>
    </row>
    <row r="2832" spans="2:2" x14ac:dyDescent="0.25">
      <c r="B2832" s="11"/>
    </row>
    <row r="2833" spans="2:2" x14ac:dyDescent="0.25">
      <c r="B2833" s="11"/>
    </row>
    <row r="2834" spans="2:2" x14ac:dyDescent="0.25">
      <c r="B2834" s="11"/>
    </row>
    <row r="2835" spans="2:2" x14ac:dyDescent="0.25">
      <c r="B2835" s="11"/>
    </row>
    <row r="2836" spans="2:2" x14ac:dyDescent="0.25">
      <c r="B2836" s="11"/>
    </row>
    <row r="2837" spans="2:2" x14ac:dyDescent="0.25">
      <c r="B2837" s="11"/>
    </row>
    <row r="2838" spans="2:2" x14ac:dyDescent="0.25">
      <c r="B2838" s="11"/>
    </row>
    <row r="2839" spans="2:2" x14ac:dyDescent="0.25">
      <c r="B2839" s="11"/>
    </row>
    <row r="2840" spans="2:2" x14ac:dyDescent="0.25">
      <c r="B2840" s="11"/>
    </row>
    <row r="2841" spans="2:2" x14ac:dyDescent="0.25">
      <c r="B2841" s="11"/>
    </row>
    <row r="2842" spans="2:2" x14ac:dyDescent="0.25">
      <c r="B2842" s="11"/>
    </row>
    <row r="2843" spans="2:2" x14ac:dyDescent="0.25">
      <c r="B2843" s="11"/>
    </row>
    <row r="2844" spans="2:2" x14ac:dyDescent="0.25">
      <c r="B2844" s="11"/>
    </row>
    <row r="2845" spans="2:2" x14ac:dyDescent="0.25">
      <c r="B2845" s="11"/>
    </row>
    <row r="2846" spans="2:2" x14ac:dyDescent="0.25">
      <c r="B2846" s="11"/>
    </row>
    <row r="2847" spans="2:2" x14ac:dyDescent="0.25">
      <c r="B2847" s="11"/>
    </row>
    <row r="2848" spans="2:2" x14ac:dyDescent="0.25">
      <c r="B2848" s="11"/>
    </row>
    <row r="2849" spans="2:2" x14ac:dyDescent="0.25">
      <c r="B2849" s="11"/>
    </row>
    <row r="2850" spans="2:2" x14ac:dyDescent="0.25">
      <c r="B2850" s="11"/>
    </row>
    <row r="2851" spans="2:2" x14ac:dyDescent="0.25">
      <c r="B2851" s="11"/>
    </row>
    <row r="2852" spans="2:2" x14ac:dyDescent="0.25">
      <c r="B2852" s="11"/>
    </row>
    <row r="2853" spans="2:2" x14ac:dyDescent="0.25">
      <c r="B2853" s="11"/>
    </row>
    <row r="2854" spans="2:2" x14ac:dyDescent="0.25">
      <c r="B2854" s="11"/>
    </row>
    <row r="2855" spans="2:2" x14ac:dyDescent="0.25">
      <c r="B2855" s="11"/>
    </row>
    <row r="2856" spans="2:2" x14ac:dyDescent="0.25">
      <c r="B2856" s="11"/>
    </row>
    <row r="2857" spans="2:2" x14ac:dyDescent="0.25">
      <c r="B2857" s="11"/>
    </row>
    <row r="2858" spans="2:2" x14ac:dyDescent="0.25">
      <c r="B2858" s="11"/>
    </row>
    <row r="2859" spans="2:2" x14ac:dyDescent="0.25">
      <c r="B2859" s="11"/>
    </row>
    <row r="2860" spans="2:2" x14ac:dyDescent="0.25">
      <c r="B2860" s="11"/>
    </row>
    <row r="2861" spans="2:2" x14ac:dyDescent="0.25">
      <c r="B2861" s="11"/>
    </row>
    <row r="2862" spans="2:2" x14ac:dyDescent="0.25">
      <c r="B2862" s="11"/>
    </row>
    <row r="2863" spans="2:2" x14ac:dyDescent="0.25">
      <c r="B2863" s="11"/>
    </row>
    <row r="2864" spans="2:2" x14ac:dyDescent="0.25">
      <c r="B2864" s="11"/>
    </row>
    <row r="2865" spans="2:2" x14ac:dyDescent="0.25">
      <c r="B2865" s="11"/>
    </row>
    <row r="2866" spans="2:2" x14ac:dyDescent="0.25">
      <c r="B2866" s="11"/>
    </row>
    <row r="2867" spans="2:2" x14ac:dyDescent="0.25">
      <c r="B2867" s="11"/>
    </row>
    <row r="2868" spans="2:2" x14ac:dyDescent="0.25">
      <c r="B2868" s="11"/>
    </row>
    <row r="2869" spans="2:2" x14ac:dyDescent="0.25">
      <c r="B2869" s="11"/>
    </row>
    <row r="2870" spans="2:2" x14ac:dyDescent="0.25">
      <c r="B2870" s="11"/>
    </row>
    <row r="2871" spans="2:2" x14ac:dyDescent="0.25">
      <c r="B2871" s="11"/>
    </row>
    <row r="2872" spans="2:2" x14ac:dyDescent="0.25">
      <c r="B2872" s="11"/>
    </row>
    <row r="2873" spans="2:2" x14ac:dyDescent="0.25">
      <c r="B2873" s="11"/>
    </row>
    <row r="2874" spans="2:2" x14ac:dyDescent="0.25">
      <c r="B2874" s="11"/>
    </row>
    <row r="2875" spans="2:2" x14ac:dyDescent="0.25">
      <c r="B2875" s="11"/>
    </row>
    <row r="2876" spans="2:2" x14ac:dyDescent="0.25">
      <c r="B2876" s="11"/>
    </row>
    <row r="2877" spans="2:2" x14ac:dyDescent="0.25">
      <c r="B2877" s="11"/>
    </row>
    <row r="2878" spans="2:2" x14ac:dyDescent="0.25">
      <c r="B2878" s="11"/>
    </row>
    <row r="2879" spans="2:2" x14ac:dyDescent="0.25">
      <c r="B2879" s="11"/>
    </row>
    <row r="2880" spans="2:2" x14ac:dyDescent="0.25">
      <c r="B2880" s="11"/>
    </row>
    <row r="2881" spans="2:2" x14ac:dyDescent="0.25">
      <c r="B2881" s="11"/>
    </row>
    <row r="2882" spans="2:2" x14ac:dyDescent="0.25">
      <c r="B2882" s="11"/>
    </row>
    <row r="2883" spans="2:2" x14ac:dyDescent="0.25">
      <c r="B2883" s="11"/>
    </row>
    <row r="2884" spans="2:2" x14ac:dyDescent="0.25">
      <c r="B2884" s="11"/>
    </row>
    <row r="2885" spans="2:2" x14ac:dyDescent="0.25">
      <c r="B2885" s="11"/>
    </row>
    <row r="2886" spans="2:2" x14ac:dyDescent="0.25">
      <c r="B2886" s="11"/>
    </row>
    <row r="2887" spans="2:2" x14ac:dyDescent="0.25">
      <c r="B2887" s="11"/>
    </row>
    <row r="2888" spans="2:2" x14ac:dyDescent="0.25">
      <c r="B2888" s="11"/>
    </row>
    <row r="2889" spans="2:2" x14ac:dyDescent="0.25">
      <c r="B2889" s="11"/>
    </row>
    <row r="2890" spans="2:2" x14ac:dyDescent="0.25">
      <c r="B2890" s="11"/>
    </row>
    <row r="2891" spans="2:2" x14ac:dyDescent="0.25">
      <c r="B2891" s="11"/>
    </row>
    <row r="2892" spans="2:2" x14ac:dyDescent="0.25">
      <c r="B2892" s="11"/>
    </row>
    <row r="2893" spans="2:2" x14ac:dyDescent="0.25">
      <c r="B2893" s="11"/>
    </row>
    <row r="2894" spans="2:2" x14ac:dyDescent="0.25">
      <c r="B2894" s="11"/>
    </row>
    <row r="2895" spans="2:2" x14ac:dyDescent="0.25">
      <c r="B2895" s="11"/>
    </row>
    <row r="2896" spans="2:2" x14ac:dyDescent="0.25">
      <c r="B2896" s="11"/>
    </row>
    <row r="2897" spans="2:2" x14ac:dyDescent="0.25">
      <c r="B2897" s="11"/>
    </row>
    <row r="2898" spans="2:2" x14ac:dyDescent="0.25">
      <c r="B2898" s="11"/>
    </row>
    <row r="2899" spans="2:2" x14ac:dyDescent="0.25">
      <c r="B2899" s="11"/>
    </row>
    <row r="2900" spans="2:2" x14ac:dyDescent="0.25">
      <c r="B2900" s="11"/>
    </row>
    <row r="2901" spans="2:2" x14ac:dyDescent="0.25">
      <c r="B2901" s="11"/>
    </row>
    <row r="2902" spans="2:2" x14ac:dyDescent="0.25">
      <c r="B2902" s="11"/>
    </row>
    <row r="2903" spans="2:2" x14ac:dyDescent="0.25">
      <c r="B2903" s="11"/>
    </row>
    <row r="2904" spans="2:2" x14ac:dyDescent="0.25">
      <c r="B2904" s="11"/>
    </row>
    <row r="2905" spans="2:2" x14ac:dyDescent="0.25">
      <c r="B2905" s="11"/>
    </row>
    <row r="2906" spans="2:2" x14ac:dyDescent="0.25">
      <c r="B2906" s="11"/>
    </row>
    <row r="2907" spans="2:2" x14ac:dyDescent="0.25">
      <c r="B2907" s="11"/>
    </row>
    <row r="2908" spans="2:2" x14ac:dyDescent="0.25">
      <c r="B2908" s="11"/>
    </row>
    <row r="2909" spans="2:2" x14ac:dyDescent="0.25">
      <c r="B2909" s="11"/>
    </row>
    <row r="2910" spans="2:2" x14ac:dyDescent="0.25">
      <c r="B2910" s="11"/>
    </row>
    <row r="2911" spans="2:2" x14ac:dyDescent="0.25">
      <c r="B2911" s="11"/>
    </row>
    <row r="2912" spans="2:2" x14ac:dyDescent="0.25">
      <c r="B2912" s="11"/>
    </row>
    <row r="2913" spans="2:2" x14ac:dyDescent="0.25">
      <c r="B2913" s="11"/>
    </row>
    <row r="2914" spans="2:2" x14ac:dyDescent="0.25">
      <c r="B2914" s="11"/>
    </row>
    <row r="2915" spans="2:2" x14ac:dyDescent="0.25">
      <c r="B2915" s="11"/>
    </row>
    <row r="2916" spans="2:2" x14ac:dyDescent="0.25">
      <c r="B2916" s="11"/>
    </row>
    <row r="2917" spans="2:2" x14ac:dyDescent="0.25">
      <c r="B2917" s="11"/>
    </row>
    <row r="2918" spans="2:2" x14ac:dyDescent="0.25">
      <c r="B2918" s="11"/>
    </row>
    <row r="2919" spans="2:2" x14ac:dyDescent="0.25">
      <c r="B2919" s="11"/>
    </row>
    <row r="2920" spans="2:2" x14ac:dyDescent="0.25">
      <c r="B2920" s="11"/>
    </row>
    <row r="2921" spans="2:2" x14ac:dyDescent="0.25">
      <c r="B2921" s="11"/>
    </row>
    <row r="2922" spans="2:2" x14ac:dyDescent="0.25">
      <c r="B2922" s="11"/>
    </row>
    <row r="2923" spans="2:2" x14ac:dyDescent="0.25">
      <c r="B2923" s="11"/>
    </row>
    <row r="2924" spans="2:2" x14ac:dyDescent="0.25">
      <c r="B2924" s="11"/>
    </row>
    <row r="2925" spans="2:2" x14ac:dyDescent="0.25">
      <c r="B2925" s="11"/>
    </row>
    <row r="2926" spans="2:2" x14ac:dyDescent="0.25">
      <c r="B2926" s="11"/>
    </row>
    <row r="2927" spans="2:2" x14ac:dyDescent="0.25">
      <c r="B2927" s="11"/>
    </row>
    <row r="2928" spans="2:2" x14ac:dyDescent="0.25">
      <c r="B2928" s="11"/>
    </row>
    <row r="2929" spans="2:2" x14ac:dyDescent="0.25">
      <c r="B2929" s="11"/>
    </row>
    <row r="2930" spans="2:2" x14ac:dyDescent="0.25">
      <c r="B2930" s="11"/>
    </row>
    <row r="2931" spans="2:2" x14ac:dyDescent="0.25">
      <c r="B2931" s="11"/>
    </row>
    <row r="2932" spans="2:2" x14ac:dyDescent="0.25">
      <c r="B2932" s="11"/>
    </row>
    <row r="2933" spans="2:2" x14ac:dyDescent="0.25">
      <c r="B2933" s="11"/>
    </row>
    <row r="2934" spans="2:2" x14ac:dyDescent="0.25">
      <c r="B2934" s="11"/>
    </row>
    <row r="2935" spans="2:2" x14ac:dyDescent="0.25">
      <c r="B2935" s="11"/>
    </row>
    <row r="2936" spans="2:2" x14ac:dyDescent="0.25">
      <c r="B2936" s="11"/>
    </row>
    <row r="2937" spans="2:2" x14ac:dyDescent="0.25">
      <c r="B2937" s="11"/>
    </row>
    <row r="2938" spans="2:2" x14ac:dyDescent="0.25">
      <c r="B2938" s="11"/>
    </row>
    <row r="2939" spans="2:2" x14ac:dyDescent="0.25">
      <c r="B2939" s="11"/>
    </row>
    <row r="2940" spans="2:2" x14ac:dyDescent="0.25">
      <c r="B2940" s="11"/>
    </row>
    <row r="2941" spans="2:2" x14ac:dyDescent="0.25">
      <c r="B2941" s="11"/>
    </row>
    <row r="2942" spans="2:2" x14ac:dyDescent="0.25">
      <c r="B2942" s="11"/>
    </row>
    <row r="2943" spans="2:2" x14ac:dyDescent="0.25">
      <c r="B2943" s="11"/>
    </row>
    <row r="2944" spans="2:2" x14ac:dyDescent="0.25">
      <c r="B2944" s="11"/>
    </row>
    <row r="2945" spans="2:2" x14ac:dyDescent="0.25">
      <c r="B2945" s="11"/>
    </row>
    <row r="2946" spans="2:2" x14ac:dyDescent="0.25">
      <c r="B2946" s="11"/>
    </row>
    <row r="2947" spans="2:2" x14ac:dyDescent="0.25">
      <c r="B2947" s="11"/>
    </row>
    <row r="2948" spans="2:2" x14ac:dyDescent="0.25">
      <c r="B2948" s="11"/>
    </row>
    <row r="2949" spans="2:2" x14ac:dyDescent="0.25">
      <c r="B2949" s="11"/>
    </row>
    <row r="2950" spans="2:2" x14ac:dyDescent="0.25">
      <c r="B2950" s="11"/>
    </row>
    <row r="2951" spans="2:2" x14ac:dyDescent="0.25">
      <c r="B2951" s="11"/>
    </row>
    <row r="2952" spans="2:2" x14ac:dyDescent="0.25">
      <c r="B2952" s="11"/>
    </row>
    <row r="2953" spans="2:2" x14ac:dyDescent="0.25">
      <c r="B2953" s="11"/>
    </row>
    <row r="2954" spans="2:2" x14ac:dyDescent="0.25">
      <c r="B2954" s="11"/>
    </row>
    <row r="2955" spans="2:2" x14ac:dyDescent="0.25">
      <c r="B2955" s="11"/>
    </row>
    <row r="2956" spans="2:2" x14ac:dyDescent="0.25">
      <c r="B2956" s="11"/>
    </row>
    <row r="2957" spans="2:2" x14ac:dyDescent="0.25">
      <c r="B2957" s="11"/>
    </row>
    <row r="2958" spans="2:2" x14ac:dyDescent="0.25">
      <c r="B2958" s="11"/>
    </row>
    <row r="2959" spans="2:2" x14ac:dyDescent="0.25">
      <c r="B2959" s="11"/>
    </row>
    <row r="2960" spans="2:2" x14ac:dyDescent="0.25">
      <c r="B2960" s="11"/>
    </row>
    <row r="2961" spans="2:2" x14ac:dyDescent="0.25">
      <c r="B2961" s="11"/>
    </row>
    <row r="2962" spans="2:2" x14ac:dyDescent="0.25">
      <c r="B2962" s="11"/>
    </row>
    <row r="2963" spans="2:2" x14ac:dyDescent="0.25">
      <c r="B2963" s="11"/>
    </row>
    <row r="2964" spans="2:2" x14ac:dyDescent="0.25">
      <c r="B2964" s="11"/>
    </row>
    <row r="2965" spans="2:2" x14ac:dyDescent="0.25">
      <c r="B2965" s="11"/>
    </row>
    <row r="2966" spans="2:2" x14ac:dyDescent="0.25">
      <c r="B2966" s="11"/>
    </row>
    <row r="2967" spans="2:2" x14ac:dyDescent="0.25">
      <c r="B2967" s="11"/>
    </row>
    <row r="2968" spans="2:2" x14ac:dyDescent="0.25">
      <c r="B2968" s="11"/>
    </row>
    <row r="2969" spans="2:2" x14ac:dyDescent="0.25">
      <c r="B2969" s="11"/>
    </row>
    <row r="2970" spans="2:2" x14ac:dyDescent="0.25">
      <c r="B2970" s="11"/>
    </row>
    <row r="2971" spans="2:2" x14ac:dyDescent="0.25">
      <c r="B2971" s="11"/>
    </row>
    <row r="2972" spans="2:2" x14ac:dyDescent="0.25">
      <c r="B2972" s="11"/>
    </row>
    <row r="2973" spans="2:2" x14ac:dyDescent="0.25">
      <c r="B2973" s="11"/>
    </row>
    <row r="2974" spans="2:2" x14ac:dyDescent="0.25">
      <c r="B2974" s="11"/>
    </row>
    <row r="2975" spans="2:2" x14ac:dyDescent="0.25">
      <c r="B2975" s="11"/>
    </row>
    <row r="2976" spans="2:2" x14ac:dyDescent="0.25">
      <c r="B2976" s="11"/>
    </row>
    <row r="2977" spans="2:2" x14ac:dyDescent="0.25">
      <c r="B2977" s="11"/>
    </row>
    <row r="2978" spans="2:2" x14ac:dyDescent="0.25">
      <c r="B2978" s="11"/>
    </row>
    <row r="2979" spans="2:2" x14ac:dyDescent="0.25">
      <c r="B2979" s="11"/>
    </row>
    <row r="2980" spans="2:2" x14ac:dyDescent="0.25">
      <c r="B2980" s="11"/>
    </row>
    <row r="2981" spans="2:2" x14ac:dyDescent="0.25">
      <c r="B2981" s="11"/>
    </row>
    <row r="2982" spans="2:2" x14ac:dyDescent="0.25">
      <c r="B2982" s="11"/>
    </row>
    <row r="2983" spans="2:2" x14ac:dyDescent="0.25">
      <c r="B2983" s="11"/>
    </row>
    <row r="2984" spans="2:2" x14ac:dyDescent="0.25">
      <c r="B2984" s="11"/>
    </row>
    <row r="2985" spans="2:2" x14ac:dyDescent="0.25">
      <c r="B2985" s="11"/>
    </row>
    <row r="2986" spans="2:2" x14ac:dyDescent="0.25">
      <c r="B2986" s="11"/>
    </row>
    <row r="2987" spans="2:2" x14ac:dyDescent="0.25">
      <c r="B2987" s="11"/>
    </row>
    <row r="2988" spans="2:2" x14ac:dyDescent="0.25">
      <c r="B2988" s="11"/>
    </row>
    <row r="2989" spans="2:2" x14ac:dyDescent="0.25">
      <c r="B2989" s="11"/>
    </row>
    <row r="2990" spans="2:2" x14ac:dyDescent="0.25">
      <c r="B2990" s="11"/>
    </row>
    <row r="2991" spans="2:2" x14ac:dyDescent="0.25">
      <c r="B2991" s="11"/>
    </row>
    <row r="2992" spans="2:2" x14ac:dyDescent="0.25">
      <c r="B2992" s="11"/>
    </row>
    <row r="2993" spans="2:2" x14ac:dyDescent="0.25">
      <c r="B2993" s="11"/>
    </row>
    <row r="2994" spans="2:2" x14ac:dyDescent="0.25">
      <c r="B2994" s="11"/>
    </row>
    <row r="2995" spans="2:2" x14ac:dyDescent="0.25">
      <c r="B2995" s="11"/>
    </row>
    <row r="2996" spans="2:2" x14ac:dyDescent="0.25">
      <c r="B2996" s="11"/>
    </row>
    <row r="2997" spans="2:2" x14ac:dyDescent="0.25">
      <c r="B2997" s="11"/>
    </row>
    <row r="2998" spans="2:2" x14ac:dyDescent="0.25">
      <c r="B2998" s="11"/>
    </row>
    <row r="2999" spans="2:2" x14ac:dyDescent="0.25">
      <c r="B2999" s="11"/>
    </row>
    <row r="3000" spans="2:2" x14ac:dyDescent="0.25">
      <c r="B3000" s="11"/>
    </row>
    <row r="3001" spans="2:2" x14ac:dyDescent="0.25">
      <c r="B3001" s="11"/>
    </row>
    <row r="3002" spans="2:2" x14ac:dyDescent="0.25">
      <c r="B3002" s="11"/>
    </row>
    <row r="3003" spans="2:2" x14ac:dyDescent="0.25">
      <c r="B3003" s="11"/>
    </row>
    <row r="3004" spans="2:2" x14ac:dyDescent="0.25">
      <c r="B3004" s="11"/>
    </row>
    <row r="3005" spans="2:2" x14ac:dyDescent="0.25">
      <c r="B3005" s="11"/>
    </row>
    <row r="3006" spans="2:2" x14ac:dyDescent="0.25">
      <c r="B3006" s="11"/>
    </row>
    <row r="3007" spans="2:2" x14ac:dyDescent="0.25">
      <c r="B3007" s="11"/>
    </row>
    <row r="3008" spans="2:2" x14ac:dyDescent="0.25">
      <c r="B3008" s="11"/>
    </row>
    <row r="3009" spans="2:2" x14ac:dyDescent="0.25">
      <c r="B3009" s="11"/>
    </row>
    <row r="3010" spans="2:2" x14ac:dyDescent="0.25">
      <c r="B3010" s="11"/>
    </row>
    <row r="3011" spans="2:2" x14ac:dyDescent="0.25">
      <c r="B3011" s="11"/>
    </row>
    <row r="3012" spans="2:2" x14ac:dyDescent="0.25">
      <c r="B3012" s="11"/>
    </row>
    <row r="3013" spans="2:2" x14ac:dyDescent="0.25">
      <c r="B3013" s="11"/>
    </row>
    <row r="3014" spans="2:2" x14ac:dyDescent="0.25">
      <c r="B3014" s="11"/>
    </row>
    <row r="3015" spans="2:2" x14ac:dyDescent="0.25">
      <c r="B3015" s="11"/>
    </row>
    <row r="3016" spans="2:2" x14ac:dyDescent="0.25">
      <c r="B3016" s="11"/>
    </row>
    <row r="3017" spans="2:2" x14ac:dyDescent="0.25">
      <c r="B3017" s="11"/>
    </row>
    <row r="3018" spans="2:2" x14ac:dyDescent="0.25">
      <c r="B3018" s="11"/>
    </row>
    <row r="3019" spans="2:2" x14ac:dyDescent="0.25">
      <c r="B3019" s="11"/>
    </row>
    <row r="3020" spans="2:2" x14ac:dyDescent="0.25">
      <c r="B3020" s="11"/>
    </row>
    <row r="3021" spans="2:2" x14ac:dyDescent="0.25">
      <c r="B3021" s="11"/>
    </row>
    <row r="3022" spans="2:2" x14ac:dyDescent="0.25">
      <c r="B3022" s="11"/>
    </row>
    <row r="3023" spans="2:2" x14ac:dyDescent="0.25">
      <c r="B3023" s="11"/>
    </row>
    <row r="3024" spans="2:2" x14ac:dyDescent="0.25">
      <c r="B3024" s="11"/>
    </row>
    <row r="3025" spans="2:2" x14ac:dyDescent="0.25">
      <c r="B3025" s="11"/>
    </row>
    <row r="3026" spans="2:2" x14ac:dyDescent="0.25">
      <c r="B3026" s="11"/>
    </row>
    <row r="3027" spans="2:2" x14ac:dyDescent="0.25">
      <c r="B3027" s="11"/>
    </row>
    <row r="3028" spans="2:2" x14ac:dyDescent="0.25">
      <c r="B3028" s="11"/>
    </row>
    <row r="3029" spans="2:2" x14ac:dyDescent="0.25">
      <c r="B3029" s="11"/>
    </row>
    <row r="3030" spans="2:2" x14ac:dyDescent="0.25">
      <c r="B3030" s="11"/>
    </row>
    <row r="3031" spans="2:2" x14ac:dyDescent="0.25">
      <c r="B3031" s="11"/>
    </row>
    <row r="3032" spans="2:2" x14ac:dyDescent="0.25">
      <c r="B3032" s="11"/>
    </row>
    <row r="3033" spans="2:2" x14ac:dyDescent="0.25">
      <c r="B3033" s="11"/>
    </row>
    <row r="3034" spans="2:2" x14ac:dyDescent="0.25">
      <c r="B3034" s="11"/>
    </row>
    <row r="3035" spans="2:2" x14ac:dyDescent="0.25">
      <c r="B3035" s="11"/>
    </row>
    <row r="3036" spans="2:2" x14ac:dyDescent="0.25">
      <c r="B3036" s="11"/>
    </row>
    <row r="3037" spans="2:2" x14ac:dyDescent="0.25">
      <c r="B3037" s="11"/>
    </row>
    <row r="3038" spans="2:2" x14ac:dyDescent="0.25">
      <c r="B3038" s="11"/>
    </row>
    <row r="3039" spans="2:2" x14ac:dyDescent="0.25">
      <c r="B3039" s="11"/>
    </row>
    <row r="3040" spans="2:2" x14ac:dyDescent="0.25">
      <c r="B3040" s="11"/>
    </row>
    <row r="3041" spans="2:2" x14ac:dyDescent="0.25">
      <c r="B3041" s="11"/>
    </row>
    <row r="3042" spans="2:2" x14ac:dyDescent="0.25">
      <c r="B3042" s="11"/>
    </row>
    <row r="3043" spans="2:2" x14ac:dyDescent="0.25">
      <c r="B3043" s="11"/>
    </row>
    <row r="3044" spans="2:2" x14ac:dyDescent="0.25">
      <c r="B3044" s="11"/>
    </row>
    <row r="3045" spans="2:2" x14ac:dyDescent="0.25">
      <c r="B3045" s="11"/>
    </row>
    <row r="3046" spans="2:2" x14ac:dyDescent="0.25">
      <c r="B3046" s="11"/>
    </row>
    <row r="3047" spans="2:2" x14ac:dyDescent="0.25">
      <c r="B3047" s="11"/>
    </row>
    <row r="3048" spans="2:2" x14ac:dyDescent="0.25">
      <c r="B3048" s="11"/>
    </row>
    <row r="3049" spans="2:2" x14ac:dyDescent="0.25">
      <c r="B3049" s="11"/>
    </row>
    <row r="3050" spans="2:2" x14ac:dyDescent="0.25">
      <c r="B3050" s="11"/>
    </row>
    <row r="3051" spans="2:2" x14ac:dyDescent="0.25">
      <c r="B3051" s="11"/>
    </row>
    <row r="3052" spans="2:2" x14ac:dyDescent="0.25">
      <c r="B3052" s="11"/>
    </row>
    <row r="3053" spans="2:2" x14ac:dyDescent="0.25">
      <c r="B3053" s="11"/>
    </row>
    <row r="3054" spans="2:2" x14ac:dyDescent="0.25">
      <c r="B3054" s="11"/>
    </row>
    <row r="3055" spans="2:2" x14ac:dyDescent="0.25">
      <c r="B3055" s="11"/>
    </row>
    <row r="3056" spans="2:2" x14ac:dyDescent="0.25">
      <c r="B3056" s="11"/>
    </row>
    <row r="3057" spans="2:2" x14ac:dyDescent="0.25">
      <c r="B3057" s="11"/>
    </row>
    <row r="3058" spans="2:2" x14ac:dyDescent="0.25">
      <c r="B3058" s="11"/>
    </row>
    <row r="3059" spans="2:2" x14ac:dyDescent="0.25">
      <c r="B3059" s="11"/>
    </row>
    <row r="3060" spans="2:2" x14ac:dyDescent="0.25">
      <c r="B3060" s="11"/>
    </row>
    <row r="3061" spans="2:2" x14ac:dyDescent="0.25">
      <c r="B3061" s="11"/>
    </row>
    <row r="3062" spans="2:2" x14ac:dyDescent="0.25">
      <c r="B3062" s="11"/>
    </row>
    <row r="3063" spans="2:2" x14ac:dyDescent="0.25">
      <c r="B3063" s="11"/>
    </row>
    <row r="3064" spans="2:2" x14ac:dyDescent="0.25">
      <c r="B3064" s="11"/>
    </row>
    <row r="3065" spans="2:2" x14ac:dyDescent="0.25">
      <c r="B3065" s="11"/>
    </row>
    <row r="3066" spans="2:2" x14ac:dyDescent="0.25">
      <c r="B3066" s="11"/>
    </row>
    <row r="3067" spans="2:2" x14ac:dyDescent="0.25">
      <c r="B3067" s="11"/>
    </row>
    <row r="3068" spans="2:2" x14ac:dyDescent="0.25">
      <c r="B3068" s="11"/>
    </row>
    <row r="3069" spans="2:2" x14ac:dyDescent="0.25">
      <c r="B3069" s="11"/>
    </row>
    <row r="3070" spans="2:2" x14ac:dyDescent="0.25">
      <c r="B3070" s="11"/>
    </row>
    <row r="3071" spans="2:2" x14ac:dyDescent="0.25">
      <c r="B3071" s="11"/>
    </row>
    <row r="3072" spans="2:2" x14ac:dyDescent="0.25">
      <c r="B3072" s="11"/>
    </row>
    <row r="3073" spans="2:2" x14ac:dyDescent="0.25">
      <c r="B3073" s="11"/>
    </row>
    <row r="3074" spans="2:2" x14ac:dyDescent="0.25">
      <c r="B3074" s="11"/>
    </row>
    <row r="3075" spans="2:2" x14ac:dyDescent="0.25">
      <c r="B3075" s="11"/>
    </row>
    <row r="3076" spans="2:2" x14ac:dyDescent="0.25">
      <c r="B3076" s="11"/>
    </row>
    <row r="3077" spans="2:2" x14ac:dyDescent="0.25">
      <c r="B3077" s="11"/>
    </row>
    <row r="3078" spans="2:2" x14ac:dyDescent="0.25">
      <c r="B3078" s="11"/>
    </row>
    <row r="3079" spans="2:2" x14ac:dyDescent="0.25">
      <c r="B3079" s="11"/>
    </row>
    <row r="3080" spans="2:2" x14ac:dyDescent="0.25">
      <c r="B3080" s="11"/>
    </row>
    <row r="3081" spans="2:2" x14ac:dyDescent="0.25">
      <c r="B3081" s="11"/>
    </row>
    <row r="3082" spans="2:2" x14ac:dyDescent="0.25">
      <c r="B3082" s="11"/>
    </row>
    <row r="3083" spans="2:2" x14ac:dyDescent="0.25">
      <c r="B3083" s="11"/>
    </row>
    <row r="3084" spans="2:2" x14ac:dyDescent="0.25">
      <c r="B3084" s="11"/>
    </row>
    <row r="3085" spans="2:2" x14ac:dyDescent="0.25">
      <c r="B3085" s="11"/>
    </row>
    <row r="3086" spans="2:2" x14ac:dyDescent="0.25">
      <c r="B3086" s="11"/>
    </row>
    <row r="3087" spans="2:2" x14ac:dyDescent="0.25">
      <c r="B3087" s="11"/>
    </row>
    <row r="3088" spans="2:2" x14ac:dyDescent="0.25">
      <c r="B3088" s="11"/>
    </row>
    <row r="3089" spans="2:2" x14ac:dyDescent="0.25">
      <c r="B3089" s="11"/>
    </row>
    <row r="3090" spans="2:2" x14ac:dyDescent="0.25">
      <c r="B3090" s="11"/>
    </row>
    <row r="3091" spans="2:2" x14ac:dyDescent="0.25">
      <c r="B3091" s="11"/>
    </row>
    <row r="3092" spans="2:2" x14ac:dyDescent="0.25">
      <c r="B3092" s="11"/>
    </row>
    <row r="3093" spans="2:2" x14ac:dyDescent="0.25">
      <c r="B3093" s="11"/>
    </row>
    <row r="3094" spans="2:2" x14ac:dyDescent="0.25">
      <c r="B3094" s="11"/>
    </row>
    <row r="3095" spans="2:2" x14ac:dyDescent="0.25">
      <c r="B3095" s="11"/>
    </row>
    <row r="3096" spans="2:2" x14ac:dyDescent="0.25">
      <c r="B3096" s="11"/>
    </row>
    <row r="3097" spans="2:2" x14ac:dyDescent="0.25">
      <c r="B3097" s="11"/>
    </row>
    <row r="3098" spans="2:2" x14ac:dyDescent="0.25">
      <c r="B3098" s="11"/>
    </row>
    <row r="3099" spans="2:2" x14ac:dyDescent="0.25">
      <c r="B3099" s="11"/>
    </row>
    <row r="3100" spans="2:2" x14ac:dyDescent="0.25">
      <c r="B3100" s="11"/>
    </row>
    <row r="3101" spans="2:2" x14ac:dyDescent="0.25">
      <c r="B3101" s="11"/>
    </row>
    <row r="3102" spans="2:2" x14ac:dyDescent="0.25">
      <c r="B3102" s="11"/>
    </row>
    <row r="3103" spans="2:2" x14ac:dyDescent="0.25">
      <c r="B3103" s="11"/>
    </row>
    <row r="3104" spans="2:2" x14ac:dyDescent="0.25">
      <c r="B3104" s="11"/>
    </row>
    <row r="3105" spans="2:2" x14ac:dyDescent="0.25">
      <c r="B3105" s="11"/>
    </row>
    <row r="3106" spans="2:2" x14ac:dyDescent="0.25">
      <c r="B3106" s="11"/>
    </row>
    <row r="3107" spans="2:2" x14ac:dyDescent="0.25">
      <c r="B3107" s="11"/>
    </row>
    <row r="3108" spans="2:2" x14ac:dyDescent="0.25">
      <c r="B3108" s="11"/>
    </row>
    <row r="3109" spans="2:2" x14ac:dyDescent="0.25">
      <c r="B3109" s="11"/>
    </row>
    <row r="3110" spans="2:2" x14ac:dyDescent="0.25">
      <c r="B3110" s="11"/>
    </row>
    <row r="3111" spans="2:2" x14ac:dyDescent="0.25">
      <c r="B3111" s="11"/>
    </row>
    <row r="3112" spans="2:2" x14ac:dyDescent="0.25">
      <c r="B3112" s="11"/>
    </row>
    <row r="3113" spans="2:2" x14ac:dyDescent="0.25">
      <c r="B3113" s="11"/>
    </row>
    <row r="3114" spans="2:2" x14ac:dyDescent="0.25">
      <c r="B3114" s="11"/>
    </row>
    <row r="3115" spans="2:2" x14ac:dyDescent="0.25">
      <c r="B3115" s="11"/>
    </row>
    <row r="3116" spans="2:2" x14ac:dyDescent="0.25">
      <c r="B3116" s="11"/>
    </row>
    <row r="3117" spans="2:2" x14ac:dyDescent="0.25">
      <c r="B3117" s="11"/>
    </row>
    <row r="3118" spans="2:2" x14ac:dyDescent="0.25">
      <c r="B3118" s="11"/>
    </row>
    <row r="3119" spans="2:2" x14ac:dyDescent="0.25">
      <c r="B3119" s="11"/>
    </row>
    <row r="3120" spans="2:2" x14ac:dyDescent="0.25">
      <c r="B3120" s="11"/>
    </row>
    <row r="3121" spans="2:2" x14ac:dyDescent="0.25">
      <c r="B3121" s="11"/>
    </row>
    <row r="3122" spans="2:2" x14ac:dyDescent="0.25">
      <c r="B3122" s="11"/>
    </row>
    <row r="3123" spans="2:2" x14ac:dyDescent="0.25">
      <c r="B3123" s="11"/>
    </row>
    <row r="3124" spans="2:2" x14ac:dyDescent="0.25">
      <c r="B3124" s="11"/>
    </row>
    <row r="3125" spans="2:2" x14ac:dyDescent="0.25">
      <c r="B3125" s="11"/>
    </row>
    <row r="3126" spans="2:2" x14ac:dyDescent="0.25">
      <c r="B3126" s="11"/>
    </row>
    <row r="3127" spans="2:2" x14ac:dyDescent="0.25">
      <c r="B3127" s="11"/>
    </row>
    <row r="3128" spans="2:2" x14ac:dyDescent="0.25">
      <c r="B3128" s="11"/>
    </row>
    <row r="3129" spans="2:2" x14ac:dyDescent="0.25">
      <c r="B3129" s="11"/>
    </row>
    <row r="3130" spans="2:2" x14ac:dyDescent="0.25">
      <c r="B3130" s="11"/>
    </row>
    <row r="3131" spans="2:2" x14ac:dyDescent="0.25">
      <c r="B3131" s="11"/>
    </row>
    <row r="3132" spans="2:2" x14ac:dyDescent="0.25">
      <c r="B3132" s="11"/>
    </row>
    <row r="3133" spans="2:2" x14ac:dyDescent="0.25">
      <c r="B3133" s="11"/>
    </row>
    <row r="3134" spans="2:2" x14ac:dyDescent="0.25">
      <c r="B3134" s="11"/>
    </row>
    <row r="3135" spans="2:2" x14ac:dyDescent="0.25">
      <c r="B3135" s="11"/>
    </row>
    <row r="3136" spans="2:2" x14ac:dyDescent="0.25">
      <c r="B3136" s="11"/>
    </row>
    <row r="3137" spans="2:2" x14ac:dyDescent="0.25">
      <c r="B3137" s="11"/>
    </row>
    <row r="3138" spans="2:2" x14ac:dyDescent="0.25">
      <c r="B3138" s="11"/>
    </row>
    <row r="3139" spans="2:2" x14ac:dyDescent="0.25">
      <c r="B3139" s="11"/>
    </row>
    <row r="3140" spans="2:2" x14ac:dyDescent="0.25">
      <c r="B3140" s="11"/>
    </row>
    <row r="3141" spans="2:2" x14ac:dyDescent="0.25">
      <c r="B3141" s="11"/>
    </row>
    <row r="3142" spans="2:2" x14ac:dyDescent="0.25">
      <c r="B3142" s="11"/>
    </row>
    <row r="3143" spans="2:2" x14ac:dyDescent="0.25">
      <c r="B3143" s="11"/>
    </row>
    <row r="3144" spans="2:2" x14ac:dyDescent="0.25">
      <c r="B3144" s="11"/>
    </row>
    <row r="3145" spans="2:2" x14ac:dyDescent="0.25">
      <c r="B3145" s="11"/>
    </row>
    <row r="3146" spans="2:2" x14ac:dyDescent="0.25">
      <c r="B3146" s="11"/>
    </row>
    <row r="3147" spans="2:2" x14ac:dyDescent="0.25">
      <c r="B3147" s="11"/>
    </row>
    <row r="3148" spans="2:2" x14ac:dyDescent="0.25">
      <c r="B3148" s="11"/>
    </row>
    <row r="3149" spans="2:2" x14ac:dyDescent="0.25">
      <c r="B3149" s="11"/>
    </row>
    <row r="3150" spans="2:2" x14ac:dyDescent="0.25">
      <c r="B3150" s="11"/>
    </row>
    <row r="3151" spans="2:2" x14ac:dyDescent="0.25">
      <c r="B3151" s="11"/>
    </row>
    <row r="3152" spans="2:2" x14ac:dyDescent="0.25">
      <c r="B3152" s="11"/>
    </row>
    <row r="3153" spans="2:2" x14ac:dyDescent="0.25">
      <c r="B3153" s="11"/>
    </row>
    <row r="3154" spans="2:2" x14ac:dyDescent="0.25">
      <c r="B3154" s="11"/>
    </row>
    <row r="3155" spans="2:2" x14ac:dyDescent="0.25">
      <c r="B3155" s="11"/>
    </row>
    <row r="3156" spans="2:2" x14ac:dyDescent="0.25">
      <c r="B3156" s="11"/>
    </row>
    <row r="3157" spans="2:2" x14ac:dyDescent="0.25">
      <c r="B3157" s="11"/>
    </row>
    <row r="3158" spans="2:2" x14ac:dyDescent="0.25">
      <c r="B3158" s="11"/>
    </row>
    <row r="3159" spans="2:2" x14ac:dyDescent="0.25">
      <c r="B3159" s="11"/>
    </row>
    <row r="3160" spans="2:2" x14ac:dyDescent="0.25">
      <c r="B3160" s="11"/>
    </row>
    <row r="3161" spans="2:2" x14ac:dyDescent="0.25">
      <c r="B3161" s="11"/>
    </row>
    <row r="3162" spans="2:2" x14ac:dyDescent="0.25">
      <c r="B3162" s="11"/>
    </row>
    <row r="3163" spans="2:2" x14ac:dyDescent="0.25">
      <c r="B3163" s="11"/>
    </row>
    <row r="3164" spans="2:2" x14ac:dyDescent="0.25">
      <c r="B3164" s="11"/>
    </row>
    <row r="3165" spans="2:2" x14ac:dyDescent="0.25">
      <c r="B3165" s="11"/>
    </row>
    <row r="3166" spans="2:2" x14ac:dyDescent="0.25">
      <c r="B3166" s="11"/>
    </row>
    <row r="3167" spans="2:2" x14ac:dyDescent="0.25">
      <c r="B3167" s="11"/>
    </row>
    <row r="3168" spans="2:2" x14ac:dyDescent="0.25">
      <c r="B3168" s="11"/>
    </row>
    <row r="3169" spans="2:2" x14ac:dyDescent="0.25">
      <c r="B3169" s="11"/>
    </row>
    <row r="3170" spans="2:2" x14ac:dyDescent="0.25">
      <c r="B3170" s="11"/>
    </row>
    <row r="3171" spans="2:2" x14ac:dyDescent="0.25">
      <c r="B3171" s="11"/>
    </row>
    <row r="3172" spans="2:2" x14ac:dyDescent="0.25">
      <c r="B3172" s="11"/>
    </row>
    <row r="3173" spans="2:2" x14ac:dyDescent="0.25">
      <c r="B3173" s="11"/>
    </row>
    <row r="3174" spans="2:2" x14ac:dyDescent="0.25">
      <c r="B3174" s="11"/>
    </row>
    <row r="3175" spans="2:2" x14ac:dyDescent="0.25">
      <c r="B3175" s="11"/>
    </row>
    <row r="3176" spans="2:2" x14ac:dyDescent="0.25">
      <c r="B3176" s="11"/>
    </row>
    <row r="3177" spans="2:2" x14ac:dyDescent="0.25">
      <c r="B3177" s="11"/>
    </row>
    <row r="3178" spans="2:2" x14ac:dyDescent="0.25">
      <c r="B3178" s="11"/>
    </row>
    <row r="3179" spans="2:2" x14ac:dyDescent="0.25">
      <c r="B3179" s="11"/>
    </row>
    <row r="3180" spans="2:2" x14ac:dyDescent="0.25">
      <c r="B3180" s="11"/>
    </row>
    <row r="3181" spans="2:2" x14ac:dyDescent="0.25">
      <c r="B3181" s="11"/>
    </row>
    <row r="3182" spans="2:2" x14ac:dyDescent="0.25">
      <c r="B3182" s="11"/>
    </row>
    <row r="3183" spans="2:2" x14ac:dyDescent="0.25">
      <c r="B3183" s="11"/>
    </row>
    <row r="3184" spans="2:2" x14ac:dyDescent="0.25">
      <c r="B3184" s="11"/>
    </row>
    <row r="3185" spans="2:2" x14ac:dyDescent="0.25">
      <c r="B3185" s="11"/>
    </row>
    <row r="3186" spans="2:2" x14ac:dyDescent="0.25">
      <c r="B3186" s="11"/>
    </row>
    <row r="3187" spans="2:2" x14ac:dyDescent="0.25">
      <c r="B3187" s="11"/>
    </row>
    <row r="3188" spans="2:2" x14ac:dyDescent="0.25">
      <c r="B3188" s="11"/>
    </row>
    <row r="3189" spans="2:2" x14ac:dyDescent="0.25">
      <c r="B3189" s="11"/>
    </row>
    <row r="3190" spans="2:2" x14ac:dyDescent="0.25">
      <c r="B3190" s="11"/>
    </row>
    <row r="3191" spans="2:2" x14ac:dyDescent="0.25">
      <c r="B3191" s="11"/>
    </row>
    <row r="3192" spans="2:2" x14ac:dyDescent="0.25">
      <c r="B3192" s="11"/>
    </row>
    <row r="3193" spans="2:2" x14ac:dyDescent="0.25">
      <c r="B3193" s="11"/>
    </row>
    <row r="3194" spans="2:2" x14ac:dyDescent="0.25">
      <c r="B3194" s="11"/>
    </row>
    <row r="3195" spans="2:2" x14ac:dyDescent="0.25">
      <c r="B3195" s="11"/>
    </row>
    <row r="3196" spans="2:2" x14ac:dyDescent="0.25">
      <c r="B3196" s="11"/>
    </row>
    <row r="3197" spans="2:2" x14ac:dyDescent="0.25">
      <c r="B3197" s="11"/>
    </row>
    <row r="3198" spans="2:2" x14ac:dyDescent="0.25">
      <c r="B3198" s="11"/>
    </row>
    <row r="3199" spans="2:2" x14ac:dyDescent="0.25">
      <c r="B3199" s="11"/>
    </row>
    <row r="3200" spans="2:2" x14ac:dyDescent="0.25">
      <c r="B3200" s="11"/>
    </row>
    <row r="3201" spans="2:2" x14ac:dyDescent="0.25">
      <c r="B3201" s="11"/>
    </row>
    <row r="3202" spans="2:2" x14ac:dyDescent="0.25">
      <c r="B3202" s="11"/>
    </row>
    <row r="3203" spans="2:2" x14ac:dyDescent="0.25">
      <c r="B3203" s="11"/>
    </row>
    <row r="3204" spans="2:2" x14ac:dyDescent="0.25">
      <c r="B3204" s="11"/>
    </row>
    <row r="3205" spans="2:2" x14ac:dyDescent="0.25">
      <c r="B3205" s="11"/>
    </row>
    <row r="3206" spans="2:2" x14ac:dyDescent="0.25">
      <c r="B3206" s="11"/>
    </row>
    <row r="3207" spans="2:2" x14ac:dyDescent="0.25">
      <c r="B3207" s="11"/>
    </row>
    <row r="3208" spans="2:2" x14ac:dyDescent="0.25">
      <c r="B3208" s="11"/>
    </row>
    <row r="3209" spans="2:2" x14ac:dyDescent="0.25">
      <c r="B3209" s="11"/>
    </row>
    <row r="3210" spans="2:2" x14ac:dyDescent="0.25">
      <c r="B3210" s="11"/>
    </row>
    <row r="3211" spans="2:2" x14ac:dyDescent="0.25">
      <c r="B3211" s="11"/>
    </row>
    <row r="3212" spans="2:2" x14ac:dyDescent="0.25">
      <c r="B3212" s="11"/>
    </row>
    <row r="3213" spans="2:2" x14ac:dyDescent="0.25">
      <c r="B3213" s="11"/>
    </row>
    <row r="3214" spans="2:2" x14ac:dyDescent="0.25">
      <c r="B3214" s="11"/>
    </row>
    <row r="3215" spans="2:2" x14ac:dyDescent="0.25">
      <c r="B3215" s="11"/>
    </row>
    <row r="3216" spans="2:2" x14ac:dyDescent="0.25">
      <c r="B3216" s="11"/>
    </row>
    <row r="3217" spans="2:2" x14ac:dyDescent="0.25">
      <c r="B3217" s="11"/>
    </row>
    <row r="3218" spans="2:2" x14ac:dyDescent="0.25">
      <c r="B3218" s="11"/>
    </row>
    <row r="3219" spans="2:2" x14ac:dyDescent="0.25">
      <c r="B3219" s="11"/>
    </row>
    <row r="3220" spans="2:2" x14ac:dyDescent="0.25">
      <c r="B3220" s="11"/>
    </row>
    <row r="3221" spans="2:2" x14ac:dyDescent="0.25">
      <c r="B3221" s="11"/>
    </row>
    <row r="3222" spans="2:2" x14ac:dyDescent="0.25">
      <c r="B3222" s="11"/>
    </row>
    <row r="3223" spans="2:2" x14ac:dyDescent="0.25">
      <c r="B3223" s="11"/>
    </row>
    <row r="3224" spans="2:2" x14ac:dyDescent="0.25">
      <c r="B3224" s="11"/>
    </row>
    <row r="3225" spans="2:2" x14ac:dyDescent="0.25">
      <c r="B3225" s="11"/>
    </row>
    <row r="3226" spans="2:2" x14ac:dyDescent="0.25">
      <c r="B3226" s="11"/>
    </row>
    <row r="3227" spans="2:2" x14ac:dyDescent="0.25">
      <c r="B3227" s="11"/>
    </row>
    <row r="3228" spans="2:2" x14ac:dyDescent="0.25">
      <c r="B3228" s="11"/>
    </row>
    <row r="3229" spans="2:2" x14ac:dyDescent="0.25">
      <c r="B3229" s="11"/>
    </row>
    <row r="3230" spans="2:2" x14ac:dyDescent="0.25">
      <c r="B3230" s="11"/>
    </row>
    <row r="3231" spans="2:2" x14ac:dyDescent="0.25">
      <c r="B3231" s="11"/>
    </row>
    <row r="3232" spans="2:2" x14ac:dyDescent="0.25">
      <c r="B3232" s="11"/>
    </row>
    <row r="3233" spans="2:2" x14ac:dyDescent="0.25">
      <c r="B3233" s="11"/>
    </row>
    <row r="3234" spans="2:2" x14ac:dyDescent="0.25">
      <c r="B3234" s="11"/>
    </row>
    <row r="3235" spans="2:2" x14ac:dyDescent="0.25">
      <c r="B3235" s="11"/>
    </row>
    <row r="3236" spans="2:2" x14ac:dyDescent="0.25">
      <c r="B3236" s="11"/>
    </row>
    <row r="3237" spans="2:2" x14ac:dyDescent="0.25">
      <c r="B3237" s="11"/>
    </row>
    <row r="3238" spans="2:2" x14ac:dyDescent="0.25">
      <c r="B3238" s="11"/>
    </row>
    <row r="3239" spans="2:2" x14ac:dyDescent="0.25">
      <c r="B3239" s="11"/>
    </row>
    <row r="3240" spans="2:2" x14ac:dyDescent="0.25">
      <c r="B3240" s="11"/>
    </row>
    <row r="3241" spans="2:2" x14ac:dyDescent="0.25">
      <c r="B3241" s="11"/>
    </row>
    <row r="3242" spans="2:2" x14ac:dyDescent="0.25">
      <c r="B3242" s="11"/>
    </row>
    <row r="3243" spans="2:2" x14ac:dyDescent="0.25">
      <c r="B3243" s="11"/>
    </row>
    <row r="3244" spans="2:2" x14ac:dyDescent="0.25">
      <c r="B3244" s="11"/>
    </row>
    <row r="3245" spans="2:2" x14ac:dyDescent="0.25">
      <c r="B3245" s="11"/>
    </row>
    <row r="3246" spans="2:2" x14ac:dyDescent="0.25">
      <c r="B3246" s="11"/>
    </row>
    <row r="3247" spans="2:2" x14ac:dyDescent="0.25">
      <c r="B3247" s="11"/>
    </row>
    <row r="3248" spans="2:2" x14ac:dyDescent="0.25">
      <c r="B3248" s="11"/>
    </row>
    <row r="3249" spans="2:2" x14ac:dyDescent="0.25">
      <c r="B3249" s="11"/>
    </row>
    <row r="3250" spans="2:2" x14ac:dyDescent="0.25">
      <c r="B3250" s="11"/>
    </row>
    <row r="3251" spans="2:2" x14ac:dyDescent="0.25">
      <c r="B3251" s="11"/>
    </row>
    <row r="3252" spans="2:2" x14ac:dyDescent="0.25">
      <c r="B3252" s="11"/>
    </row>
    <row r="3253" spans="2:2" x14ac:dyDescent="0.25">
      <c r="B3253" s="11"/>
    </row>
    <row r="3254" spans="2:2" x14ac:dyDescent="0.25">
      <c r="B3254" s="11"/>
    </row>
    <row r="3255" spans="2:2" x14ac:dyDescent="0.25">
      <c r="B3255" s="11"/>
    </row>
    <row r="3256" spans="2:2" x14ac:dyDescent="0.25">
      <c r="B3256" s="11"/>
    </row>
    <row r="3257" spans="2:2" x14ac:dyDescent="0.25">
      <c r="B3257" s="11"/>
    </row>
    <row r="3258" spans="2:2" x14ac:dyDescent="0.25">
      <c r="B3258" s="11"/>
    </row>
    <row r="3259" spans="2:2" x14ac:dyDescent="0.25">
      <c r="B3259" s="11"/>
    </row>
    <row r="3260" spans="2:2" x14ac:dyDescent="0.25">
      <c r="B3260" s="11"/>
    </row>
    <row r="3261" spans="2:2" x14ac:dyDescent="0.25">
      <c r="B3261" s="11"/>
    </row>
    <row r="3262" spans="2:2" x14ac:dyDescent="0.25">
      <c r="B3262" s="11"/>
    </row>
    <row r="3263" spans="2:2" x14ac:dyDescent="0.25">
      <c r="B3263" s="11"/>
    </row>
    <row r="3264" spans="2:2" x14ac:dyDescent="0.25">
      <c r="B3264" s="11"/>
    </row>
    <row r="3265" spans="2:2" x14ac:dyDescent="0.25">
      <c r="B3265" s="11"/>
    </row>
    <row r="3266" spans="2:2" x14ac:dyDescent="0.25">
      <c r="B3266" s="11"/>
    </row>
    <row r="3267" spans="2:2" x14ac:dyDescent="0.25">
      <c r="B3267" s="11"/>
    </row>
    <row r="3268" spans="2:2" x14ac:dyDescent="0.25">
      <c r="B3268" s="11"/>
    </row>
    <row r="3269" spans="2:2" x14ac:dyDescent="0.25">
      <c r="B3269" s="11"/>
    </row>
    <row r="3270" spans="2:2" x14ac:dyDescent="0.25">
      <c r="B3270" s="11"/>
    </row>
    <row r="3271" spans="2:2" x14ac:dyDescent="0.25">
      <c r="B3271" s="11"/>
    </row>
    <row r="3272" spans="2:2" x14ac:dyDescent="0.25">
      <c r="B3272" s="11"/>
    </row>
    <row r="3273" spans="2:2" x14ac:dyDescent="0.25">
      <c r="B3273" s="11"/>
    </row>
    <row r="3274" spans="2:2" x14ac:dyDescent="0.25">
      <c r="B3274" s="11"/>
    </row>
    <row r="3275" spans="2:2" x14ac:dyDescent="0.25">
      <c r="B3275" s="11"/>
    </row>
    <row r="3276" spans="2:2" x14ac:dyDescent="0.25">
      <c r="B3276" s="11"/>
    </row>
    <row r="3277" spans="2:2" x14ac:dyDescent="0.25">
      <c r="B3277" s="11"/>
    </row>
    <row r="3278" spans="2:2" x14ac:dyDescent="0.25">
      <c r="B3278" s="11"/>
    </row>
    <row r="3279" spans="2:2" x14ac:dyDescent="0.25">
      <c r="B3279" s="11"/>
    </row>
    <row r="3280" spans="2:2" x14ac:dyDescent="0.25">
      <c r="B3280" s="11"/>
    </row>
    <row r="3281" spans="2:2" x14ac:dyDescent="0.25">
      <c r="B3281" s="11"/>
    </row>
    <row r="3282" spans="2:2" x14ac:dyDescent="0.25">
      <c r="B3282" s="11"/>
    </row>
    <row r="3283" spans="2:2" x14ac:dyDescent="0.25">
      <c r="B3283" s="11"/>
    </row>
    <row r="3284" spans="2:2" x14ac:dyDescent="0.25">
      <c r="B3284" s="11"/>
    </row>
    <row r="3285" spans="2:2" x14ac:dyDescent="0.25">
      <c r="B3285" s="11"/>
    </row>
    <row r="3286" spans="2:2" x14ac:dyDescent="0.25">
      <c r="B3286" s="11"/>
    </row>
    <row r="3287" spans="2:2" x14ac:dyDescent="0.25">
      <c r="B3287" s="11"/>
    </row>
    <row r="3288" spans="2:2" x14ac:dyDescent="0.25">
      <c r="B3288" s="11"/>
    </row>
    <row r="3289" spans="2:2" x14ac:dyDescent="0.25">
      <c r="B3289" s="11"/>
    </row>
    <row r="3290" spans="2:2" x14ac:dyDescent="0.25">
      <c r="B3290" s="11"/>
    </row>
    <row r="3291" spans="2:2" x14ac:dyDescent="0.25">
      <c r="B3291" s="11"/>
    </row>
    <row r="3292" spans="2:2" x14ac:dyDescent="0.25">
      <c r="B3292" s="11"/>
    </row>
    <row r="3293" spans="2:2" x14ac:dyDescent="0.25">
      <c r="B3293" s="11"/>
    </row>
    <row r="3294" spans="2:2" x14ac:dyDescent="0.25">
      <c r="B3294" s="11"/>
    </row>
    <row r="3295" spans="2:2" x14ac:dyDescent="0.25">
      <c r="B3295" s="11"/>
    </row>
    <row r="3296" spans="2:2" x14ac:dyDescent="0.25">
      <c r="B3296" s="11"/>
    </row>
    <row r="3297" spans="2:2" x14ac:dyDescent="0.25">
      <c r="B3297" s="11"/>
    </row>
    <row r="3298" spans="2:2" x14ac:dyDescent="0.25">
      <c r="B3298" s="11"/>
    </row>
    <row r="3299" spans="2:2" x14ac:dyDescent="0.25">
      <c r="B3299" s="11"/>
    </row>
    <row r="3300" spans="2:2" x14ac:dyDescent="0.25">
      <c r="B3300" s="11"/>
    </row>
    <row r="3301" spans="2:2" x14ac:dyDescent="0.25">
      <c r="B3301" s="11"/>
    </row>
    <row r="3302" spans="2:2" x14ac:dyDescent="0.25">
      <c r="B3302" s="11"/>
    </row>
    <row r="3303" spans="2:2" x14ac:dyDescent="0.25">
      <c r="B3303" s="11"/>
    </row>
    <row r="3304" spans="2:2" x14ac:dyDescent="0.25">
      <c r="B3304" s="11"/>
    </row>
    <row r="3305" spans="2:2" x14ac:dyDescent="0.25">
      <c r="B3305" s="11"/>
    </row>
    <row r="3306" spans="2:2" x14ac:dyDescent="0.25">
      <c r="B3306" s="11"/>
    </row>
    <row r="3307" spans="2:2" x14ac:dyDescent="0.25">
      <c r="B3307" s="11"/>
    </row>
    <row r="3308" spans="2:2" x14ac:dyDescent="0.25">
      <c r="B3308" s="11"/>
    </row>
    <row r="3309" spans="2:2" x14ac:dyDescent="0.25">
      <c r="B3309" s="11"/>
    </row>
    <row r="3310" spans="2:2" x14ac:dyDescent="0.25">
      <c r="B3310" s="11"/>
    </row>
    <row r="3311" spans="2:2" x14ac:dyDescent="0.25">
      <c r="B3311" s="11"/>
    </row>
    <row r="3312" spans="2:2" x14ac:dyDescent="0.25">
      <c r="B3312" s="11"/>
    </row>
    <row r="3313" spans="2:2" x14ac:dyDescent="0.25">
      <c r="B3313" s="11"/>
    </row>
    <row r="3314" spans="2:2" x14ac:dyDescent="0.25">
      <c r="B3314" s="11"/>
    </row>
    <row r="3315" spans="2:2" x14ac:dyDescent="0.25">
      <c r="B3315" s="11"/>
    </row>
    <row r="3316" spans="2:2" x14ac:dyDescent="0.25">
      <c r="B3316" s="11"/>
    </row>
    <row r="3317" spans="2:2" x14ac:dyDescent="0.25">
      <c r="B3317" s="11"/>
    </row>
    <row r="3318" spans="2:2" x14ac:dyDescent="0.25">
      <c r="B3318" s="11"/>
    </row>
    <row r="3319" spans="2:2" x14ac:dyDescent="0.25">
      <c r="B3319" s="11"/>
    </row>
    <row r="3320" spans="2:2" x14ac:dyDescent="0.25">
      <c r="B3320" s="11"/>
    </row>
    <row r="3321" spans="2:2" x14ac:dyDescent="0.25">
      <c r="B3321" s="11"/>
    </row>
    <row r="3322" spans="2:2" x14ac:dyDescent="0.25">
      <c r="B3322" s="11"/>
    </row>
    <row r="3323" spans="2:2" x14ac:dyDescent="0.25">
      <c r="B3323" s="11"/>
    </row>
    <row r="3324" spans="2:2" x14ac:dyDescent="0.25">
      <c r="B3324" s="11"/>
    </row>
    <row r="3325" spans="2:2" x14ac:dyDescent="0.25">
      <c r="B3325" s="11"/>
    </row>
    <row r="3326" spans="2:2" x14ac:dyDescent="0.25">
      <c r="B3326" s="11"/>
    </row>
    <row r="3327" spans="2:2" x14ac:dyDescent="0.25">
      <c r="B3327" s="11"/>
    </row>
    <row r="3328" spans="2:2" x14ac:dyDescent="0.25">
      <c r="B3328" s="11"/>
    </row>
    <row r="3329" spans="2:2" x14ac:dyDescent="0.25">
      <c r="B3329" s="11"/>
    </row>
    <row r="3330" spans="2:2" x14ac:dyDescent="0.25">
      <c r="B3330" s="11"/>
    </row>
    <row r="3331" spans="2:2" x14ac:dyDescent="0.25">
      <c r="B3331" s="11"/>
    </row>
    <row r="3332" spans="2:2" x14ac:dyDescent="0.25">
      <c r="B3332" s="11"/>
    </row>
    <row r="3333" spans="2:2" x14ac:dyDescent="0.25">
      <c r="B3333" s="11"/>
    </row>
    <row r="3334" spans="2:2" x14ac:dyDescent="0.25">
      <c r="B3334" s="11"/>
    </row>
    <row r="3335" spans="2:2" x14ac:dyDescent="0.25">
      <c r="B3335" s="11"/>
    </row>
    <row r="3336" spans="2:2" x14ac:dyDescent="0.25">
      <c r="B3336" s="11"/>
    </row>
    <row r="3337" spans="2:2" x14ac:dyDescent="0.25">
      <c r="B3337" s="11"/>
    </row>
    <row r="3338" spans="2:2" x14ac:dyDescent="0.25">
      <c r="B3338" s="11"/>
    </row>
    <row r="3339" spans="2:2" x14ac:dyDescent="0.25">
      <c r="B3339" s="11"/>
    </row>
    <row r="3340" spans="2:2" x14ac:dyDescent="0.25">
      <c r="B3340" s="11"/>
    </row>
    <row r="3341" spans="2:2" x14ac:dyDescent="0.25">
      <c r="B3341" s="11"/>
    </row>
    <row r="3342" spans="2:2" x14ac:dyDescent="0.25">
      <c r="B3342" s="11"/>
    </row>
    <row r="3343" spans="2:2" x14ac:dyDescent="0.25">
      <c r="B3343" s="11"/>
    </row>
    <row r="3344" spans="2:2" x14ac:dyDescent="0.25">
      <c r="B3344" s="11"/>
    </row>
    <row r="3345" spans="2:2" x14ac:dyDescent="0.25">
      <c r="B3345" s="11"/>
    </row>
    <row r="3346" spans="2:2" x14ac:dyDescent="0.25">
      <c r="B3346" s="11"/>
    </row>
    <row r="3347" spans="2:2" x14ac:dyDescent="0.25">
      <c r="B3347" s="11"/>
    </row>
    <row r="3348" spans="2:2" x14ac:dyDescent="0.25">
      <c r="B3348" s="11"/>
    </row>
    <row r="3349" spans="2:2" x14ac:dyDescent="0.25">
      <c r="B3349" s="11"/>
    </row>
    <row r="3350" spans="2:2" x14ac:dyDescent="0.25">
      <c r="B3350" s="11"/>
    </row>
    <row r="3351" spans="2:2" x14ac:dyDescent="0.25">
      <c r="B3351" s="11"/>
    </row>
    <row r="3352" spans="2:2" x14ac:dyDescent="0.25">
      <c r="B3352" s="11"/>
    </row>
    <row r="3353" spans="2:2" x14ac:dyDescent="0.25">
      <c r="B3353" s="11"/>
    </row>
    <row r="3354" spans="2:2" x14ac:dyDescent="0.25">
      <c r="B3354" s="11"/>
    </row>
    <row r="3355" spans="2:2" x14ac:dyDescent="0.25">
      <c r="B3355" s="11"/>
    </row>
    <row r="3356" spans="2:2" x14ac:dyDescent="0.25">
      <c r="B3356" s="11"/>
    </row>
    <row r="3357" spans="2:2" x14ac:dyDescent="0.25">
      <c r="B3357" s="11"/>
    </row>
    <row r="3358" spans="2:2" x14ac:dyDescent="0.25">
      <c r="B3358" s="11"/>
    </row>
    <row r="3359" spans="2:2" x14ac:dyDescent="0.25">
      <c r="B3359" s="11"/>
    </row>
    <row r="3360" spans="2:2" x14ac:dyDescent="0.25">
      <c r="B3360" s="11"/>
    </row>
    <row r="3361" spans="2:2" x14ac:dyDescent="0.25">
      <c r="B3361" s="11"/>
    </row>
    <row r="3362" spans="2:2" x14ac:dyDescent="0.25">
      <c r="B3362" s="11"/>
    </row>
    <row r="3363" spans="2:2" x14ac:dyDescent="0.25">
      <c r="B3363" s="11"/>
    </row>
    <row r="3364" spans="2:2" x14ac:dyDescent="0.25">
      <c r="B3364" s="11"/>
    </row>
    <row r="3365" spans="2:2" x14ac:dyDescent="0.25">
      <c r="B3365" s="11"/>
    </row>
    <row r="3366" spans="2:2" x14ac:dyDescent="0.25">
      <c r="B3366" s="11"/>
    </row>
    <row r="3367" spans="2:2" x14ac:dyDescent="0.25">
      <c r="B3367" s="11"/>
    </row>
    <row r="3368" spans="2:2" x14ac:dyDescent="0.25">
      <c r="B3368" s="11"/>
    </row>
    <row r="3369" spans="2:2" x14ac:dyDescent="0.25">
      <c r="B3369" s="11"/>
    </row>
    <row r="3370" spans="2:2" x14ac:dyDescent="0.25">
      <c r="B3370" s="11"/>
    </row>
    <row r="3371" spans="2:2" x14ac:dyDescent="0.25">
      <c r="B3371" s="11"/>
    </row>
    <row r="3372" spans="2:2" x14ac:dyDescent="0.25">
      <c r="B3372" s="11"/>
    </row>
    <row r="3373" spans="2:2" x14ac:dyDescent="0.25">
      <c r="B3373" s="11"/>
    </row>
    <row r="3374" spans="2:2" x14ac:dyDescent="0.25">
      <c r="B3374" s="11"/>
    </row>
    <row r="3375" spans="2:2" x14ac:dyDescent="0.25">
      <c r="B3375" s="11"/>
    </row>
    <row r="3376" spans="2:2" x14ac:dyDescent="0.25">
      <c r="B3376" s="11"/>
    </row>
    <row r="3377" spans="2:2" x14ac:dyDescent="0.25">
      <c r="B3377" s="11"/>
    </row>
    <row r="3378" spans="2:2" x14ac:dyDescent="0.25">
      <c r="B3378" s="11"/>
    </row>
    <row r="3379" spans="2:2" x14ac:dyDescent="0.25">
      <c r="B3379" s="11"/>
    </row>
    <row r="3380" spans="2:2" x14ac:dyDescent="0.25">
      <c r="B3380" s="11"/>
    </row>
    <row r="3381" spans="2:2" x14ac:dyDescent="0.25">
      <c r="B3381" s="11"/>
    </row>
    <row r="3382" spans="2:2" x14ac:dyDescent="0.25">
      <c r="B3382" s="11"/>
    </row>
    <row r="3383" spans="2:2" x14ac:dyDescent="0.25">
      <c r="B3383" s="11"/>
    </row>
    <row r="3384" spans="2:2" x14ac:dyDescent="0.25">
      <c r="B3384" s="11"/>
    </row>
    <row r="3385" spans="2:2" x14ac:dyDescent="0.25">
      <c r="B3385" s="11"/>
    </row>
    <row r="3386" spans="2:2" x14ac:dyDescent="0.25">
      <c r="B3386" s="11"/>
    </row>
    <row r="3387" spans="2:2" x14ac:dyDescent="0.25">
      <c r="B3387" s="11"/>
    </row>
    <row r="3388" spans="2:2" x14ac:dyDescent="0.25">
      <c r="B3388" s="11"/>
    </row>
    <row r="3389" spans="2:2" x14ac:dyDescent="0.25">
      <c r="B3389" s="11"/>
    </row>
    <row r="3390" spans="2:2" x14ac:dyDescent="0.25">
      <c r="B3390" s="11"/>
    </row>
    <row r="3391" spans="2:2" x14ac:dyDescent="0.25">
      <c r="B3391" s="11"/>
    </row>
    <row r="3392" spans="2:2" x14ac:dyDescent="0.25">
      <c r="B3392" s="11"/>
    </row>
    <row r="3393" spans="2:2" x14ac:dyDescent="0.25">
      <c r="B3393" s="11"/>
    </row>
    <row r="3394" spans="2:2" x14ac:dyDescent="0.25">
      <c r="B3394" s="11"/>
    </row>
    <row r="3395" spans="2:2" x14ac:dyDescent="0.25">
      <c r="B3395" s="11"/>
    </row>
    <row r="3396" spans="2:2" x14ac:dyDescent="0.25">
      <c r="B3396" s="11"/>
    </row>
    <row r="3397" spans="2:2" x14ac:dyDescent="0.25">
      <c r="B3397" s="11"/>
    </row>
    <row r="3398" spans="2:2" x14ac:dyDescent="0.25">
      <c r="B3398" s="11"/>
    </row>
    <row r="3399" spans="2:2" x14ac:dyDescent="0.25">
      <c r="B3399" s="11"/>
    </row>
    <row r="3400" spans="2:2" x14ac:dyDescent="0.25">
      <c r="B3400" s="11"/>
    </row>
    <row r="3401" spans="2:2" x14ac:dyDescent="0.25">
      <c r="B3401" s="11"/>
    </row>
    <row r="3402" spans="2:2" x14ac:dyDescent="0.25">
      <c r="B3402" s="11"/>
    </row>
    <row r="3403" spans="2:2" x14ac:dyDescent="0.25">
      <c r="B3403" s="11"/>
    </row>
    <row r="3404" spans="2:2" x14ac:dyDescent="0.25">
      <c r="B3404" s="11"/>
    </row>
    <row r="3405" spans="2:2" x14ac:dyDescent="0.25">
      <c r="B3405" s="11"/>
    </row>
    <row r="3406" spans="2:2" x14ac:dyDescent="0.25">
      <c r="B3406" s="11"/>
    </row>
    <row r="3407" spans="2:2" x14ac:dyDescent="0.25">
      <c r="B3407" s="11"/>
    </row>
    <row r="3408" spans="2:2" x14ac:dyDescent="0.25">
      <c r="B3408" s="11"/>
    </row>
    <row r="3409" spans="2:2" x14ac:dyDescent="0.25">
      <c r="B3409" s="11"/>
    </row>
    <row r="3410" spans="2:2" x14ac:dyDescent="0.25">
      <c r="B3410" s="11"/>
    </row>
    <row r="3411" spans="2:2" x14ac:dyDescent="0.25">
      <c r="B3411" s="11"/>
    </row>
    <row r="3412" spans="2:2" x14ac:dyDescent="0.25">
      <c r="B3412" s="11"/>
    </row>
    <row r="3413" spans="2:2" x14ac:dyDescent="0.25">
      <c r="B3413" s="11"/>
    </row>
    <row r="3414" spans="2:2" x14ac:dyDescent="0.25">
      <c r="B3414" s="11"/>
    </row>
    <row r="3415" spans="2:2" x14ac:dyDescent="0.25">
      <c r="B3415" s="11"/>
    </row>
    <row r="3416" spans="2:2" x14ac:dyDescent="0.25">
      <c r="B3416" s="11"/>
    </row>
    <row r="3417" spans="2:2" x14ac:dyDescent="0.25">
      <c r="B3417" s="11"/>
    </row>
    <row r="3418" spans="2:2" x14ac:dyDescent="0.25">
      <c r="B3418" s="11"/>
    </row>
    <row r="3419" spans="2:2" x14ac:dyDescent="0.25">
      <c r="B3419" s="11"/>
    </row>
    <row r="3420" spans="2:2" x14ac:dyDescent="0.25">
      <c r="B3420" s="11"/>
    </row>
    <row r="3421" spans="2:2" x14ac:dyDescent="0.25">
      <c r="B3421" s="11"/>
    </row>
    <row r="3422" spans="2:2" x14ac:dyDescent="0.25">
      <c r="B3422" s="11"/>
    </row>
    <row r="3423" spans="2:2" x14ac:dyDescent="0.25">
      <c r="B3423" s="11"/>
    </row>
    <row r="3424" spans="2:2" x14ac:dyDescent="0.25">
      <c r="B3424" s="11"/>
    </row>
    <row r="3425" spans="2:2" x14ac:dyDescent="0.25">
      <c r="B3425" s="11"/>
    </row>
    <row r="3426" spans="2:2" x14ac:dyDescent="0.25">
      <c r="B3426" s="11"/>
    </row>
    <row r="3427" spans="2:2" x14ac:dyDescent="0.25">
      <c r="B3427" s="11"/>
    </row>
    <row r="3428" spans="2:2" x14ac:dyDescent="0.25">
      <c r="B3428" s="11"/>
    </row>
    <row r="3429" spans="2:2" x14ac:dyDescent="0.25">
      <c r="B3429" s="11"/>
    </row>
    <row r="3430" spans="2:2" x14ac:dyDescent="0.25">
      <c r="B3430" s="11"/>
    </row>
    <row r="3431" spans="2:2" x14ac:dyDescent="0.25">
      <c r="B3431" s="11"/>
    </row>
    <row r="3432" spans="2:2" x14ac:dyDescent="0.25">
      <c r="B3432" s="11"/>
    </row>
    <row r="3433" spans="2:2" x14ac:dyDescent="0.25">
      <c r="B3433" s="11"/>
    </row>
    <row r="3434" spans="2:2" x14ac:dyDescent="0.25">
      <c r="B3434" s="11"/>
    </row>
    <row r="3435" spans="2:2" x14ac:dyDescent="0.25">
      <c r="B3435" s="11"/>
    </row>
    <row r="3436" spans="2:2" x14ac:dyDescent="0.25">
      <c r="B3436" s="11"/>
    </row>
    <row r="3437" spans="2:2" x14ac:dyDescent="0.25">
      <c r="B3437" s="11"/>
    </row>
    <row r="3438" spans="2:2" x14ac:dyDescent="0.25">
      <c r="B3438" s="11"/>
    </row>
    <row r="3439" spans="2:2" x14ac:dyDescent="0.25">
      <c r="B3439" s="11"/>
    </row>
    <row r="3440" spans="2:2" x14ac:dyDescent="0.25">
      <c r="B3440" s="11"/>
    </row>
    <row r="3441" spans="2:2" x14ac:dyDescent="0.25">
      <c r="B3441" s="11"/>
    </row>
    <row r="3442" spans="2:2" x14ac:dyDescent="0.25">
      <c r="B3442" s="11"/>
    </row>
    <row r="3443" spans="2:2" x14ac:dyDescent="0.25">
      <c r="B3443" s="11"/>
    </row>
    <row r="3444" spans="2:2" x14ac:dyDescent="0.25">
      <c r="B3444" s="11"/>
    </row>
    <row r="3445" spans="2:2" x14ac:dyDescent="0.25">
      <c r="B3445" s="11"/>
    </row>
    <row r="3446" spans="2:2" x14ac:dyDescent="0.25">
      <c r="B3446" s="11"/>
    </row>
    <row r="3447" spans="2:2" x14ac:dyDescent="0.25">
      <c r="B3447" s="11"/>
    </row>
    <row r="3448" spans="2:2" x14ac:dyDescent="0.25">
      <c r="B3448" s="11"/>
    </row>
    <row r="3449" spans="2:2" x14ac:dyDescent="0.25">
      <c r="B3449" s="11"/>
    </row>
    <row r="3450" spans="2:2" x14ac:dyDescent="0.25">
      <c r="B3450" s="11"/>
    </row>
    <row r="3451" spans="2:2" x14ac:dyDescent="0.25">
      <c r="B3451" s="11"/>
    </row>
    <row r="3452" spans="2:2" x14ac:dyDescent="0.25">
      <c r="B3452" s="11"/>
    </row>
    <row r="3453" spans="2:2" x14ac:dyDescent="0.25">
      <c r="B3453" s="11"/>
    </row>
    <row r="3454" spans="2:2" x14ac:dyDescent="0.25">
      <c r="B3454" s="11"/>
    </row>
    <row r="3455" spans="2:2" x14ac:dyDescent="0.25">
      <c r="B3455" s="11"/>
    </row>
    <row r="3456" spans="2:2" x14ac:dyDescent="0.25">
      <c r="B3456" s="11"/>
    </row>
    <row r="3457" spans="2:2" x14ac:dyDescent="0.25">
      <c r="B3457" s="11"/>
    </row>
    <row r="3458" spans="2:2" x14ac:dyDescent="0.25">
      <c r="B3458" s="11"/>
    </row>
    <row r="3459" spans="2:2" x14ac:dyDescent="0.25">
      <c r="B3459" s="11"/>
    </row>
    <row r="3460" spans="2:2" x14ac:dyDescent="0.25">
      <c r="B3460" s="11"/>
    </row>
    <row r="3461" spans="2:2" x14ac:dyDescent="0.25">
      <c r="B3461" s="11"/>
    </row>
    <row r="3462" spans="2:2" x14ac:dyDescent="0.25">
      <c r="B3462" s="11"/>
    </row>
    <row r="3463" spans="2:2" x14ac:dyDescent="0.25">
      <c r="B3463" s="11"/>
    </row>
    <row r="3464" spans="2:2" x14ac:dyDescent="0.25">
      <c r="B3464" s="11"/>
    </row>
    <row r="3465" spans="2:2" x14ac:dyDescent="0.25">
      <c r="B3465" s="11"/>
    </row>
    <row r="3466" spans="2:2" x14ac:dyDescent="0.25">
      <c r="B3466" s="11"/>
    </row>
    <row r="3467" spans="2:2" x14ac:dyDescent="0.25">
      <c r="B3467" s="11"/>
    </row>
    <row r="3468" spans="2:2" x14ac:dyDescent="0.25">
      <c r="B3468" s="11"/>
    </row>
    <row r="3469" spans="2:2" x14ac:dyDescent="0.25">
      <c r="B3469" s="11"/>
    </row>
    <row r="3470" spans="2:2" x14ac:dyDescent="0.25">
      <c r="B3470" s="11"/>
    </row>
    <row r="3471" spans="2:2" x14ac:dyDescent="0.25">
      <c r="B3471" s="11"/>
    </row>
    <row r="3472" spans="2:2" x14ac:dyDescent="0.25">
      <c r="B3472" s="11"/>
    </row>
    <row r="3473" spans="2:2" x14ac:dyDescent="0.25">
      <c r="B3473" s="11"/>
    </row>
    <row r="3474" spans="2:2" x14ac:dyDescent="0.25">
      <c r="B3474" s="11"/>
    </row>
    <row r="3475" spans="2:2" x14ac:dyDescent="0.25">
      <c r="B3475" s="11"/>
    </row>
    <row r="3476" spans="2:2" x14ac:dyDescent="0.25">
      <c r="B3476" s="11"/>
    </row>
    <row r="3477" spans="2:2" x14ac:dyDescent="0.25">
      <c r="B3477" s="11"/>
    </row>
    <row r="3478" spans="2:2" x14ac:dyDescent="0.25">
      <c r="B3478" s="11"/>
    </row>
    <row r="3479" spans="2:2" x14ac:dyDescent="0.25">
      <c r="B3479" s="11"/>
    </row>
    <row r="3480" spans="2:2" x14ac:dyDescent="0.25">
      <c r="B3480" s="11"/>
    </row>
    <row r="3481" spans="2:2" x14ac:dyDescent="0.25">
      <c r="B3481" s="11"/>
    </row>
    <row r="3482" spans="2:2" x14ac:dyDescent="0.25">
      <c r="B3482" s="11"/>
    </row>
    <row r="3483" spans="2:2" x14ac:dyDescent="0.25">
      <c r="B3483" s="11"/>
    </row>
    <row r="3484" spans="2:2" x14ac:dyDescent="0.25">
      <c r="B3484" s="11"/>
    </row>
    <row r="3485" spans="2:2" x14ac:dyDescent="0.25">
      <c r="B3485" s="11"/>
    </row>
    <row r="3486" spans="2:2" x14ac:dyDescent="0.25">
      <c r="B3486" s="11"/>
    </row>
    <row r="3487" spans="2:2" x14ac:dyDescent="0.25">
      <c r="B3487" s="11"/>
    </row>
    <row r="3488" spans="2:2" x14ac:dyDescent="0.25">
      <c r="B3488" s="11"/>
    </row>
    <row r="3489" spans="2:2" x14ac:dyDescent="0.25">
      <c r="B3489" s="11"/>
    </row>
    <row r="3490" spans="2:2" x14ac:dyDescent="0.25">
      <c r="B3490" s="11"/>
    </row>
    <row r="3491" spans="2:2" x14ac:dyDescent="0.25">
      <c r="B3491" s="11"/>
    </row>
    <row r="3492" spans="2:2" x14ac:dyDescent="0.25">
      <c r="B3492" s="11"/>
    </row>
    <row r="3493" spans="2:2" x14ac:dyDescent="0.25">
      <c r="B3493" s="11"/>
    </row>
    <row r="3494" spans="2:2" x14ac:dyDescent="0.25">
      <c r="B3494" s="11"/>
    </row>
    <row r="3495" spans="2:2" x14ac:dyDescent="0.25">
      <c r="B3495" s="11"/>
    </row>
    <row r="3496" spans="2:2" x14ac:dyDescent="0.25">
      <c r="B3496" s="11"/>
    </row>
    <row r="3497" spans="2:2" x14ac:dyDescent="0.25">
      <c r="B3497" s="11"/>
    </row>
    <row r="3498" spans="2:2" x14ac:dyDescent="0.25">
      <c r="B3498" s="11"/>
    </row>
    <row r="3499" spans="2:2" x14ac:dyDescent="0.25">
      <c r="B3499" s="11"/>
    </row>
    <row r="3500" spans="2:2" x14ac:dyDescent="0.25">
      <c r="B3500" s="11"/>
    </row>
    <row r="3501" spans="2:2" x14ac:dyDescent="0.25">
      <c r="B3501" s="11"/>
    </row>
    <row r="3502" spans="2:2" x14ac:dyDescent="0.25">
      <c r="B3502" s="11"/>
    </row>
    <row r="3503" spans="2:2" x14ac:dyDescent="0.25">
      <c r="B3503" s="11"/>
    </row>
    <row r="3504" spans="2:2" x14ac:dyDescent="0.25">
      <c r="B3504" s="11"/>
    </row>
    <row r="3505" spans="2:2" x14ac:dyDescent="0.25">
      <c r="B3505" s="11"/>
    </row>
    <row r="3506" spans="2:2" x14ac:dyDescent="0.25">
      <c r="B3506" s="11"/>
    </row>
    <row r="3507" spans="2:2" x14ac:dyDescent="0.25">
      <c r="B3507" s="11"/>
    </row>
    <row r="3508" spans="2:2" x14ac:dyDescent="0.25">
      <c r="B3508" s="11"/>
    </row>
    <row r="3509" spans="2:2" x14ac:dyDescent="0.25">
      <c r="B3509" s="11"/>
    </row>
    <row r="3510" spans="2:2" x14ac:dyDescent="0.25">
      <c r="B3510" s="11"/>
    </row>
    <row r="3511" spans="2:2" x14ac:dyDescent="0.25">
      <c r="B3511" s="11"/>
    </row>
    <row r="3512" spans="2:2" x14ac:dyDescent="0.25">
      <c r="B3512" s="11"/>
    </row>
    <row r="3513" spans="2:2" x14ac:dyDescent="0.25">
      <c r="B3513" s="11"/>
    </row>
    <row r="3514" spans="2:2" x14ac:dyDescent="0.25">
      <c r="B3514" s="11"/>
    </row>
    <row r="3515" spans="2:2" x14ac:dyDescent="0.25">
      <c r="B3515" s="11"/>
    </row>
    <row r="3516" spans="2:2" x14ac:dyDescent="0.25">
      <c r="B3516" s="11"/>
    </row>
    <row r="3517" spans="2:2" x14ac:dyDescent="0.25">
      <c r="B3517" s="11"/>
    </row>
    <row r="3518" spans="2:2" x14ac:dyDescent="0.25">
      <c r="B3518" s="11"/>
    </row>
    <row r="3519" spans="2:2" x14ac:dyDescent="0.25">
      <c r="B3519" s="11"/>
    </row>
    <row r="3520" spans="2:2" x14ac:dyDescent="0.25">
      <c r="B3520" s="11"/>
    </row>
    <row r="3521" spans="2:2" x14ac:dyDescent="0.25">
      <c r="B3521" s="11"/>
    </row>
    <row r="3522" spans="2:2" x14ac:dyDescent="0.25">
      <c r="B3522" s="11"/>
    </row>
    <row r="3523" spans="2:2" x14ac:dyDescent="0.25">
      <c r="B3523" s="11"/>
    </row>
    <row r="3524" spans="2:2" x14ac:dyDescent="0.25">
      <c r="B3524" s="11"/>
    </row>
    <row r="3525" spans="2:2" x14ac:dyDescent="0.25">
      <c r="B3525" s="11"/>
    </row>
    <row r="3526" spans="2:2" x14ac:dyDescent="0.25">
      <c r="B3526" s="11"/>
    </row>
    <row r="3527" spans="2:2" x14ac:dyDescent="0.25">
      <c r="B3527" s="11"/>
    </row>
    <row r="3528" spans="2:2" x14ac:dyDescent="0.25">
      <c r="B3528" s="11"/>
    </row>
    <row r="3529" spans="2:2" x14ac:dyDescent="0.25">
      <c r="B3529" s="11"/>
    </row>
    <row r="3530" spans="2:2" x14ac:dyDescent="0.25">
      <c r="B3530" s="11"/>
    </row>
    <row r="3531" spans="2:2" x14ac:dyDescent="0.25">
      <c r="B3531" s="11"/>
    </row>
    <row r="3532" spans="2:2" x14ac:dyDescent="0.25">
      <c r="B3532" s="11"/>
    </row>
    <row r="3533" spans="2:2" x14ac:dyDescent="0.25">
      <c r="B3533" s="11"/>
    </row>
    <row r="3534" spans="2:2" x14ac:dyDescent="0.25">
      <c r="B3534" s="11"/>
    </row>
    <row r="3535" spans="2:2" x14ac:dyDescent="0.25">
      <c r="B3535" s="11"/>
    </row>
    <row r="3536" spans="2:2" x14ac:dyDescent="0.25">
      <c r="B3536" s="11"/>
    </row>
    <row r="3537" spans="2:2" x14ac:dyDescent="0.25">
      <c r="B3537" s="11"/>
    </row>
    <row r="3538" spans="2:2" x14ac:dyDescent="0.25">
      <c r="B3538" s="11"/>
    </row>
    <row r="3539" spans="2:2" x14ac:dyDescent="0.25">
      <c r="B3539" s="11"/>
    </row>
    <row r="3540" spans="2:2" x14ac:dyDescent="0.25">
      <c r="B3540" s="11"/>
    </row>
    <row r="3541" spans="2:2" x14ac:dyDescent="0.25">
      <c r="B3541" s="11"/>
    </row>
    <row r="3542" spans="2:2" x14ac:dyDescent="0.25">
      <c r="B3542" s="11"/>
    </row>
    <row r="3543" spans="2:2" x14ac:dyDescent="0.25">
      <c r="B3543" s="11"/>
    </row>
    <row r="3544" spans="2:2" x14ac:dyDescent="0.25">
      <c r="B3544" s="11"/>
    </row>
    <row r="3545" spans="2:2" x14ac:dyDescent="0.25">
      <c r="B3545" s="11"/>
    </row>
    <row r="3546" spans="2:2" x14ac:dyDescent="0.25">
      <c r="B3546" s="11"/>
    </row>
    <row r="3547" spans="2:2" x14ac:dyDescent="0.25">
      <c r="B3547" s="11"/>
    </row>
    <row r="3548" spans="2:2" x14ac:dyDescent="0.25">
      <c r="B3548" s="11"/>
    </row>
    <row r="3549" spans="2:2" x14ac:dyDescent="0.25">
      <c r="B3549" s="11"/>
    </row>
    <row r="3550" spans="2:2" x14ac:dyDescent="0.25">
      <c r="B3550" s="11"/>
    </row>
    <row r="3551" spans="2:2" x14ac:dyDescent="0.25">
      <c r="B3551" s="11"/>
    </row>
    <row r="3552" spans="2:2" x14ac:dyDescent="0.25">
      <c r="B3552" s="11"/>
    </row>
    <row r="3553" spans="2:2" x14ac:dyDescent="0.25">
      <c r="B3553" s="11"/>
    </row>
    <row r="3554" spans="2:2" x14ac:dyDescent="0.25">
      <c r="B3554" s="11"/>
    </row>
    <row r="3555" spans="2:2" x14ac:dyDescent="0.25">
      <c r="B3555" s="11"/>
    </row>
    <row r="3556" spans="2:2" x14ac:dyDescent="0.25">
      <c r="B3556" s="11"/>
    </row>
    <row r="3557" spans="2:2" x14ac:dyDescent="0.25">
      <c r="B3557" s="11"/>
    </row>
    <row r="3558" spans="2:2" x14ac:dyDescent="0.25">
      <c r="B3558" s="11"/>
    </row>
    <row r="3559" spans="2:2" x14ac:dyDescent="0.25">
      <c r="B3559" s="11"/>
    </row>
    <row r="3560" spans="2:2" x14ac:dyDescent="0.25">
      <c r="B3560" s="11"/>
    </row>
    <row r="3561" spans="2:2" x14ac:dyDescent="0.25">
      <c r="B3561" s="11"/>
    </row>
    <row r="3562" spans="2:2" x14ac:dyDescent="0.25">
      <c r="B3562" s="11"/>
    </row>
    <row r="3563" spans="2:2" x14ac:dyDescent="0.25">
      <c r="B3563" s="11"/>
    </row>
    <row r="3564" spans="2:2" x14ac:dyDescent="0.25">
      <c r="B3564" s="11"/>
    </row>
    <row r="3565" spans="2:2" x14ac:dyDescent="0.25">
      <c r="B3565" s="11"/>
    </row>
    <row r="3566" spans="2:2" x14ac:dyDescent="0.25">
      <c r="B3566" s="11"/>
    </row>
    <row r="3567" spans="2:2" x14ac:dyDescent="0.25">
      <c r="B3567" s="11"/>
    </row>
    <row r="3568" spans="2:2" x14ac:dyDescent="0.25">
      <c r="B3568" s="11"/>
    </row>
    <row r="3569" spans="2:2" x14ac:dyDescent="0.25">
      <c r="B3569" s="11"/>
    </row>
    <row r="3570" spans="2:2" x14ac:dyDescent="0.25">
      <c r="B3570" s="11"/>
    </row>
    <row r="3571" spans="2:2" x14ac:dyDescent="0.25">
      <c r="B3571" s="11"/>
    </row>
    <row r="3572" spans="2:2" x14ac:dyDescent="0.25">
      <c r="B3572" s="11"/>
    </row>
    <row r="3573" spans="2:2" x14ac:dyDescent="0.25">
      <c r="B3573" s="11"/>
    </row>
    <row r="3574" spans="2:2" x14ac:dyDescent="0.25">
      <c r="B3574" s="11"/>
    </row>
    <row r="3575" spans="2:2" x14ac:dyDescent="0.25">
      <c r="B3575" s="11"/>
    </row>
    <row r="3576" spans="2:2" x14ac:dyDescent="0.25">
      <c r="B3576" s="11"/>
    </row>
    <row r="3577" spans="2:2" x14ac:dyDescent="0.25">
      <c r="B3577" s="11"/>
    </row>
    <row r="3578" spans="2:2" x14ac:dyDescent="0.25">
      <c r="B3578" s="11"/>
    </row>
    <row r="3579" spans="2:2" x14ac:dyDescent="0.25">
      <c r="B3579" s="11"/>
    </row>
    <row r="3580" spans="2:2" x14ac:dyDescent="0.25">
      <c r="B3580" s="11"/>
    </row>
    <row r="3581" spans="2:2" x14ac:dyDescent="0.25">
      <c r="B3581" s="11"/>
    </row>
    <row r="3582" spans="2:2" x14ac:dyDescent="0.25">
      <c r="B3582" s="11"/>
    </row>
    <row r="3583" spans="2:2" x14ac:dyDescent="0.25">
      <c r="B3583" s="11"/>
    </row>
    <row r="3584" spans="2:2" x14ac:dyDescent="0.25">
      <c r="B3584" s="11"/>
    </row>
    <row r="3585" spans="2:2" x14ac:dyDescent="0.25">
      <c r="B3585" s="11"/>
    </row>
    <row r="3586" spans="2:2" x14ac:dyDescent="0.25">
      <c r="B3586" s="11"/>
    </row>
    <row r="3587" spans="2:2" x14ac:dyDescent="0.25">
      <c r="B3587" s="11"/>
    </row>
    <row r="3588" spans="2:2" x14ac:dyDescent="0.25">
      <c r="B3588" s="11"/>
    </row>
    <row r="3589" spans="2:2" x14ac:dyDescent="0.25">
      <c r="B3589" s="11"/>
    </row>
    <row r="3590" spans="2:2" x14ac:dyDescent="0.25">
      <c r="B3590" s="11"/>
    </row>
    <row r="3591" spans="2:2" x14ac:dyDescent="0.25">
      <c r="B3591" s="11"/>
    </row>
    <row r="3592" spans="2:2" x14ac:dyDescent="0.25">
      <c r="B3592" s="11"/>
    </row>
    <row r="3593" spans="2:2" x14ac:dyDescent="0.25">
      <c r="B3593" s="11"/>
    </row>
    <row r="3594" spans="2:2" x14ac:dyDescent="0.25">
      <c r="B3594" s="11"/>
    </row>
    <row r="3595" spans="2:2" x14ac:dyDescent="0.25">
      <c r="B3595" s="11"/>
    </row>
    <row r="3596" spans="2:2" x14ac:dyDescent="0.25">
      <c r="B3596" s="11"/>
    </row>
    <row r="3597" spans="2:2" x14ac:dyDescent="0.25">
      <c r="B3597" s="11"/>
    </row>
    <row r="3598" spans="2:2" x14ac:dyDescent="0.25">
      <c r="B3598" s="11"/>
    </row>
    <row r="3599" spans="2:2" x14ac:dyDescent="0.25">
      <c r="B3599" s="11"/>
    </row>
    <row r="3600" spans="2:2" x14ac:dyDescent="0.25">
      <c r="B3600" s="11"/>
    </row>
    <row r="3601" spans="2:2" x14ac:dyDescent="0.25">
      <c r="B3601" s="11"/>
    </row>
    <row r="3602" spans="2:2" x14ac:dyDescent="0.25">
      <c r="B3602" s="11"/>
    </row>
    <row r="3603" spans="2:2" x14ac:dyDescent="0.25">
      <c r="B3603" s="11"/>
    </row>
    <row r="3604" spans="2:2" x14ac:dyDescent="0.25">
      <c r="B3604" s="11"/>
    </row>
    <row r="3605" spans="2:2" x14ac:dyDescent="0.25">
      <c r="B3605" s="11"/>
    </row>
    <row r="3606" spans="2:2" x14ac:dyDescent="0.25">
      <c r="B3606" s="11"/>
    </row>
    <row r="3607" spans="2:2" x14ac:dyDescent="0.25">
      <c r="B3607" s="11"/>
    </row>
    <row r="3608" spans="2:2" x14ac:dyDescent="0.25">
      <c r="B3608" s="11"/>
    </row>
    <row r="3609" spans="2:2" x14ac:dyDescent="0.25">
      <c r="B3609" s="11"/>
    </row>
    <row r="3610" spans="2:2" x14ac:dyDescent="0.25">
      <c r="B3610" s="11"/>
    </row>
    <row r="3611" spans="2:2" x14ac:dyDescent="0.25">
      <c r="B3611" s="11"/>
    </row>
    <row r="3612" spans="2:2" x14ac:dyDescent="0.25">
      <c r="B3612" s="11"/>
    </row>
    <row r="3613" spans="2:2" x14ac:dyDescent="0.25">
      <c r="B3613" s="11"/>
    </row>
    <row r="3614" spans="2:2" x14ac:dyDescent="0.25">
      <c r="B3614" s="11"/>
    </row>
    <row r="3615" spans="2:2" x14ac:dyDescent="0.25">
      <c r="B3615" s="11"/>
    </row>
    <row r="3616" spans="2:2" x14ac:dyDescent="0.25">
      <c r="B3616" s="11"/>
    </row>
    <row r="3617" spans="2:2" x14ac:dyDescent="0.25">
      <c r="B3617" s="11"/>
    </row>
    <row r="3618" spans="2:2" x14ac:dyDescent="0.25">
      <c r="B3618" s="11"/>
    </row>
    <row r="3619" spans="2:2" x14ac:dyDescent="0.25">
      <c r="B3619" s="11"/>
    </row>
    <row r="3620" spans="2:2" x14ac:dyDescent="0.25">
      <c r="B3620" s="11"/>
    </row>
    <row r="3621" spans="2:2" x14ac:dyDescent="0.25">
      <c r="B3621" s="11"/>
    </row>
    <row r="3622" spans="2:2" x14ac:dyDescent="0.25">
      <c r="B3622" s="11"/>
    </row>
    <row r="3623" spans="2:2" x14ac:dyDescent="0.25">
      <c r="B3623" s="11"/>
    </row>
    <row r="3624" spans="2:2" x14ac:dyDescent="0.25">
      <c r="B3624" s="11"/>
    </row>
    <row r="3625" spans="2:2" x14ac:dyDescent="0.25">
      <c r="B3625" s="11"/>
    </row>
    <row r="3626" spans="2:2" x14ac:dyDescent="0.25">
      <c r="B3626" s="11"/>
    </row>
    <row r="3627" spans="2:2" x14ac:dyDescent="0.25">
      <c r="B3627" s="11"/>
    </row>
    <row r="3628" spans="2:2" x14ac:dyDescent="0.25">
      <c r="B3628" s="11"/>
    </row>
    <row r="3629" spans="2:2" x14ac:dyDescent="0.25">
      <c r="B3629" s="11"/>
    </row>
    <row r="3630" spans="2:2" x14ac:dyDescent="0.25">
      <c r="B3630" s="11"/>
    </row>
    <row r="3631" spans="2:2" x14ac:dyDescent="0.25">
      <c r="B3631" s="11"/>
    </row>
    <row r="3632" spans="2:2" x14ac:dyDescent="0.25">
      <c r="B3632" s="11"/>
    </row>
    <row r="3633" spans="2:2" x14ac:dyDescent="0.25">
      <c r="B3633" s="11"/>
    </row>
    <row r="3634" spans="2:2" x14ac:dyDescent="0.25">
      <c r="B3634" s="11"/>
    </row>
    <row r="3635" spans="2:2" x14ac:dyDescent="0.25">
      <c r="B3635" s="11"/>
    </row>
    <row r="3636" spans="2:2" x14ac:dyDescent="0.25">
      <c r="B3636" s="11"/>
    </row>
    <row r="3637" spans="2:2" x14ac:dyDescent="0.25">
      <c r="B3637" s="11"/>
    </row>
    <row r="3638" spans="2:2" x14ac:dyDescent="0.25">
      <c r="B3638" s="11"/>
    </row>
    <row r="3639" spans="2:2" x14ac:dyDescent="0.25">
      <c r="B3639" s="11"/>
    </row>
    <row r="3640" spans="2:2" x14ac:dyDescent="0.25">
      <c r="B3640" s="11"/>
    </row>
    <row r="3641" spans="2:2" x14ac:dyDescent="0.25">
      <c r="B3641" s="11"/>
    </row>
    <row r="3642" spans="2:2" x14ac:dyDescent="0.25">
      <c r="B3642" s="11"/>
    </row>
    <row r="3643" spans="2:2" x14ac:dyDescent="0.25">
      <c r="B3643" s="11"/>
    </row>
    <row r="3644" spans="2:2" x14ac:dyDescent="0.25">
      <c r="B3644" s="11"/>
    </row>
    <row r="3645" spans="2:2" x14ac:dyDescent="0.25">
      <c r="B3645" s="11"/>
    </row>
    <row r="3646" spans="2:2" x14ac:dyDescent="0.25">
      <c r="B3646" s="11"/>
    </row>
    <row r="3647" spans="2:2" x14ac:dyDescent="0.25">
      <c r="B3647" s="11"/>
    </row>
    <row r="3648" spans="2:2" x14ac:dyDescent="0.25">
      <c r="B3648" s="11"/>
    </row>
    <row r="3649" spans="2:2" x14ac:dyDescent="0.25">
      <c r="B3649" s="11"/>
    </row>
    <row r="3650" spans="2:2" x14ac:dyDescent="0.25">
      <c r="B3650" s="11"/>
    </row>
    <row r="3651" spans="2:2" x14ac:dyDescent="0.25">
      <c r="B3651" s="11"/>
    </row>
    <row r="3652" spans="2:2" x14ac:dyDescent="0.25">
      <c r="B3652" s="11"/>
    </row>
    <row r="3653" spans="2:2" x14ac:dyDescent="0.25">
      <c r="B3653" s="11"/>
    </row>
    <row r="3654" spans="2:2" x14ac:dyDescent="0.25">
      <c r="B3654" s="11"/>
    </row>
    <row r="3655" spans="2:2" x14ac:dyDescent="0.25">
      <c r="B3655" s="11"/>
    </row>
    <row r="3656" spans="2:2" x14ac:dyDescent="0.25">
      <c r="B3656" s="11"/>
    </row>
    <row r="3657" spans="2:2" x14ac:dyDescent="0.25">
      <c r="B3657" s="11"/>
    </row>
    <row r="3658" spans="2:2" x14ac:dyDescent="0.25">
      <c r="B3658" s="11"/>
    </row>
    <row r="3659" spans="2:2" x14ac:dyDescent="0.25">
      <c r="B3659" s="11"/>
    </row>
    <row r="3660" spans="2:2" x14ac:dyDescent="0.25">
      <c r="B3660" s="11"/>
    </row>
    <row r="3661" spans="2:2" x14ac:dyDescent="0.25">
      <c r="B3661" s="11"/>
    </row>
    <row r="3662" spans="2:2" x14ac:dyDescent="0.25">
      <c r="B3662" s="11"/>
    </row>
    <row r="3663" spans="2:2" x14ac:dyDescent="0.25">
      <c r="B3663" s="11"/>
    </row>
    <row r="3664" spans="2:2" x14ac:dyDescent="0.25">
      <c r="B3664" s="11"/>
    </row>
    <row r="3665" spans="2:2" x14ac:dyDescent="0.25">
      <c r="B3665" s="11"/>
    </row>
    <row r="3666" spans="2:2" x14ac:dyDescent="0.25">
      <c r="B3666" s="11"/>
    </row>
    <row r="3667" spans="2:2" x14ac:dyDescent="0.25">
      <c r="B3667" s="11"/>
    </row>
    <row r="3668" spans="2:2" x14ac:dyDescent="0.25">
      <c r="B3668" s="11"/>
    </row>
    <row r="3669" spans="2:2" x14ac:dyDescent="0.25">
      <c r="B3669" s="11"/>
    </row>
    <row r="3670" spans="2:2" x14ac:dyDescent="0.25">
      <c r="B3670" s="11"/>
    </row>
    <row r="3671" spans="2:2" x14ac:dyDescent="0.25">
      <c r="B3671" s="11"/>
    </row>
    <row r="3672" spans="2:2" x14ac:dyDescent="0.25">
      <c r="B3672" s="11"/>
    </row>
    <row r="3673" spans="2:2" x14ac:dyDescent="0.25">
      <c r="B3673" s="11"/>
    </row>
    <row r="3674" spans="2:2" x14ac:dyDescent="0.25">
      <c r="B3674" s="11"/>
    </row>
    <row r="3675" spans="2:2" x14ac:dyDescent="0.25">
      <c r="B3675" s="11"/>
    </row>
    <row r="3676" spans="2:2" x14ac:dyDescent="0.25">
      <c r="B3676" s="11"/>
    </row>
    <row r="3677" spans="2:2" x14ac:dyDescent="0.25">
      <c r="B3677" s="11"/>
    </row>
    <row r="3678" spans="2:2" x14ac:dyDescent="0.25">
      <c r="B3678" s="11"/>
    </row>
    <row r="3679" spans="2:2" x14ac:dyDescent="0.25">
      <c r="B3679" s="11"/>
    </row>
    <row r="3680" spans="2:2" x14ac:dyDescent="0.25">
      <c r="B3680" s="11"/>
    </row>
    <row r="3681" spans="2:2" x14ac:dyDescent="0.25">
      <c r="B3681" s="11"/>
    </row>
    <row r="3682" spans="2:2" x14ac:dyDescent="0.25">
      <c r="B3682" s="11"/>
    </row>
    <row r="3683" spans="2:2" x14ac:dyDescent="0.25">
      <c r="B3683" s="11"/>
    </row>
    <row r="3684" spans="2:2" x14ac:dyDescent="0.25">
      <c r="B3684" s="11"/>
    </row>
    <row r="3685" spans="2:2" x14ac:dyDescent="0.25">
      <c r="B3685" s="11"/>
    </row>
    <row r="3686" spans="2:2" x14ac:dyDescent="0.25">
      <c r="B3686" s="11"/>
    </row>
    <row r="3687" spans="2:2" x14ac:dyDescent="0.25">
      <c r="B3687" s="11"/>
    </row>
    <row r="3688" spans="2:2" x14ac:dyDescent="0.25">
      <c r="B3688" s="11"/>
    </row>
    <row r="3689" spans="2:2" x14ac:dyDescent="0.25">
      <c r="B3689" s="11"/>
    </row>
    <row r="3690" spans="2:2" x14ac:dyDescent="0.25">
      <c r="B3690" s="11"/>
    </row>
    <row r="3691" spans="2:2" x14ac:dyDescent="0.25">
      <c r="B3691" s="11"/>
    </row>
    <row r="3692" spans="2:2" x14ac:dyDescent="0.25">
      <c r="B3692" s="11"/>
    </row>
    <row r="3693" spans="2:2" x14ac:dyDescent="0.25">
      <c r="B3693" s="11"/>
    </row>
    <row r="3694" spans="2:2" x14ac:dyDescent="0.25">
      <c r="B3694" s="11"/>
    </row>
    <row r="3695" spans="2:2" x14ac:dyDescent="0.25">
      <c r="B3695" s="11"/>
    </row>
    <row r="3696" spans="2:2" x14ac:dyDescent="0.25">
      <c r="B3696" s="11"/>
    </row>
    <row r="3697" spans="2:2" x14ac:dyDescent="0.25">
      <c r="B3697" s="11"/>
    </row>
    <row r="3698" spans="2:2" x14ac:dyDescent="0.25">
      <c r="B3698" s="11"/>
    </row>
    <row r="3699" spans="2:2" x14ac:dyDescent="0.25">
      <c r="B3699" s="11"/>
    </row>
    <row r="3700" spans="2:2" x14ac:dyDescent="0.25">
      <c r="B3700" s="11"/>
    </row>
    <row r="3701" spans="2:2" x14ac:dyDescent="0.25">
      <c r="B3701" s="11"/>
    </row>
    <row r="3702" spans="2:2" x14ac:dyDescent="0.25">
      <c r="B3702" s="11"/>
    </row>
    <row r="3703" spans="2:2" x14ac:dyDescent="0.25">
      <c r="B3703" s="11"/>
    </row>
    <row r="3704" spans="2:2" x14ac:dyDescent="0.25">
      <c r="B3704" s="11"/>
    </row>
    <row r="3705" spans="2:2" x14ac:dyDescent="0.25">
      <c r="B3705" s="11"/>
    </row>
    <row r="3706" spans="2:2" x14ac:dyDescent="0.25">
      <c r="B3706" s="11"/>
    </row>
    <row r="3707" spans="2:2" x14ac:dyDescent="0.25">
      <c r="B3707" s="11"/>
    </row>
    <row r="3708" spans="2:2" x14ac:dyDescent="0.25">
      <c r="B3708" s="11"/>
    </row>
    <row r="3709" spans="2:2" x14ac:dyDescent="0.25">
      <c r="B3709" s="11"/>
    </row>
    <row r="3710" spans="2:2" x14ac:dyDescent="0.25">
      <c r="B3710" s="11"/>
    </row>
    <row r="3711" spans="2:2" x14ac:dyDescent="0.25">
      <c r="B3711" s="11"/>
    </row>
    <row r="3712" spans="2:2" x14ac:dyDescent="0.25">
      <c r="B3712" s="11"/>
    </row>
    <row r="3713" spans="2:2" x14ac:dyDescent="0.25">
      <c r="B3713" s="11"/>
    </row>
    <row r="3714" spans="2:2" x14ac:dyDescent="0.25">
      <c r="B3714" s="11"/>
    </row>
    <row r="3715" spans="2:2" x14ac:dyDescent="0.25">
      <c r="B3715" s="11"/>
    </row>
    <row r="3716" spans="2:2" x14ac:dyDescent="0.25">
      <c r="B3716" s="11"/>
    </row>
    <row r="3717" spans="2:2" x14ac:dyDescent="0.25">
      <c r="B3717" s="11"/>
    </row>
    <row r="3718" spans="2:2" x14ac:dyDescent="0.25">
      <c r="B3718" s="11"/>
    </row>
    <row r="3719" spans="2:2" x14ac:dyDescent="0.25">
      <c r="B3719" s="11"/>
    </row>
    <row r="3720" spans="2:2" x14ac:dyDescent="0.25">
      <c r="B3720" s="11"/>
    </row>
    <row r="3721" spans="2:2" x14ac:dyDescent="0.25">
      <c r="B3721" s="11"/>
    </row>
    <row r="3722" spans="2:2" x14ac:dyDescent="0.25">
      <c r="B3722" s="11"/>
    </row>
    <row r="3723" spans="2:2" x14ac:dyDescent="0.25">
      <c r="B3723" s="11"/>
    </row>
    <row r="3724" spans="2:2" x14ac:dyDescent="0.25">
      <c r="B3724" s="11"/>
    </row>
    <row r="3725" spans="2:2" x14ac:dyDescent="0.25">
      <c r="B3725" s="11"/>
    </row>
    <row r="3726" spans="2:2" x14ac:dyDescent="0.25">
      <c r="B3726" s="11"/>
    </row>
    <row r="3727" spans="2:2" x14ac:dyDescent="0.25">
      <c r="B3727" s="11"/>
    </row>
    <row r="3728" spans="2:2" x14ac:dyDescent="0.25">
      <c r="B3728" s="11"/>
    </row>
    <row r="3729" spans="2:2" x14ac:dyDescent="0.25">
      <c r="B3729" s="11"/>
    </row>
    <row r="3730" spans="2:2" x14ac:dyDescent="0.25">
      <c r="B3730" s="11"/>
    </row>
    <row r="3731" spans="2:2" x14ac:dyDescent="0.25">
      <c r="B3731" s="11"/>
    </row>
    <row r="3732" spans="2:2" x14ac:dyDescent="0.25">
      <c r="B3732" s="11"/>
    </row>
    <row r="3733" spans="2:2" x14ac:dyDescent="0.25">
      <c r="B3733" s="11"/>
    </row>
    <row r="3734" spans="2:2" x14ac:dyDescent="0.25">
      <c r="B3734" s="11"/>
    </row>
    <row r="3735" spans="2:2" x14ac:dyDescent="0.25">
      <c r="B3735" s="11"/>
    </row>
    <row r="3736" spans="2:2" x14ac:dyDescent="0.25">
      <c r="B3736" s="11"/>
    </row>
    <row r="3737" spans="2:2" x14ac:dyDescent="0.25">
      <c r="B3737" s="11"/>
    </row>
    <row r="3738" spans="2:2" x14ac:dyDescent="0.25">
      <c r="B3738" s="11"/>
    </row>
    <row r="3739" spans="2:2" x14ac:dyDescent="0.25">
      <c r="B3739" s="11"/>
    </row>
    <row r="3740" spans="2:2" x14ac:dyDescent="0.25">
      <c r="B3740" s="11"/>
    </row>
    <row r="3741" spans="2:2" x14ac:dyDescent="0.25">
      <c r="B3741" s="11"/>
    </row>
    <row r="3742" spans="2:2" x14ac:dyDescent="0.25">
      <c r="B3742" s="11"/>
    </row>
    <row r="3743" spans="2:2" x14ac:dyDescent="0.25">
      <c r="B3743" s="11"/>
    </row>
    <row r="3744" spans="2:2" x14ac:dyDescent="0.25">
      <c r="B3744" s="11"/>
    </row>
    <row r="3745" spans="2:2" x14ac:dyDescent="0.25">
      <c r="B3745" s="11"/>
    </row>
    <row r="3746" spans="2:2" x14ac:dyDescent="0.25">
      <c r="B3746" s="11"/>
    </row>
    <row r="3747" spans="2:2" x14ac:dyDescent="0.25">
      <c r="B3747" s="11"/>
    </row>
    <row r="3748" spans="2:2" x14ac:dyDescent="0.25">
      <c r="B3748" s="11"/>
    </row>
    <row r="3749" spans="2:2" x14ac:dyDescent="0.25">
      <c r="B3749" s="11"/>
    </row>
    <row r="3750" spans="2:2" x14ac:dyDescent="0.25">
      <c r="B3750" s="11"/>
    </row>
    <row r="3751" spans="2:2" x14ac:dyDescent="0.25">
      <c r="B3751" s="11"/>
    </row>
    <row r="3752" spans="2:2" x14ac:dyDescent="0.25">
      <c r="B3752" s="11"/>
    </row>
    <row r="3753" spans="2:2" x14ac:dyDescent="0.25">
      <c r="B3753" s="11"/>
    </row>
    <row r="3754" spans="2:2" x14ac:dyDescent="0.25">
      <c r="B3754" s="11"/>
    </row>
    <row r="3755" spans="2:2" x14ac:dyDescent="0.25">
      <c r="B3755" s="11"/>
    </row>
    <row r="3756" spans="2:2" x14ac:dyDescent="0.25">
      <c r="B3756" s="11"/>
    </row>
    <row r="3757" spans="2:2" x14ac:dyDescent="0.25">
      <c r="B3757" s="11"/>
    </row>
    <row r="3758" spans="2:2" x14ac:dyDescent="0.25">
      <c r="B3758" s="11"/>
    </row>
    <row r="3759" spans="2:2" x14ac:dyDescent="0.25">
      <c r="B3759" s="11"/>
    </row>
    <row r="3760" spans="2:2" x14ac:dyDescent="0.25">
      <c r="B3760" s="11"/>
    </row>
    <row r="3761" spans="2:2" x14ac:dyDescent="0.25">
      <c r="B3761" s="11"/>
    </row>
    <row r="3762" spans="2:2" x14ac:dyDescent="0.25">
      <c r="B3762" s="11"/>
    </row>
    <row r="3763" spans="2:2" x14ac:dyDescent="0.25">
      <c r="B3763" s="11"/>
    </row>
    <row r="3764" spans="2:2" x14ac:dyDescent="0.25">
      <c r="B3764" s="11"/>
    </row>
    <row r="3765" spans="2:2" x14ac:dyDescent="0.25">
      <c r="B3765" s="11"/>
    </row>
    <row r="3766" spans="2:2" x14ac:dyDescent="0.25">
      <c r="B3766" s="11"/>
    </row>
    <row r="3767" spans="2:2" x14ac:dyDescent="0.25">
      <c r="B3767" s="11"/>
    </row>
    <row r="3768" spans="2:2" x14ac:dyDescent="0.25">
      <c r="B3768" s="11"/>
    </row>
    <row r="3769" spans="2:2" x14ac:dyDescent="0.25">
      <c r="B3769" s="11"/>
    </row>
    <row r="3770" spans="2:2" x14ac:dyDescent="0.25">
      <c r="B3770" s="11"/>
    </row>
    <row r="3771" spans="2:2" x14ac:dyDescent="0.25">
      <c r="B3771" s="11"/>
    </row>
    <row r="3772" spans="2:2" x14ac:dyDescent="0.25">
      <c r="B3772" s="11"/>
    </row>
    <row r="3773" spans="2:2" x14ac:dyDescent="0.25">
      <c r="B3773" s="11"/>
    </row>
    <row r="3774" spans="2:2" x14ac:dyDescent="0.25">
      <c r="B3774" s="11"/>
    </row>
    <row r="3775" spans="2:2" x14ac:dyDescent="0.25">
      <c r="B3775" s="11"/>
    </row>
    <row r="3776" spans="2:2" x14ac:dyDescent="0.25">
      <c r="B3776" s="11"/>
    </row>
    <row r="3777" spans="2:2" x14ac:dyDescent="0.25">
      <c r="B3777" s="11"/>
    </row>
    <row r="3778" spans="2:2" x14ac:dyDescent="0.25">
      <c r="B3778" s="11"/>
    </row>
    <row r="3779" spans="2:2" x14ac:dyDescent="0.25">
      <c r="B3779" s="11"/>
    </row>
    <row r="3780" spans="2:2" x14ac:dyDescent="0.25">
      <c r="B3780" s="11"/>
    </row>
    <row r="3781" spans="2:2" x14ac:dyDescent="0.25">
      <c r="B3781" s="11"/>
    </row>
    <row r="3782" spans="2:2" x14ac:dyDescent="0.25">
      <c r="B3782" s="11"/>
    </row>
    <row r="3783" spans="2:2" x14ac:dyDescent="0.25">
      <c r="B3783" s="11"/>
    </row>
    <row r="3784" spans="2:2" x14ac:dyDescent="0.25">
      <c r="B3784" s="11"/>
    </row>
    <row r="3785" spans="2:2" x14ac:dyDescent="0.25">
      <c r="B3785" s="11"/>
    </row>
    <row r="3786" spans="2:2" x14ac:dyDescent="0.25">
      <c r="B3786" s="11"/>
    </row>
    <row r="3787" spans="2:2" x14ac:dyDescent="0.25">
      <c r="B3787" s="11"/>
    </row>
    <row r="3788" spans="2:2" x14ac:dyDescent="0.25">
      <c r="B3788" s="11"/>
    </row>
    <row r="3789" spans="2:2" x14ac:dyDescent="0.25">
      <c r="B3789" s="11"/>
    </row>
    <row r="3790" spans="2:2" x14ac:dyDescent="0.25">
      <c r="B3790" s="11"/>
    </row>
    <row r="3791" spans="2:2" x14ac:dyDescent="0.25">
      <c r="B3791" s="11"/>
    </row>
    <row r="3792" spans="2:2" x14ac:dyDescent="0.25">
      <c r="B3792" s="11"/>
    </row>
    <row r="3793" spans="2:2" x14ac:dyDescent="0.25">
      <c r="B3793" s="11"/>
    </row>
    <row r="3794" spans="2:2" x14ac:dyDescent="0.25">
      <c r="B3794" s="11"/>
    </row>
    <row r="3795" spans="2:2" x14ac:dyDescent="0.25">
      <c r="B3795" s="11"/>
    </row>
    <row r="3796" spans="2:2" x14ac:dyDescent="0.25">
      <c r="B3796" s="11"/>
    </row>
    <row r="3797" spans="2:2" x14ac:dyDescent="0.25">
      <c r="B3797" s="11"/>
    </row>
    <row r="3798" spans="2:2" x14ac:dyDescent="0.25">
      <c r="B3798" s="11"/>
    </row>
    <row r="3799" spans="2:2" x14ac:dyDescent="0.25">
      <c r="B3799" s="11"/>
    </row>
    <row r="3800" spans="2:2" x14ac:dyDescent="0.25">
      <c r="B3800" s="11"/>
    </row>
    <row r="3801" spans="2:2" x14ac:dyDescent="0.25">
      <c r="B3801" s="11"/>
    </row>
    <row r="3802" spans="2:2" x14ac:dyDescent="0.25">
      <c r="B3802" s="11"/>
    </row>
    <row r="3803" spans="2:2" x14ac:dyDescent="0.25">
      <c r="B3803" s="11"/>
    </row>
    <row r="3804" spans="2:2" x14ac:dyDescent="0.25">
      <c r="B3804" s="11"/>
    </row>
    <row r="3805" spans="2:2" x14ac:dyDescent="0.25">
      <c r="B3805" s="11"/>
    </row>
    <row r="3806" spans="2:2" x14ac:dyDescent="0.25">
      <c r="B3806" s="11"/>
    </row>
    <row r="3807" spans="2:2" x14ac:dyDescent="0.25">
      <c r="B3807" s="11"/>
    </row>
    <row r="3808" spans="2:2" x14ac:dyDescent="0.25">
      <c r="B3808" s="11"/>
    </row>
    <row r="3809" spans="2:2" x14ac:dyDescent="0.25">
      <c r="B3809" s="11"/>
    </row>
    <row r="3810" spans="2:2" x14ac:dyDescent="0.25">
      <c r="B3810" s="11"/>
    </row>
    <row r="3811" spans="2:2" x14ac:dyDescent="0.25">
      <c r="B3811" s="11"/>
    </row>
    <row r="3812" spans="2:2" x14ac:dyDescent="0.25">
      <c r="B3812" s="11"/>
    </row>
    <row r="3813" spans="2:2" x14ac:dyDescent="0.25">
      <c r="B3813" s="11"/>
    </row>
    <row r="3814" spans="2:2" x14ac:dyDescent="0.25">
      <c r="B3814" s="11"/>
    </row>
    <row r="3815" spans="2:2" x14ac:dyDescent="0.25">
      <c r="B3815" s="11"/>
    </row>
    <row r="3816" spans="2:2" x14ac:dyDescent="0.25">
      <c r="B3816" s="11"/>
    </row>
    <row r="3817" spans="2:2" x14ac:dyDescent="0.25">
      <c r="B3817" s="11"/>
    </row>
    <row r="3818" spans="2:2" x14ac:dyDescent="0.25">
      <c r="B3818" s="11"/>
    </row>
    <row r="3819" spans="2:2" x14ac:dyDescent="0.25">
      <c r="B3819" s="11"/>
    </row>
    <row r="3820" spans="2:2" x14ac:dyDescent="0.25">
      <c r="B3820" s="11"/>
    </row>
    <row r="3821" spans="2:2" x14ac:dyDescent="0.25">
      <c r="B3821" s="11"/>
    </row>
    <row r="3822" spans="2:2" x14ac:dyDescent="0.25">
      <c r="B3822" s="11"/>
    </row>
    <row r="3823" spans="2:2" x14ac:dyDescent="0.25">
      <c r="B3823" s="11"/>
    </row>
    <row r="3824" spans="2:2" x14ac:dyDescent="0.25">
      <c r="B3824" s="11"/>
    </row>
    <row r="3825" spans="2:2" x14ac:dyDescent="0.25">
      <c r="B3825" s="11"/>
    </row>
    <row r="3826" spans="2:2" x14ac:dyDescent="0.25">
      <c r="B3826" s="11"/>
    </row>
    <row r="3827" spans="2:2" x14ac:dyDescent="0.25">
      <c r="B3827" s="11"/>
    </row>
    <row r="3828" spans="2:2" x14ac:dyDescent="0.25">
      <c r="B3828" s="11"/>
    </row>
    <row r="3829" spans="2:2" x14ac:dyDescent="0.25">
      <c r="B3829" s="11"/>
    </row>
    <row r="3830" spans="2:2" x14ac:dyDescent="0.25">
      <c r="B3830" s="11"/>
    </row>
    <row r="3831" spans="2:2" x14ac:dyDescent="0.25">
      <c r="B3831" s="11"/>
    </row>
    <row r="3832" spans="2:2" x14ac:dyDescent="0.25">
      <c r="B3832" s="11"/>
    </row>
    <row r="3833" spans="2:2" x14ac:dyDescent="0.25">
      <c r="B3833" s="11"/>
    </row>
    <row r="3834" spans="2:2" x14ac:dyDescent="0.25">
      <c r="B3834" s="11"/>
    </row>
    <row r="3835" spans="2:2" x14ac:dyDescent="0.25">
      <c r="B3835" s="11"/>
    </row>
    <row r="3836" spans="2:2" x14ac:dyDescent="0.25">
      <c r="B3836" s="11"/>
    </row>
    <row r="3837" spans="2:2" x14ac:dyDescent="0.25">
      <c r="B3837" s="11"/>
    </row>
    <row r="3838" spans="2:2" x14ac:dyDescent="0.25">
      <c r="B3838" s="11"/>
    </row>
    <row r="3839" spans="2:2" x14ac:dyDescent="0.25">
      <c r="B3839" s="11"/>
    </row>
    <row r="3840" spans="2:2" x14ac:dyDescent="0.25">
      <c r="B3840" s="11"/>
    </row>
    <row r="3841" spans="2:2" x14ac:dyDescent="0.25">
      <c r="B3841" s="11"/>
    </row>
    <row r="3842" spans="2:2" x14ac:dyDescent="0.25">
      <c r="B3842" s="11"/>
    </row>
    <row r="3843" spans="2:2" x14ac:dyDescent="0.25">
      <c r="B3843" s="11"/>
    </row>
    <row r="3844" spans="2:2" x14ac:dyDescent="0.25">
      <c r="B3844" s="11"/>
    </row>
    <row r="3845" spans="2:2" x14ac:dyDescent="0.25">
      <c r="B3845" s="11"/>
    </row>
    <row r="3846" spans="2:2" x14ac:dyDescent="0.25">
      <c r="B3846" s="11"/>
    </row>
    <row r="3847" spans="2:2" x14ac:dyDescent="0.25">
      <c r="B3847" s="11"/>
    </row>
    <row r="3848" spans="2:2" x14ac:dyDescent="0.25">
      <c r="B3848" s="11"/>
    </row>
    <row r="3849" spans="2:2" x14ac:dyDescent="0.25">
      <c r="B3849" s="11"/>
    </row>
    <row r="3850" spans="2:2" x14ac:dyDescent="0.25">
      <c r="B3850" s="11"/>
    </row>
    <row r="3851" spans="2:2" x14ac:dyDescent="0.25">
      <c r="B3851" s="11"/>
    </row>
    <row r="3852" spans="2:2" x14ac:dyDescent="0.25">
      <c r="B3852" s="11"/>
    </row>
    <row r="3853" spans="2:2" x14ac:dyDescent="0.25">
      <c r="B3853" s="11"/>
    </row>
    <row r="3854" spans="2:2" x14ac:dyDescent="0.25">
      <c r="B3854" s="11"/>
    </row>
    <row r="3855" spans="2:2" x14ac:dyDescent="0.25">
      <c r="B3855" s="11"/>
    </row>
    <row r="3856" spans="2:2" x14ac:dyDescent="0.25">
      <c r="B3856" s="11"/>
    </row>
    <row r="3857" spans="2:2" x14ac:dyDescent="0.25">
      <c r="B3857" s="11"/>
    </row>
    <row r="3858" spans="2:2" x14ac:dyDescent="0.25">
      <c r="B3858" s="11"/>
    </row>
    <row r="3859" spans="2:2" x14ac:dyDescent="0.25">
      <c r="B3859" s="11"/>
    </row>
    <row r="3860" spans="2:2" x14ac:dyDescent="0.25">
      <c r="B3860" s="11"/>
    </row>
    <row r="3861" spans="2:2" x14ac:dyDescent="0.25">
      <c r="B3861" s="11"/>
    </row>
    <row r="3862" spans="2:2" x14ac:dyDescent="0.25">
      <c r="B3862" s="11"/>
    </row>
    <row r="3863" spans="2:2" x14ac:dyDescent="0.25">
      <c r="B3863" s="11"/>
    </row>
    <row r="3864" spans="2:2" x14ac:dyDescent="0.25">
      <c r="B3864" s="11"/>
    </row>
    <row r="3865" spans="2:2" x14ac:dyDescent="0.25">
      <c r="B3865" s="11"/>
    </row>
    <row r="3866" spans="2:2" x14ac:dyDescent="0.25">
      <c r="B3866" s="11"/>
    </row>
    <row r="3867" spans="2:2" x14ac:dyDescent="0.25">
      <c r="B3867" s="11"/>
    </row>
    <row r="3868" spans="2:2" x14ac:dyDescent="0.25">
      <c r="B3868" s="11"/>
    </row>
    <row r="3869" spans="2:2" x14ac:dyDescent="0.25">
      <c r="B3869" s="11"/>
    </row>
    <row r="3870" spans="2:2" x14ac:dyDescent="0.25">
      <c r="B3870" s="11"/>
    </row>
    <row r="3871" spans="2:2" x14ac:dyDescent="0.25">
      <c r="B3871" s="11"/>
    </row>
    <row r="3872" spans="2:2" x14ac:dyDescent="0.25">
      <c r="B3872" s="11"/>
    </row>
    <row r="3873" spans="2:2" x14ac:dyDescent="0.25">
      <c r="B3873" s="11"/>
    </row>
    <row r="3874" spans="2:2" x14ac:dyDescent="0.25">
      <c r="B3874" s="11"/>
    </row>
    <row r="3875" spans="2:2" x14ac:dyDescent="0.25">
      <c r="B3875" s="11"/>
    </row>
    <row r="3876" spans="2:2" x14ac:dyDescent="0.25">
      <c r="B3876" s="11"/>
    </row>
    <row r="3877" spans="2:2" x14ac:dyDescent="0.25">
      <c r="B3877" s="11"/>
    </row>
    <row r="3878" spans="2:2" x14ac:dyDescent="0.25">
      <c r="B3878" s="11"/>
    </row>
    <row r="3879" spans="2:2" x14ac:dyDescent="0.25">
      <c r="B3879" s="11"/>
    </row>
    <row r="3880" spans="2:2" x14ac:dyDescent="0.25">
      <c r="B3880" s="11"/>
    </row>
    <row r="3881" spans="2:2" x14ac:dyDescent="0.25">
      <c r="B3881" s="11"/>
    </row>
    <row r="3882" spans="2:2" x14ac:dyDescent="0.25">
      <c r="B3882" s="11"/>
    </row>
    <row r="3883" spans="2:2" x14ac:dyDescent="0.25">
      <c r="B3883" s="11"/>
    </row>
    <row r="3884" spans="2:2" x14ac:dyDescent="0.25">
      <c r="B3884" s="11"/>
    </row>
    <row r="3885" spans="2:2" x14ac:dyDescent="0.25">
      <c r="B3885" s="11"/>
    </row>
    <row r="3886" spans="2:2" x14ac:dyDescent="0.25">
      <c r="B3886" s="11"/>
    </row>
    <row r="3887" spans="2:2" x14ac:dyDescent="0.25">
      <c r="B3887" s="11"/>
    </row>
    <row r="3888" spans="2:2" x14ac:dyDescent="0.25">
      <c r="B3888" s="11"/>
    </row>
    <row r="3889" spans="2:2" x14ac:dyDescent="0.25">
      <c r="B3889" s="11"/>
    </row>
    <row r="3890" spans="2:2" x14ac:dyDescent="0.25">
      <c r="B3890" s="11"/>
    </row>
    <row r="3891" spans="2:2" x14ac:dyDescent="0.25">
      <c r="B3891" s="11"/>
    </row>
    <row r="3892" spans="2:2" x14ac:dyDescent="0.25">
      <c r="B3892" s="11"/>
    </row>
    <row r="3893" spans="2:2" x14ac:dyDescent="0.25">
      <c r="B3893" s="11"/>
    </row>
    <row r="3894" spans="2:2" x14ac:dyDescent="0.25">
      <c r="B3894" s="11"/>
    </row>
    <row r="3895" spans="2:2" x14ac:dyDescent="0.25">
      <c r="B3895" s="11"/>
    </row>
    <row r="3896" spans="2:2" x14ac:dyDescent="0.25">
      <c r="B3896" s="11"/>
    </row>
    <row r="3897" spans="2:2" x14ac:dyDescent="0.25">
      <c r="B3897" s="11"/>
    </row>
    <row r="3898" spans="2:2" x14ac:dyDescent="0.25">
      <c r="B3898" s="11"/>
    </row>
    <row r="3899" spans="2:2" x14ac:dyDescent="0.25">
      <c r="B3899" s="11"/>
    </row>
    <row r="3900" spans="2:2" x14ac:dyDescent="0.25">
      <c r="B3900" s="11"/>
    </row>
    <row r="3901" spans="2:2" x14ac:dyDescent="0.25">
      <c r="B3901" s="11"/>
    </row>
    <row r="3902" spans="2:2" x14ac:dyDescent="0.25">
      <c r="B3902" s="11"/>
    </row>
    <row r="3903" spans="2:2" x14ac:dyDescent="0.25">
      <c r="B3903" s="11"/>
    </row>
    <row r="3904" spans="2:2" x14ac:dyDescent="0.25">
      <c r="B3904" s="11"/>
    </row>
    <row r="3905" spans="2:2" x14ac:dyDescent="0.25">
      <c r="B3905" s="11"/>
    </row>
    <row r="3906" spans="2:2" x14ac:dyDescent="0.25">
      <c r="B3906" s="11"/>
    </row>
    <row r="3907" spans="2:2" x14ac:dyDescent="0.25">
      <c r="B3907" s="11"/>
    </row>
    <row r="3908" spans="2:2" x14ac:dyDescent="0.25">
      <c r="B3908" s="11"/>
    </row>
    <row r="3909" spans="2:2" x14ac:dyDescent="0.25">
      <c r="B3909" s="11"/>
    </row>
    <row r="3910" spans="2:2" x14ac:dyDescent="0.25">
      <c r="B3910" s="11"/>
    </row>
    <row r="3911" spans="2:2" x14ac:dyDescent="0.25">
      <c r="B3911" s="11"/>
    </row>
    <row r="3912" spans="2:2" x14ac:dyDescent="0.25">
      <c r="B3912" s="11"/>
    </row>
    <row r="3913" spans="2:2" x14ac:dyDescent="0.25">
      <c r="B3913" s="11"/>
    </row>
    <row r="3914" spans="2:2" x14ac:dyDescent="0.25">
      <c r="B3914" s="11"/>
    </row>
    <row r="3915" spans="2:2" x14ac:dyDescent="0.25">
      <c r="B3915" s="11"/>
    </row>
    <row r="3916" spans="2:2" x14ac:dyDescent="0.25">
      <c r="B3916" s="11"/>
    </row>
    <row r="3917" spans="2:2" x14ac:dyDescent="0.25">
      <c r="B3917" s="11"/>
    </row>
    <row r="3918" spans="2:2" x14ac:dyDescent="0.25">
      <c r="B3918" s="11"/>
    </row>
    <row r="3919" spans="2:2" x14ac:dyDescent="0.25">
      <c r="B3919" s="11"/>
    </row>
    <row r="3920" spans="2:2" x14ac:dyDescent="0.25">
      <c r="B3920" s="11"/>
    </row>
    <row r="3921" spans="2:2" x14ac:dyDescent="0.25">
      <c r="B3921" s="11"/>
    </row>
    <row r="3922" spans="2:2" x14ac:dyDescent="0.25">
      <c r="B3922" s="11"/>
    </row>
    <row r="3923" spans="2:2" x14ac:dyDescent="0.25">
      <c r="B3923" s="11"/>
    </row>
    <row r="3924" spans="2:2" x14ac:dyDescent="0.25">
      <c r="B3924" s="11"/>
    </row>
    <row r="3925" spans="2:2" x14ac:dyDescent="0.25">
      <c r="B3925" s="11"/>
    </row>
    <row r="3926" spans="2:2" x14ac:dyDescent="0.25">
      <c r="B3926" s="11"/>
    </row>
    <row r="3927" spans="2:2" x14ac:dyDescent="0.25">
      <c r="B3927" s="11"/>
    </row>
    <row r="3928" spans="2:2" x14ac:dyDescent="0.25">
      <c r="B3928" s="11"/>
    </row>
    <row r="3929" spans="2:2" x14ac:dyDescent="0.25">
      <c r="B3929" s="11"/>
    </row>
    <row r="3930" spans="2:2" x14ac:dyDescent="0.25">
      <c r="B3930" s="11"/>
    </row>
    <row r="3931" spans="2:2" x14ac:dyDescent="0.25">
      <c r="B3931" s="11"/>
    </row>
    <row r="3932" spans="2:2" x14ac:dyDescent="0.25">
      <c r="B3932" s="11"/>
    </row>
    <row r="3933" spans="2:2" x14ac:dyDescent="0.25">
      <c r="B3933" s="11"/>
    </row>
    <row r="3934" spans="2:2" x14ac:dyDescent="0.25">
      <c r="B3934" s="11"/>
    </row>
    <row r="3935" spans="2:2" x14ac:dyDescent="0.25">
      <c r="B3935" s="11"/>
    </row>
    <row r="3936" spans="2:2" x14ac:dyDescent="0.25">
      <c r="B3936" s="11"/>
    </row>
    <row r="3937" spans="2:2" x14ac:dyDescent="0.25">
      <c r="B3937" s="11"/>
    </row>
    <row r="3938" spans="2:2" x14ac:dyDescent="0.25">
      <c r="B3938" s="11"/>
    </row>
    <row r="3939" spans="2:2" x14ac:dyDescent="0.25">
      <c r="B3939" s="11"/>
    </row>
    <row r="3940" spans="2:2" x14ac:dyDescent="0.25">
      <c r="B3940" s="11"/>
    </row>
    <row r="3941" spans="2:2" x14ac:dyDescent="0.25">
      <c r="B3941" s="11"/>
    </row>
    <row r="3942" spans="2:2" x14ac:dyDescent="0.25">
      <c r="B3942" s="11"/>
    </row>
    <row r="3943" spans="2:2" x14ac:dyDescent="0.25">
      <c r="B3943" s="11"/>
    </row>
    <row r="3944" spans="2:2" x14ac:dyDescent="0.25">
      <c r="B3944" s="11"/>
    </row>
    <row r="3945" spans="2:2" x14ac:dyDescent="0.25">
      <c r="B3945" s="11"/>
    </row>
    <row r="3946" spans="2:2" x14ac:dyDescent="0.25">
      <c r="B3946" s="11"/>
    </row>
    <row r="3947" spans="2:2" x14ac:dyDescent="0.25">
      <c r="B3947" s="11"/>
    </row>
    <row r="3948" spans="2:2" x14ac:dyDescent="0.25">
      <c r="B3948" s="11"/>
    </row>
    <row r="3949" spans="2:2" x14ac:dyDescent="0.25">
      <c r="B3949" s="11"/>
    </row>
    <row r="3950" spans="2:2" x14ac:dyDescent="0.25">
      <c r="B3950" s="11"/>
    </row>
    <row r="3951" spans="2:2" x14ac:dyDescent="0.25">
      <c r="B3951" s="11"/>
    </row>
    <row r="3952" spans="2:2" x14ac:dyDescent="0.25">
      <c r="B3952" s="11"/>
    </row>
    <row r="3953" spans="2:2" x14ac:dyDescent="0.25">
      <c r="B3953" s="11"/>
    </row>
    <row r="3954" spans="2:2" x14ac:dyDescent="0.25">
      <c r="B3954" s="11"/>
    </row>
    <row r="3955" spans="2:2" x14ac:dyDescent="0.25">
      <c r="B3955" s="11"/>
    </row>
    <row r="3956" spans="2:2" x14ac:dyDescent="0.25">
      <c r="B3956" s="11"/>
    </row>
    <row r="3957" spans="2:2" x14ac:dyDescent="0.25">
      <c r="B3957" s="11"/>
    </row>
    <row r="3958" spans="2:2" x14ac:dyDescent="0.25">
      <c r="B3958" s="11"/>
    </row>
    <row r="3959" spans="2:2" x14ac:dyDescent="0.25">
      <c r="B3959" s="11"/>
    </row>
    <row r="3960" spans="2:2" x14ac:dyDescent="0.25">
      <c r="B3960" s="11"/>
    </row>
    <row r="3961" spans="2:2" x14ac:dyDescent="0.25">
      <c r="B3961" s="11"/>
    </row>
    <row r="3962" spans="2:2" x14ac:dyDescent="0.25">
      <c r="B3962" s="11"/>
    </row>
    <row r="3963" spans="2:2" x14ac:dyDescent="0.25">
      <c r="B3963" s="11"/>
    </row>
    <row r="3964" spans="2:2" x14ac:dyDescent="0.25">
      <c r="B3964" s="11"/>
    </row>
    <row r="3965" spans="2:2" x14ac:dyDescent="0.25">
      <c r="B3965" s="11"/>
    </row>
    <row r="3966" spans="2:2" x14ac:dyDescent="0.25">
      <c r="B3966" s="11"/>
    </row>
    <row r="3967" spans="2:2" x14ac:dyDescent="0.25">
      <c r="B3967" s="11"/>
    </row>
    <row r="3968" spans="2:2" x14ac:dyDescent="0.25">
      <c r="B3968" s="11"/>
    </row>
    <row r="3969" spans="2:2" x14ac:dyDescent="0.25">
      <c r="B3969" s="11"/>
    </row>
    <row r="3970" spans="2:2" x14ac:dyDescent="0.25">
      <c r="B3970" s="11"/>
    </row>
    <row r="3971" spans="2:2" x14ac:dyDescent="0.25">
      <c r="B3971" s="11"/>
    </row>
    <row r="3972" spans="2:2" x14ac:dyDescent="0.25">
      <c r="B3972" s="11"/>
    </row>
    <row r="3973" spans="2:2" x14ac:dyDescent="0.25">
      <c r="B3973" s="11"/>
    </row>
    <row r="3974" spans="2:2" x14ac:dyDescent="0.25">
      <c r="B3974" s="11"/>
    </row>
    <row r="3975" spans="2:2" x14ac:dyDescent="0.25">
      <c r="B3975" s="11"/>
    </row>
    <row r="3976" spans="2:2" x14ac:dyDescent="0.25">
      <c r="B3976" s="11"/>
    </row>
    <row r="3977" spans="2:2" x14ac:dyDescent="0.25">
      <c r="B3977" s="11"/>
    </row>
    <row r="3978" spans="2:2" x14ac:dyDescent="0.25">
      <c r="B3978" s="11"/>
    </row>
    <row r="3979" spans="2:2" x14ac:dyDescent="0.25">
      <c r="B3979" s="11"/>
    </row>
    <row r="3980" spans="2:2" x14ac:dyDescent="0.25">
      <c r="B3980" s="11"/>
    </row>
    <row r="3981" spans="2:2" x14ac:dyDescent="0.25">
      <c r="B3981" s="11"/>
    </row>
    <row r="3982" spans="2:2" x14ac:dyDescent="0.25">
      <c r="B3982" s="11"/>
    </row>
    <row r="3983" spans="2:2" x14ac:dyDescent="0.25">
      <c r="B3983" s="11"/>
    </row>
    <row r="3984" spans="2:2" x14ac:dyDescent="0.25">
      <c r="B3984" s="11"/>
    </row>
    <row r="3985" spans="2:2" x14ac:dyDescent="0.25">
      <c r="B3985" s="11"/>
    </row>
    <row r="3986" spans="2:2" x14ac:dyDescent="0.25">
      <c r="B3986" s="11"/>
    </row>
    <row r="3987" spans="2:2" x14ac:dyDescent="0.25">
      <c r="B3987" s="11"/>
    </row>
    <row r="3988" spans="2:2" x14ac:dyDescent="0.25">
      <c r="B3988" s="11"/>
    </row>
    <row r="3989" spans="2:2" x14ac:dyDescent="0.25">
      <c r="B3989" s="11"/>
    </row>
    <row r="3990" spans="2:2" x14ac:dyDescent="0.25">
      <c r="B3990" s="11"/>
    </row>
    <row r="3991" spans="2:2" x14ac:dyDescent="0.25">
      <c r="B3991" s="11"/>
    </row>
    <row r="3992" spans="2:2" x14ac:dyDescent="0.25">
      <c r="B3992" s="11"/>
    </row>
    <row r="3993" spans="2:2" x14ac:dyDescent="0.25">
      <c r="B3993" s="11"/>
    </row>
    <row r="3994" spans="2:2" x14ac:dyDescent="0.25">
      <c r="B3994" s="11"/>
    </row>
    <row r="3995" spans="2:2" x14ac:dyDescent="0.25">
      <c r="B3995" s="11"/>
    </row>
    <row r="3996" spans="2:2" x14ac:dyDescent="0.25">
      <c r="B3996" s="11"/>
    </row>
    <row r="3997" spans="2:2" x14ac:dyDescent="0.25">
      <c r="B3997" s="11"/>
    </row>
    <row r="3998" spans="2:2" x14ac:dyDescent="0.25">
      <c r="B3998" s="11"/>
    </row>
    <row r="3999" spans="2:2" x14ac:dyDescent="0.25">
      <c r="B3999" s="11"/>
    </row>
    <row r="4000" spans="2:2" x14ac:dyDescent="0.25">
      <c r="B4000" s="11"/>
    </row>
    <row r="4001" spans="2:2" x14ac:dyDescent="0.25">
      <c r="B4001" s="11"/>
    </row>
    <row r="4002" spans="2:2" x14ac:dyDescent="0.25">
      <c r="B4002" s="11"/>
    </row>
    <row r="4003" spans="2:2" x14ac:dyDescent="0.25">
      <c r="B4003" s="11"/>
    </row>
    <row r="4004" spans="2:2" x14ac:dyDescent="0.25">
      <c r="B4004" s="11"/>
    </row>
    <row r="4005" spans="2:2" x14ac:dyDescent="0.25">
      <c r="B4005" s="11"/>
    </row>
    <row r="4006" spans="2:2" x14ac:dyDescent="0.25">
      <c r="B4006" s="11"/>
    </row>
    <row r="4007" spans="2:2" x14ac:dyDescent="0.25">
      <c r="B4007" s="11"/>
    </row>
    <row r="4008" spans="2:2" x14ac:dyDescent="0.25">
      <c r="B4008" s="11"/>
    </row>
    <row r="4009" spans="2:2" x14ac:dyDescent="0.25">
      <c r="B4009" s="11"/>
    </row>
    <row r="4010" spans="2:2" x14ac:dyDescent="0.25">
      <c r="B4010" s="11"/>
    </row>
    <row r="4011" spans="2:2" x14ac:dyDescent="0.25">
      <c r="B4011" s="11"/>
    </row>
    <row r="4012" spans="2:2" x14ac:dyDescent="0.25">
      <c r="B4012" s="11"/>
    </row>
    <row r="4013" spans="2:2" x14ac:dyDescent="0.25">
      <c r="B4013" s="11"/>
    </row>
    <row r="4014" spans="2:2" x14ac:dyDescent="0.25">
      <c r="B4014" s="11"/>
    </row>
    <row r="4015" spans="2:2" x14ac:dyDescent="0.25">
      <c r="B4015" s="11"/>
    </row>
    <row r="4016" spans="2:2" x14ac:dyDescent="0.25">
      <c r="B4016" s="11"/>
    </row>
    <row r="4017" spans="2:2" x14ac:dyDescent="0.25">
      <c r="B4017" s="11"/>
    </row>
    <row r="4018" spans="2:2" x14ac:dyDescent="0.25">
      <c r="B4018" s="11"/>
    </row>
    <row r="4019" spans="2:2" x14ac:dyDescent="0.25">
      <c r="B4019" s="11"/>
    </row>
    <row r="4020" spans="2:2" x14ac:dyDescent="0.25">
      <c r="B4020" s="11"/>
    </row>
    <row r="4021" spans="2:2" x14ac:dyDescent="0.25">
      <c r="B4021" s="11"/>
    </row>
    <row r="4022" spans="2:2" x14ac:dyDescent="0.25">
      <c r="B4022" s="11"/>
    </row>
    <row r="4023" spans="2:2" x14ac:dyDescent="0.25">
      <c r="B4023" s="11"/>
    </row>
    <row r="4024" spans="2:2" x14ac:dyDescent="0.25">
      <c r="B4024" s="11"/>
    </row>
    <row r="4025" spans="2:2" x14ac:dyDescent="0.25">
      <c r="B4025" s="11"/>
    </row>
    <row r="4026" spans="2:2" x14ac:dyDescent="0.25">
      <c r="B4026" s="11"/>
    </row>
    <row r="4027" spans="2:2" x14ac:dyDescent="0.25">
      <c r="B4027" s="11"/>
    </row>
    <row r="4028" spans="2:2" x14ac:dyDescent="0.25">
      <c r="B4028" s="11"/>
    </row>
    <row r="4029" spans="2:2" x14ac:dyDescent="0.25">
      <c r="B4029" s="11"/>
    </row>
    <row r="4030" spans="2:2" x14ac:dyDescent="0.25">
      <c r="B4030" s="11"/>
    </row>
    <row r="4031" spans="2:2" x14ac:dyDescent="0.25">
      <c r="B4031" s="11"/>
    </row>
    <row r="4032" spans="2:2" x14ac:dyDescent="0.25">
      <c r="B4032" s="11"/>
    </row>
    <row r="4033" spans="2:2" x14ac:dyDescent="0.25">
      <c r="B4033" s="11"/>
    </row>
    <row r="4034" spans="2:2" x14ac:dyDescent="0.25">
      <c r="B4034" s="11"/>
    </row>
    <row r="4035" spans="2:2" x14ac:dyDescent="0.25">
      <c r="B4035" s="11"/>
    </row>
    <row r="4036" spans="2:2" x14ac:dyDescent="0.25">
      <c r="B4036" s="11"/>
    </row>
    <row r="4037" spans="2:2" x14ac:dyDescent="0.25">
      <c r="B4037" s="11"/>
    </row>
    <row r="4038" spans="2:2" x14ac:dyDescent="0.25">
      <c r="B4038" s="11"/>
    </row>
    <row r="4039" spans="2:2" x14ac:dyDescent="0.25">
      <c r="B4039" s="11"/>
    </row>
    <row r="4040" spans="2:2" x14ac:dyDescent="0.25">
      <c r="B4040" s="11"/>
    </row>
    <row r="4041" spans="2:2" x14ac:dyDescent="0.25">
      <c r="B4041" s="11"/>
    </row>
    <row r="4042" spans="2:2" x14ac:dyDescent="0.25">
      <c r="B4042" s="11"/>
    </row>
    <row r="4043" spans="2:2" x14ac:dyDescent="0.25">
      <c r="B4043" s="11"/>
    </row>
    <row r="4044" spans="2:2" x14ac:dyDescent="0.25">
      <c r="B4044" s="11"/>
    </row>
    <row r="4045" spans="2:2" x14ac:dyDescent="0.25">
      <c r="B4045" s="11"/>
    </row>
    <row r="4046" spans="2:2" x14ac:dyDescent="0.25">
      <c r="B4046" s="11"/>
    </row>
    <row r="4047" spans="2:2" x14ac:dyDescent="0.25">
      <c r="B4047" s="11"/>
    </row>
    <row r="4048" spans="2:2" x14ac:dyDescent="0.25">
      <c r="B4048" s="11"/>
    </row>
    <row r="4049" spans="2:2" x14ac:dyDescent="0.25">
      <c r="B4049" s="11"/>
    </row>
    <row r="4050" spans="2:2" x14ac:dyDescent="0.25">
      <c r="B4050" s="11"/>
    </row>
    <row r="4051" spans="2:2" x14ac:dyDescent="0.25">
      <c r="B4051" s="11"/>
    </row>
    <row r="4052" spans="2:2" x14ac:dyDescent="0.25">
      <c r="B4052" s="11"/>
    </row>
    <row r="4053" spans="2:2" x14ac:dyDescent="0.25">
      <c r="B4053" s="11"/>
    </row>
    <row r="4054" spans="2:2" x14ac:dyDescent="0.25">
      <c r="B4054" s="11"/>
    </row>
    <row r="4055" spans="2:2" x14ac:dyDescent="0.25">
      <c r="B4055" s="11"/>
    </row>
    <row r="4056" spans="2:2" x14ac:dyDescent="0.25">
      <c r="B4056" s="11"/>
    </row>
    <row r="4057" spans="2:2" x14ac:dyDescent="0.25">
      <c r="B4057" s="11"/>
    </row>
    <row r="4058" spans="2:2" x14ac:dyDescent="0.25">
      <c r="B4058" s="11"/>
    </row>
    <row r="4059" spans="2:2" x14ac:dyDescent="0.25">
      <c r="B4059" s="11"/>
    </row>
    <row r="4060" spans="2:2" x14ac:dyDescent="0.25">
      <c r="B4060" s="11"/>
    </row>
    <row r="4061" spans="2:2" x14ac:dyDescent="0.25">
      <c r="B4061" s="11"/>
    </row>
    <row r="4062" spans="2:2" x14ac:dyDescent="0.25">
      <c r="B4062" s="11"/>
    </row>
    <row r="4063" spans="2:2" x14ac:dyDescent="0.25">
      <c r="B4063" s="11"/>
    </row>
    <row r="4064" spans="2:2" x14ac:dyDescent="0.25">
      <c r="B4064" s="11"/>
    </row>
    <row r="4065" spans="2:2" x14ac:dyDescent="0.25">
      <c r="B4065" s="11"/>
    </row>
    <row r="4066" spans="2:2" x14ac:dyDescent="0.25">
      <c r="B4066" s="11"/>
    </row>
    <row r="4067" spans="2:2" x14ac:dyDescent="0.25">
      <c r="B4067" s="11"/>
    </row>
    <row r="4068" spans="2:2" x14ac:dyDescent="0.25">
      <c r="B4068" s="11"/>
    </row>
    <row r="4069" spans="2:2" x14ac:dyDescent="0.25">
      <c r="B4069" s="11"/>
    </row>
    <row r="4070" spans="2:2" x14ac:dyDescent="0.25">
      <c r="B4070" s="11"/>
    </row>
    <row r="4071" spans="2:2" x14ac:dyDescent="0.25">
      <c r="B4071" s="11"/>
    </row>
    <row r="4072" spans="2:2" x14ac:dyDescent="0.25">
      <c r="B4072" s="11"/>
    </row>
    <row r="4073" spans="2:2" x14ac:dyDescent="0.25">
      <c r="B4073" s="11"/>
    </row>
    <row r="4074" spans="2:2" x14ac:dyDescent="0.25">
      <c r="B4074" s="11"/>
    </row>
    <row r="4075" spans="2:2" x14ac:dyDescent="0.25">
      <c r="B4075" s="11"/>
    </row>
    <row r="4076" spans="2:2" x14ac:dyDescent="0.25">
      <c r="B4076" s="11"/>
    </row>
    <row r="4077" spans="2:2" x14ac:dyDescent="0.25">
      <c r="B4077" s="11"/>
    </row>
    <row r="4078" spans="2:2" x14ac:dyDescent="0.25">
      <c r="B4078" s="11"/>
    </row>
    <row r="4079" spans="2:2" x14ac:dyDescent="0.25">
      <c r="B4079" s="11"/>
    </row>
    <row r="4080" spans="2:2" x14ac:dyDescent="0.25">
      <c r="B4080" s="11"/>
    </row>
    <row r="4081" spans="2:2" x14ac:dyDescent="0.25">
      <c r="B4081" s="11"/>
    </row>
    <row r="4082" spans="2:2" x14ac:dyDescent="0.25">
      <c r="B4082" s="11"/>
    </row>
    <row r="4083" spans="2:2" x14ac:dyDescent="0.25">
      <c r="B4083" s="11"/>
    </row>
    <row r="4084" spans="2:2" x14ac:dyDescent="0.25">
      <c r="B4084" s="11"/>
    </row>
    <row r="4085" spans="2:2" x14ac:dyDescent="0.25">
      <c r="B4085" s="11"/>
    </row>
    <row r="4086" spans="2:2" x14ac:dyDescent="0.25">
      <c r="B4086" s="11"/>
    </row>
    <row r="4087" spans="2:2" x14ac:dyDescent="0.25">
      <c r="B4087" s="11"/>
    </row>
    <row r="4088" spans="2:2" x14ac:dyDescent="0.25">
      <c r="B4088" s="11"/>
    </row>
    <row r="4089" spans="2:2" x14ac:dyDescent="0.25">
      <c r="B4089" s="11"/>
    </row>
    <row r="4090" spans="2:2" x14ac:dyDescent="0.25">
      <c r="B4090" s="11"/>
    </row>
    <row r="4091" spans="2:2" x14ac:dyDescent="0.25">
      <c r="B4091" s="11"/>
    </row>
    <row r="4092" spans="2:2" x14ac:dyDescent="0.25">
      <c r="B4092" s="11"/>
    </row>
    <row r="4093" spans="2:2" x14ac:dyDescent="0.25">
      <c r="B4093" s="11"/>
    </row>
    <row r="4094" spans="2:2" x14ac:dyDescent="0.25">
      <c r="B4094" s="11"/>
    </row>
    <row r="4095" spans="2:2" x14ac:dyDescent="0.25">
      <c r="B4095" s="11"/>
    </row>
    <row r="4096" spans="2:2" x14ac:dyDescent="0.25">
      <c r="B4096" s="11"/>
    </row>
    <row r="4097" spans="2:2" x14ac:dyDescent="0.25">
      <c r="B4097" s="11"/>
    </row>
    <row r="4098" spans="2:2" x14ac:dyDescent="0.25">
      <c r="B4098" s="11"/>
    </row>
    <row r="4099" spans="2:2" x14ac:dyDescent="0.25">
      <c r="B4099" s="11"/>
    </row>
    <row r="4100" spans="2:2" x14ac:dyDescent="0.25">
      <c r="B4100" s="11"/>
    </row>
    <row r="4101" spans="2:2" x14ac:dyDescent="0.25">
      <c r="B4101" s="11"/>
    </row>
    <row r="4102" spans="2:2" x14ac:dyDescent="0.25">
      <c r="B4102" s="11"/>
    </row>
    <row r="4103" spans="2:2" x14ac:dyDescent="0.25">
      <c r="B4103" s="11"/>
    </row>
    <row r="4104" spans="2:2" x14ac:dyDescent="0.25">
      <c r="B4104" s="11"/>
    </row>
    <row r="4105" spans="2:2" x14ac:dyDescent="0.25">
      <c r="B4105" s="11"/>
    </row>
    <row r="4106" spans="2:2" x14ac:dyDescent="0.25">
      <c r="B4106" s="11"/>
    </row>
    <row r="4107" spans="2:2" x14ac:dyDescent="0.25">
      <c r="B4107" s="11"/>
    </row>
    <row r="4108" spans="2:2" x14ac:dyDescent="0.25">
      <c r="B4108" s="11"/>
    </row>
    <row r="4109" spans="2:2" x14ac:dyDescent="0.25">
      <c r="B4109" s="11"/>
    </row>
    <row r="4110" spans="2:2" x14ac:dyDescent="0.25">
      <c r="B4110" s="11"/>
    </row>
    <row r="4111" spans="2:2" x14ac:dyDescent="0.25">
      <c r="B4111" s="11"/>
    </row>
    <row r="4112" spans="2:2" x14ac:dyDescent="0.25">
      <c r="B4112" s="11"/>
    </row>
    <row r="4113" spans="2:2" x14ac:dyDescent="0.25">
      <c r="B4113" s="11"/>
    </row>
    <row r="4114" spans="2:2" x14ac:dyDescent="0.25">
      <c r="B4114" s="11"/>
    </row>
    <row r="4115" spans="2:2" x14ac:dyDescent="0.25">
      <c r="B4115" s="11"/>
    </row>
    <row r="4116" spans="2:2" x14ac:dyDescent="0.25">
      <c r="B4116" s="11"/>
    </row>
    <row r="4117" spans="2:2" x14ac:dyDescent="0.25">
      <c r="B4117" s="11"/>
    </row>
    <row r="4118" spans="2:2" x14ac:dyDescent="0.25">
      <c r="B4118" s="11"/>
    </row>
    <row r="4119" spans="2:2" x14ac:dyDescent="0.25">
      <c r="B4119" s="11"/>
    </row>
    <row r="4120" spans="2:2" x14ac:dyDescent="0.25">
      <c r="B4120" s="11"/>
    </row>
    <row r="4121" spans="2:2" x14ac:dyDescent="0.25">
      <c r="B4121" s="11"/>
    </row>
    <row r="4122" spans="2:2" x14ac:dyDescent="0.25">
      <c r="B4122" s="11"/>
    </row>
    <row r="4123" spans="2:2" x14ac:dyDescent="0.25">
      <c r="B4123" s="11"/>
    </row>
    <row r="4124" spans="2:2" x14ac:dyDescent="0.25">
      <c r="B4124" s="11"/>
    </row>
    <row r="4125" spans="2:2" x14ac:dyDescent="0.25">
      <c r="B4125" s="11"/>
    </row>
    <row r="4126" spans="2:2" x14ac:dyDescent="0.25">
      <c r="B4126" s="11"/>
    </row>
    <row r="4127" spans="2:2" x14ac:dyDescent="0.25">
      <c r="B4127" s="11"/>
    </row>
    <row r="4128" spans="2:2" x14ac:dyDescent="0.25">
      <c r="B4128" s="11"/>
    </row>
    <row r="4129" spans="2:2" x14ac:dyDescent="0.25">
      <c r="B4129" s="11"/>
    </row>
    <row r="4130" spans="2:2" x14ac:dyDescent="0.25">
      <c r="B4130" s="11"/>
    </row>
    <row r="4131" spans="2:2" x14ac:dyDescent="0.25">
      <c r="B4131" s="11"/>
    </row>
    <row r="4132" spans="2:2" x14ac:dyDescent="0.25">
      <c r="B4132" s="11"/>
    </row>
    <row r="4133" spans="2:2" x14ac:dyDescent="0.25">
      <c r="B4133" s="11"/>
    </row>
    <row r="4134" spans="2:2" x14ac:dyDescent="0.25">
      <c r="B4134" s="11"/>
    </row>
    <row r="4135" spans="2:2" x14ac:dyDescent="0.25">
      <c r="B4135" s="11"/>
    </row>
    <row r="4136" spans="2:2" x14ac:dyDescent="0.25">
      <c r="B4136" s="11"/>
    </row>
    <row r="4137" spans="2:2" x14ac:dyDescent="0.25">
      <c r="B4137" s="11"/>
    </row>
    <row r="4138" spans="2:2" x14ac:dyDescent="0.25">
      <c r="B4138" s="11"/>
    </row>
    <row r="4139" spans="2:2" x14ac:dyDescent="0.25">
      <c r="B4139" s="11"/>
    </row>
    <row r="4140" spans="2:2" x14ac:dyDescent="0.25">
      <c r="B4140" s="11"/>
    </row>
    <row r="4141" spans="2:2" x14ac:dyDescent="0.25">
      <c r="B4141" s="11"/>
    </row>
    <row r="4142" spans="2:2" x14ac:dyDescent="0.25">
      <c r="B4142" s="11"/>
    </row>
    <row r="4143" spans="2:2" x14ac:dyDescent="0.25">
      <c r="B4143" s="11"/>
    </row>
    <row r="4144" spans="2:2" x14ac:dyDescent="0.25">
      <c r="B4144" s="11"/>
    </row>
    <row r="4145" spans="2:2" x14ac:dyDescent="0.25">
      <c r="B4145" s="11"/>
    </row>
    <row r="4146" spans="2:2" x14ac:dyDescent="0.25">
      <c r="B4146" s="11"/>
    </row>
    <row r="4147" spans="2:2" x14ac:dyDescent="0.25">
      <c r="B4147" s="11"/>
    </row>
    <row r="4148" spans="2:2" x14ac:dyDescent="0.25">
      <c r="B4148" s="11"/>
    </row>
    <row r="4149" spans="2:2" x14ac:dyDescent="0.25">
      <c r="B4149" s="11"/>
    </row>
    <row r="4150" spans="2:2" x14ac:dyDescent="0.25">
      <c r="B4150" s="11"/>
    </row>
    <row r="4151" spans="2:2" x14ac:dyDescent="0.25">
      <c r="B4151" s="11"/>
    </row>
    <row r="4152" spans="2:2" x14ac:dyDescent="0.25">
      <c r="B4152" s="11"/>
    </row>
    <row r="4153" spans="2:2" x14ac:dyDescent="0.25">
      <c r="B4153" s="11"/>
    </row>
    <row r="4154" spans="2:2" x14ac:dyDescent="0.25">
      <c r="B4154" s="11"/>
    </row>
    <row r="4155" spans="2:2" x14ac:dyDescent="0.25">
      <c r="B4155" s="11"/>
    </row>
    <row r="4156" spans="2:2" x14ac:dyDescent="0.25">
      <c r="B4156" s="11"/>
    </row>
    <row r="4157" spans="2:2" x14ac:dyDescent="0.25">
      <c r="B4157" s="11"/>
    </row>
    <row r="4158" spans="2:2" x14ac:dyDescent="0.25">
      <c r="B4158" s="11"/>
    </row>
    <row r="4159" spans="2:2" x14ac:dyDescent="0.25">
      <c r="B4159" s="11"/>
    </row>
    <row r="4160" spans="2:2" x14ac:dyDescent="0.25">
      <c r="B4160" s="11"/>
    </row>
    <row r="4161" spans="2:2" x14ac:dyDescent="0.25">
      <c r="B4161" s="11"/>
    </row>
    <row r="4162" spans="2:2" x14ac:dyDescent="0.25">
      <c r="B4162" s="11"/>
    </row>
    <row r="4163" spans="2:2" x14ac:dyDescent="0.25">
      <c r="B4163" s="11"/>
    </row>
    <row r="4164" spans="2:2" x14ac:dyDescent="0.25">
      <c r="B4164" s="11"/>
    </row>
    <row r="4165" spans="2:2" x14ac:dyDescent="0.25">
      <c r="B4165" s="11"/>
    </row>
    <row r="4166" spans="2:2" x14ac:dyDescent="0.25">
      <c r="B4166" s="11"/>
    </row>
    <row r="4167" spans="2:2" x14ac:dyDescent="0.25">
      <c r="B4167" s="11"/>
    </row>
    <row r="4168" spans="2:2" x14ac:dyDescent="0.25">
      <c r="B4168" s="11"/>
    </row>
    <row r="4169" spans="2:2" x14ac:dyDescent="0.25">
      <c r="B4169" s="11"/>
    </row>
    <row r="4170" spans="2:2" x14ac:dyDescent="0.25">
      <c r="B4170" s="11"/>
    </row>
    <row r="4171" spans="2:2" x14ac:dyDescent="0.25">
      <c r="B4171" s="11"/>
    </row>
    <row r="4172" spans="2:2" x14ac:dyDescent="0.25">
      <c r="B4172" s="11"/>
    </row>
    <row r="4173" spans="2:2" x14ac:dyDescent="0.25">
      <c r="B4173" s="11"/>
    </row>
    <row r="4174" spans="2:2" x14ac:dyDescent="0.25">
      <c r="B4174" s="11"/>
    </row>
    <row r="4175" spans="2:2" x14ac:dyDescent="0.25">
      <c r="B4175" s="11"/>
    </row>
    <row r="4176" spans="2:2" x14ac:dyDescent="0.25">
      <c r="B4176" s="11"/>
    </row>
    <row r="4177" spans="2:2" x14ac:dyDescent="0.25">
      <c r="B4177" s="11"/>
    </row>
    <row r="4178" spans="2:2" x14ac:dyDescent="0.25">
      <c r="B4178" s="11"/>
    </row>
    <row r="4179" spans="2:2" x14ac:dyDescent="0.25">
      <c r="B4179" s="11"/>
    </row>
    <row r="4180" spans="2:2" x14ac:dyDescent="0.25">
      <c r="B4180" s="11"/>
    </row>
    <row r="4181" spans="2:2" x14ac:dyDescent="0.25">
      <c r="B4181" s="11"/>
    </row>
    <row r="4182" spans="2:2" x14ac:dyDescent="0.25">
      <c r="B4182" s="11"/>
    </row>
    <row r="4183" spans="2:2" x14ac:dyDescent="0.25">
      <c r="B4183" s="11"/>
    </row>
    <row r="4184" spans="2:2" x14ac:dyDescent="0.25">
      <c r="B4184" s="11"/>
    </row>
    <row r="4185" spans="2:2" x14ac:dyDescent="0.25">
      <c r="B4185" s="11"/>
    </row>
    <row r="4186" spans="2:2" x14ac:dyDescent="0.25">
      <c r="B4186" s="11"/>
    </row>
    <row r="4187" spans="2:2" x14ac:dyDescent="0.25">
      <c r="B4187" s="11"/>
    </row>
    <row r="4188" spans="2:2" x14ac:dyDescent="0.25">
      <c r="B4188" s="11"/>
    </row>
    <row r="4189" spans="2:2" x14ac:dyDescent="0.25">
      <c r="B4189" s="11"/>
    </row>
    <row r="4190" spans="2:2" x14ac:dyDescent="0.25">
      <c r="B4190" s="11"/>
    </row>
    <row r="4191" spans="2:2" x14ac:dyDescent="0.25">
      <c r="B4191" s="11"/>
    </row>
    <row r="4192" spans="2:2" x14ac:dyDescent="0.25">
      <c r="B4192" s="11"/>
    </row>
    <row r="4193" spans="2:2" x14ac:dyDescent="0.25">
      <c r="B4193" s="11"/>
    </row>
    <row r="4194" spans="2:2" x14ac:dyDescent="0.25">
      <c r="B4194" s="11"/>
    </row>
    <row r="4195" spans="2:2" x14ac:dyDescent="0.25">
      <c r="B4195" s="11"/>
    </row>
    <row r="4196" spans="2:2" x14ac:dyDescent="0.25">
      <c r="B4196" s="11"/>
    </row>
    <row r="4197" spans="2:2" x14ac:dyDescent="0.25">
      <c r="B4197" s="11"/>
    </row>
    <row r="4198" spans="2:2" x14ac:dyDescent="0.25">
      <c r="B4198" s="11"/>
    </row>
    <row r="4199" spans="2:2" x14ac:dyDescent="0.25">
      <c r="B4199" s="11"/>
    </row>
    <row r="4200" spans="2:2" x14ac:dyDescent="0.25">
      <c r="B4200" s="11"/>
    </row>
    <row r="4201" spans="2:2" x14ac:dyDescent="0.25">
      <c r="B4201" s="11"/>
    </row>
    <row r="4202" spans="2:2" x14ac:dyDescent="0.25">
      <c r="B4202" s="11"/>
    </row>
    <row r="4203" spans="2:2" x14ac:dyDescent="0.25">
      <c r="B4203" s="11"/>
    </row>
    <row r="4204" spans="2:2" x14ac:dyDescent="0.25">
      <c r="B4204" s="11"/>
    </row>
    <row r="4205" spans="2:2" x14ac:dyDescent="0.25">
      <c r="B4205" s="11"/>
    </row>
    <row r="4206" spans="2:2" x14ac:dyDescent="0.25">
      <c r="B4206" s="11"/>
    </row>
    <row r="4207" spans="2:2" x14ac:dyDescent="0.25">
      <c r="B4207" s="11"/>
    </row>
    <row r="4208" spans="2:2" x14ac:dyDescent="0.25">
      <c r="B4208" s="11"/>
    </row>
    <row r="4209" spans="2:2" x14ac:dyDescent="0.25">
      <c r="B4209" s="11"/>
    </row>
    <row r="4210" spans="2:2" x14ac:dyDescent="0.25">
      <c r="B4210" s="11"/>
    </row>
    <row r="4211" spans="2:2" x14ac:dyDescent="0.25">
      <c r="B4211" s="11"/>
    </row>
    <row r="4212" spans="2:2" x14ac:dyDescent="0.25">
      <c r="B4212" s="11"/>
    </row>
    <row r="4213" spans="2:2" x14ac:dyDescent="0.25">
      <c r="B4213" s="11"/>
    </row>
    <row r="4214" spans="2:2" x14ac:dyDescent="0.25">
      <c r="B4214" s="11"/>
    </row>
    <row r="4215" spans="2:2" x14ac:dyDescent="0.25">
      <c r="B4215" s="11"/>
    </row>
    <row r="4216" spans="2:2" x14ac:dyDescent="0.25">
      <c r="B4216" s="11"/>
    </row>
    <row r="4217" spans="2:2" x14ac:dyDescent="0.25">
      <c r="B4217" s="11"/>
    </row>
    <row r="4218" spans="2:2" x14ac:dyDescent="0.25">
      <c r="B4218" s="11"/>
    </row>
    <row r="4219" spans="2:2" x14ac:dyDescent="0.25">
      <c r="B4219" s="11"/>
    </row>
    <row r="4220" spans="2:2" x14ac:dyDescent="0.25">
      <c r="B4220" s="11"/>
    </row>
    <row r="4221" spans="2:2" x14ac:dyDescent="0.25">
      <c r="B4221" s="11"/>
    </row>
    <row r="4222" spans="2:2" x14ac:dyDescent="0.25">
      <c r="B4222" s="11"/>
    </row>
    <row r="4223" spans="2:2" x14ac:dyDescent="0.25">
      <c r="B4223" s="11"/>
    </row>
    <row r="4224" spans="2:2" x14ac:dyDescent="0.25">
      <c r="B4224" s="11"/>
    </row>
    <row r="4225" spans="2:2" x14ac:dyDescent="0.25">
      <c r="B4225" s="11"/>
    </row>
    <row r="4226" spans="2:2" x14ac:dyDescent="0.25">
      <c r="B4226" s="11"/>
    </row>
    <row r="4227" spans="2:2" x14ac:dyDescent="0.25">
      <c r="B4227" s="11"/>
    </row>
    <row r="4228" spans="2:2" x14ac:dyDescent="0.25">
      <c r="B4228" s="11"/>
    </row>
    <row r="4229" spans="2:2" x14ac:dyDescent="0.25">
      <c r="B4229" s="11"/>
    </row>
    <row r="4230" spans="2:2" x14ac:dyDescent="0.25">
      <c r="B4230" s="11"/>
    </row>
    <row r="4231" spans="2:2" x14ac:dyDescent="0.25">
      <c r="B4231" s="11"/>
    </row>
    <row r="4232" spans="2:2" x14ac:dyDescent="0.25">
      <c r="B4232" s="11"/>
    </row>
    <row r="4233" spans="2:2" x14ac:dyDescent="0.25">
      <c r="B4233" s="11"/>
    </row>
    <row r="4234" spans="2:2" x14ac:dyDescent="0.25">
      <c r="B4234" s="11"/>
    </row>
    <row r="4235" spans="2:2" x14ac:dyDescent="0.25">
      <c r="B4235" s="11"/>
    </row>
    <row r="4236" spans="2:2" x14ac:dyDescent="0.25">
      <c r="B4236" s="11"/>
    </row>
    <row r="4237" spans="2:2" x14ac:dyDescent="0.25">
      <c r="B4237" s="11"/>
    </row>
    <row r="4238" spans="2:2" x14ac:dyDescent="0.25">
      <c r="B4238" s="11"/>
    </row>
    <row r="4239" spans="2:2" x14ac:dyDescent="0.25">
      <c r="B4239" s="11"/>
    </row>
    <row r="4240" spans="2:2" x14ac:dyDescent="0.25">
      <c r="B4240" s="11"/>
    </row>
    <row r="4241" spans="2:2" x14ac:dyDescent="0.25">
      <c r="B4241" s="11"/>
    </row>
    <row r="4242" spans="2:2" x14ac:dyDescent="0.25">
      <c r="B4242" s="11"/>
    </row>
    <row r="4243" spans="2:2" x14ac:dyDescent="0.25">
      <c r="B4243" s="11"/>
    </row>
    <row r="4244" spans="2:2" x14ac:dyDescent="0.25">
      <c r="B4244" s="11"/>
    </row>
    <row r="4245" spans="2:2" x14ac:dyDescent="0.25">
      <c r="B4245" s="11"/>
    </row>
    <row r="4246" spans="2:2" x14ac:dyDescent="0.25">
      <c r="B4246" s="11"/>
    </row>
    <row r="4247" spans="2:2" x14ac:dyDescent="0.25">
      <c r="B4247" s="11"/>
    </row>
    <row r="4248" spans="2:2" x14ac:dyDescent="0.25">
      <c r="B4248" s="11"/>
    </row>
    <row r="4249" spans="2:2" x14ac:dyDescent="0.25">
      <c r="B4249" s="11"/>
    </row>
    <row r="4250" spans="2:2" x14ac:dyDescent="0.25">
      <c r="B4250" s="11"/>
    </row>
    <row r="4251" spans="2:2" x14ac:dyDescent="0.25">
      <c r="B4251" s="11"/>
    </row>
    <row r="4252" spans="2:2" x14ac:dyDescent="0.25">
      <c r="B4252" s="11"/>
    </row>
    <row r="4253" spans="2:2" x14ac:dyDescent="0.25">
      <c r="B4253" s="11"/>
    </row>
    <row r="4254" spans="2:2" x14ac:dyDescent="0.25">
      <c r="B4254" s="11"/>
    </row>
    <row r="4255" spans="2:2" x14ac:dyDescent="0.25">
      <c r="B4255" s="11"/>
    </row>
    <row r="4256" spans="2:2" x14ac:dyDescent="0.25">
      <c r="B4256" s="11"/>
    </row>
    <row r="4257" spans="2:2" x14ac:dyDescent="0.25">
      <c r="B4257" s="11"/>
    </row>
    <row r="4258" spans="2:2" x14ac:dyDescent="0.25">
      <c r="B4258" s="11"/>
    </row>
    <row r="4259" spans="2:2" x14ac:dyDescent="0.25">
      <c r="B4259" s="11"/>
    </row>
    <row r="4260" spans="2:2" x14ac:dyDescent="0.25">
      <c r="B4260" s="11"/>
    </row>
    <row r="4261" spans="2:2" x14ac:dyDescent="0.25">
      <c r="B4261" s="11"/>
    </row>
    <row r="4262" spans="2:2" x14ac:dyDescent="0.25">
      <c r="B4262" s="11"/>
    </row>
    <row r="4263" spans="2:2" x14ac:dyDescent="0.25">
      <c r="B4263" s="11"/>
    </row>
    <row r="4264" spans="2:2" x14ac:dyDescent="0.25">
      <c r="B4264" s="11"/>
    </row>
    <row r="4265" spans="2:2" x14ac:dyDescent="0.25">
      <c r="B4265" s="11"/>
    </row>
    <row r="4266" spans="2:2" x14ac:dyDescent="0.25">
      <c r="B4266" s="11"/>
    </row>
    <row r="4267" spans="2:2" x14ac:dyDescent="0.25">
      <c r="B4267" s="11"/>
    </row>
    <row r="4268" spans="2:2" x14ac:dyDescent="0.25">
      <c r="B4268" s="11"/>
    </row>
    <row r="4269" spans="2:2" x14ac:dyDescent="0.25">
      <c r="B4269" s="11"/>
    </row>
    <row r="4270" spans="2:2" x14ac:dyDescent="0.25">
      <c r="B4270" s="11"/>
    </row>
    <row r="4271" spans="2:2" x14ac:dyDescent="0.25">
      <c r="B4271" s="11"/>
    </row>
    <row r="4272" spans="2:2" x14ac:dyDescent="0.25">
      <c r="B4272" s="11"/>
    </row>
    <row r="4273" spans="2:2" x14ac:dyDescent="0.25">
      <c r="B4273" s="11"/>
    </row>
    <row r="4274" spans="2:2" x14ac:dyDescent="0.25">
      <c r="B4274" s="11"/>
    </row>
    <row r="4275" spans="2:2" x14ac:dyDescent="0.25">
      <c r="B4275" s="11"/>
    </row>
    <row r="4276" spans="2:2" x14ac:dyDescent="0.25">
      <c r="B4276" s="11"/>
    </row>
    <row r="4277" spans="2:2" x14ac:dyDescent="0.25">
      <c r="B4277" s="11"/>
    </row>
    <row r="4278" spans="2:2" x14ac:dyDescent="0.25">
      <c r="B4278" s="11"/>
    </row>
    <row r="4279" spans="2:2" x14ac:dyDescent="0.25">
      <c r="B4279" s="11"/>
    </row>
    <row r="4280" spans="2:2" x14ac:dyDescent="0.25">
      <c r="B4280" s="11"/>
    </row>
    <row r="4281" spans="2:2" x14ac:dyDescent="0.25">
      <c r="B4281" s="11"/>
    </row>
    <row r="4282" spans="2:2" x14ac:dyDescent="0.25">
      <c r="B4282" s="11"/>
    </row>
    <row r="4283" spans="2:2" x14ac:dyDescent="0.25">
      <c r="B4283" s="11"/>
    </row>
    <row r="4284" spans="2:2" x14ac:dyDescent="0.25">
      <c r="B4284" s="11"/>
    </row>
    <row r="4285" spans="2:2" x14ac:dyDescent="0.25">
      <c r="B4285" s="11"/>
    </row>
    <row r="4286" spans="2:2" x14ac:dyDescent="0.25">
      <c r="B4286" s="11"/>
    </row>
    <row r="4287" spans="2:2" x14ac:dyDescent="0.25">
      <c r="B4287" s="11"/>
    </row>
    <row r="4288" spans="2:2" x14ac:dyDescent="0.25">
      <c r="B4288" s="11"/>
    </row>
    <row r="4289" spans="2:2" x14ac:dyDescent="0.25">
      <c r="B4289" s="11"/>
    </row>
    <row r="4290" spans="2:2" x14ac:dyDescent="0.25">
      <c r="B4290" s="11"/>
    </row>
    <row r="4291" spans="2:2" x14ac:dyDescent="0.25">
      <c r="B4291" s="11"/>
    </row>
    <row r="4292" spans="2:2" x14ac:dyDescent="0.25">
      <c r="B4292" s="11"/>
    </row>
    <row r="4293" spans="2:2" x14ac:dyDescent="0.25">
      <c r="B4293" s="11"/>
    </row>
    <row r="4294" spans="2:2" x14ac:dyDescent="0.25">
      <c r="B4294" s="11"/>
    </row>
    <row r="4295" spans="2:2" x14ac:dyDescent="0.25">
      <c r="B4295" s="11"/>
    </row>
    <row r="4296" spans="2:2" x14ac:dyDescent="0.25">
      <c r="B4296" s="11"/>
    </row>
    <row r="4297" spans="2:2" x14ac:dyDescent="0.25">
      <c r="B4297" s="11"/>
    </row>
    <row r="4298" spans="2:2" x14ac:dyDescent="0.25">
      <c r="B4298" s="11"/>
    </row>
    <row r="4299" spans="2:2" x14ac:dyDescent="0.25">
      <c r="B4299" s="11"/>
    </row>
    <row r="4300" spans="2:2" x14ac:dyDescent="0.25">
      <c r="B4300" s="11"/>
    </row>
    <row r="4301" spans="2:2" x14ac:dyDescent="0.25">
      <c r="B4301" s="11"/>
    </row>
    <row r="4302" spans="2:2" x14ac:dyDescent="0.25">
      <c r="B4302" s="11"/>
    </row>
    <row r="4303" spans="2:2" x14ac:dyDescent="0.25">
      <c r="B4303" s="11"/>
    </row>
    <row r="4304" spans="2:2" x14ac:dyDescent="0.25">
      <c r="B4304" s="11"/>
    </row>
    <row r="4305" spans="2:2" x14ac:dyDescent="0.25">
      <c r="B4305" s="11"/>
    </row>
    <row r="4306" spans="2:2" x14ac:dyDescent="0.25">
      <c r="B4306" s="11"/>
    </row>
    <row r="4307" spans="2:2" x14ac:dyDescent="0.25">
      <c r="B4307" s="11"/>
    </row>
    <row r="4308" spans="2:2" x14ac:dyDescent="0.25">
      <c r="B4308" s="11"/>
    </row>
    <row r="4309" spans="2:2" x14ac:dyDescent="0.25">
      <c r="B4309" s="11"/>
    </row>
    <row r="4310" spans="2:2" x14ac:dyDescent="0.25">
      <c r="B4310" s="11"/>
    </row>
    <row r="4311" spans="2:2" x14ac:dyDescent="0.25">
      <c r="B4311" s="11"/>
    </row>
    <row r="4312" spans="2:2" x14ac:dyDescent="0.25">
      <c r="B4312" s="11"/>
    </row>
    <row r="4313" spans="2:2" x14ac:dyDescent="0.25">
      <c r="B4313" s="11"/>
    </row>
    <row r="4314" spans="2:2" x14ac:dyDescent="0.25">
      <c r="B4314" s="11"/>
    </row>
    <row r="4315" spans="2:2" x14ac:dyDescent="0.25">
      <c r="B4315" s="11"/>
    </row>
    <row r="4316" spans="2:2" x14ac:dyDescent="0.25">
      <c r="B4316" s="11"/>
    </row>
    <row r="4317" spans="2:2" x14ac:dyDescent="0.25">
      <c r="B4317" s="11"/>
    </row>
    <row r="4318" spans="2:2" x14ac:dyDescent="0.25">
      <c r="B4318" s="11"/>
    </row>
    <row r="4319" spans="2:2" x14ac:dyDescent="0.25">
      <c r="B4319" s="11"/>
    </row>
    <row r="4320" spans="2:2" x14ac:dyDescent="0.25">
      <c r="B4320" s="11"/>
    </row>
    <row r="4321" spans="2:2" x14ac:dyDescent="0.25">
      <c r="B4321" s="11"/>
    </row>
    <row r="4322" spans="2:2" x14ac:dyDescent="0.25">
      <c r="B4322" s="11"/>
    </row>
    <row r="4323" spans="2:2" x14ac:dyDescent="0.25">
      <c r="B4323" s="11"/>
    </row>
    <row r="4324" spans="2:2" x14ac:dyDescent="0.25">
      <c r="B4324" s="11"/>
    </row>
    <row r="4325" spans="2:2" x14ac:dyDescent="0.25">
      <c r="B4325" s="11"/>
    </row>
    <row r="4326" spans="2:2" x14ac:dyDescent="0.25">
      <c r="B4326" s="11"/>
    </row>
    <row r="4327" spans="2:2" x14ac:dyDescent="0.25">
      <c r="B4327" s="11"/>
    </row>
    <row r="4328" spans="2:2" x14ac:dyDescent="0.25">
      <c r="B4328" s="11"/>
    </row>
    <row r="4329" spans="2:2" x14ac:dyDescent="0.25">
      <c r="B4329" s="11"/>
    </row>
    <row r="4330" spans="2:2" x14ac:dyDescent="0.25">
      <c r="B4330" s="11"/>
    </row>
    <row r="4331" spans="2:2" x14ac:dyDescent="0.25">
      <c r="B4331" s="11"/>
    </row>
    <row r="4332" spans="2:2" x14ac:dyDescent="0.25">
      <c r="B4332" s="11"/>
    </row>
    <row r="4333" spans="2:2" x14ac:dyDescent="0.25">
      <c r="B4333" s="11"/>
    </row>
    <row r="4334" spans="2:2" x14ac:dyDescent="0.25">
      <c r="B4334" s="11"/>
    </row>
    <row r="4335" spans="2:2" x14ac:dyDescent="0.25">
      <c r="B4335" s="11"/>
    </row>
    <row r="4336" spans="2:2" x14ac:dyDescent="0.25">
      <c r="B4336" s="11"/>
    </row>
    <row r="4337" spans="2:2" x14ac:dyDescent="0.25">
      <c r="B4337" s="11"/>
    </row>
    <row r="4338" spans="2:2" x14ac:dyDescent="0.25">
      <c r="B4338" s="11"/>
    </row>
    <row r="4339" spans="2:2" x14ac:dyDescent="0.25">
      <c r="B4339" s="11"/>
    </row>
    <row r="4340" spans="2:2" x14ac:dyDescent="0.25">
      <c r="B4340" s="11"/>
    </row>
    <row r="4341" spans="2:2" x14ac:dyDescent="0.25">
      <c r="B4341" s="11"/>
    </row>
    <row r="4342" spans="2:2" x14ac:dyDescent="0.25">
      <c r="B4342" s="11"/>
    </row>
    <row r="4343" spans="2:2" x14ac:dyDescent="0.25">
      <c r="B4343" s="11"/>
    </row>
    <row r="4344" spans="2:2" x14ac:dyDescent="0.25">
      <c r="B4344" s="11"/>
    </row>
    <row r="4345" spans="2:2" x14ac:dyDescent="0.25">
      <c r="B4345" s="11"/>
    </row>
    <row r="4346" spans="2:2" x14ac:dyDescent="0.25">
      <c r="B4346" s="11"/>
    </row>
    <row r="4347" spans="2:2" x14ac:dyDescent="0.25">
      <c r="B4347" s="11"/>
    </row>
    <row r="4348" spans="2:2" x14ac:dyDescent="0.25">
      <c r="B4348" s="11"/>
    </row>
    <row r="4349" spans="2:2" x14ac:dyDescent="0.25">
      <c r="B4349" s="11"/>
    </row>
    <row r="4350" spans="2:2" x14ac:dyDescent="0.25">
      <c r="B4350" s="11"/>
    </row>
    <row r="4351" spans="2:2" x14ac:dyDescent="0.25">
      <c r="B4351" s="11"/>
    </row>
    <row r="4352" spans="2:2" x14ac:dyDescent="0.25">
      <c r="B4352" s="11"/>
    </row>
    <row r="4353" spans="2:2" x14ac:dyDescent="0.25">
      <c r="B4353" s="11"/>
    </row>
    <row r="4354" spans="2:2" x14ac:dyDescent="0.25">
      <c r="B4354" s="11"/>
    </row>
    <row r="4355" spans="2:2" x14ac:dyDescent="0.25">
      <c r="B4355" s="11"/>
    </row>
    <row r="4356" spans="2:2" x14ac:dyDescent="0.25">
      <c r="B4356" s="11"/>
    </row>
    <row r="4357" spans="2:2" x14ac:dyDescent="0.25">
      <c r="B4357" s="11"/>
    </row>
    <row r="4358" spans="2:2" x14ac:dyDescent="0.25">
      <c r="B4358" s="11"/>
    </row>
    <row r="4359" spans="2:2" x14ac:dyDescent="0.25">
      <c r="B4359" s="11"/>
    </row>
    <row r="4360" spans="2:2" x14ac:dyDescent="0.25">
      <c r="B4360" s="11"/>
    </row>
    <row r="4361" spans="2:2" x14ac:dyDescent="0.25">
      <c r="B4361" s="11"/>
    </row>
    <row r="4362" spans="2:2" x14ac:dyDescent="0.25">
      <c r="B4362" s="11"/>
    </row>
    <row r="4363" spans="2:2" x14ac:dyDescent="0.25">
      <c r="B4363" s="11"/>
    </row>
    <row r="4364" spans="2:2" x14ac:dyDescent="0.25">
      <c r="B4364" s="11"/>
    </row>
    <row r="4365" spans="2:2" x14ac:dyDescent="0.25">
      <c r="B4365" s="11"/>
    </row>
    <row r="4366" spans="2:2" x14ac:dyDescent="0.25">
      <c r="B4366" s="11"/>
    </row>
    <row r="4367" spans="2:2" x14ac:dyDescent="0.25">
      <c r="B4367" s="11"/>
    </row>
    <row r="4368" spans="2:2" x14ac:dyDescent="0.25">
      <c r="B4368" s="11"/>
    </row>
    <row r="4369" spans="2:2" x14ac:dyDescent="0.25">
      <c r="B4369" s="11"/>
    </row>
    <row r="4370" spans="2:2" x14ac:dyDescent="0.25">
      <c r="B4370" s="11"/>
    </row>
    <row r="4371" spans="2:2" x14ac:dyDescent="0.25">
      <c r="B4371" s="11"/>
    </row>
    <row r="4372" spans="2:2" x14ac:dyDescent="0.25">
      <c r="B4372" s="11"/>
    </row>
    <row r="4373" spans="2:2" x14ac:dyDescent="0.25">
      <c r="B4373" s="11"/>
    </row>
    <row r="4374" spans="2:2" x14ac:dyDescent="0.25">
      <c r="B4374" s="11"/>
    </row>
    <row r="4375" spans="2:2" x14ac:dyDescent="0.25">
      <c r="B4375" s="11"/>
    </row>
    <row r="4376" spans="2:2" x14ac:dyDescent="0.25">
      <c r="B4376" s="11"/>
    </row>
    <row r="4377" spans="2:2" x14ac:dyDescent="0.25">
      <c r="B4377" s="11"/>
    </row>
    <row r="4378" spans="2:2" x14ac:dyDescent="0.25">
      <c r="B4378" s="11"/>
    </row>
    <row r="4379" spans="2:2" x14ac:dyDescent="0.25">
      <c r="B4379" s="11"/>
    </row>
    <row r="4380" spans="2:2" x14ac:dyDescent="0.25">
      <c r="B4380" s="11"/>
    </row>
    <row r="4381" spans="2:2" x14ac:dyDescent="0.25">
      <c r="B4381" s="11"/>
    </row>
    <row r="4382" spans="2:2" x14ac:dyDescent="0.25">
      <c r="B4382" s="11"/>
    </row>
    <row r="4383" spans="2:2" x14ac:dyDescent="0.25">
      <c r="B4383" s="11"/>
    </row>
    <row r="4384" spans="2:2" x14ac:dyDescent="0.25">
      <c r="B4384" s="11"/>
    </row>
    <row r="4385" spans="2:2" x14ac:dyDescent="0.25">
      <c r="B4385" s="11"/>
    </row>
    <row r="4386" spans="2:2" x14ac:dyDescent="0.25">
      <c r="B4386" s="11"/>
    </row>
    <row r="4387" spans="2:2" x14ac:dyDescent="0.25">
      <c r="B4387" s="11"/>
    </row>
    <row r="4388" spans="2:2" x14ac:dyDescent="0.25">
      <c r="B4388" s="11"/>
    </row>
    <row r="4389" spans="2:2" x14ac:dyDescent="0.25">
      <c r="B4389" s="11"/>
    </row>
    <row r="4390" spans="2:2" x14ac:dyDescent="0.25">
      <c r="B4390" s="11"/>
    </row>
    <row r="4391" spans="2:2" x14ac:dyDescent="0.25">
      <c r="B4391" s="11"/>
    </row>
    <row r="4392" spans="2:2" x14ac:dyDescent="0.25">
      <c r="B4392" s="11"/>
    </row>
    <row r="4393" spans="2:2" x14ac:dyDescent="0.25">
      <c r="B4393" s="11"/>
    </row>
    <row r="4394" spans="2:2" x14ac:dyDescent="0.25">
      <c r="B4394" s="11"/>
    </row>
    <row r="4395" spans="2:2" x14ac:dyDescent="0.25">
      <c r="B4395" s="11"/>
    </row>
    <row r="4396" spans="2:2" x14ac:dyDescent="0.25">
      <c r="B4396" s="11"/>
    </row>
    <row r="4397" spans="2:2" x14ac:dyDescent="0.25">
      <c r="B4397" s="11"/>
    </row>
    <row r="4398" spans="2:2" x14ac:dyDescent="0.25">
      <c r="B4398" s="11"/>
    </row>
    <row r="4399" spans="2:2" x14ac:dyDescent="0.25">
      <c r="B4399" s="11"/>
    </row>
    <row r="4400" spans="2:2" x14ac:dyDescent="0.25">
      <c r="B4400" s="11"/>
    </row>
    <row r="4401" spans="2:2" x14ac:dyDescent="0.25">
      <c r="B4401" s="11"/>
    </row>
    <row r="4402" spans="2:2" x14ac:dyDescent="0.25">
      <c r="B4402" s="11"/>
    </row>
    <row r="4403" spans="2:2" x14ac:dyDescent="0.25">
      <c r="B4403" s="11"/>
    </row>
    <row r="4404" spans="2:2" x14ac:dyDescent="0.25">
      <c r="B4404" s="11"/>
    </row>
    <row r="4405" spans="2:2" x14ac:dyDescent="0.25">
      <c r="B4405" s="11"/>
    </row>
    <row r="4406" spans="2:2" x14ac:dyDescent="0.25">
      <c r="B4406" s="11"/>
    </row>
    <row r="4407" spans="2:2" x14ac:dyDescent="0.25">
      <c r="B4407" s="11"/>
    </row>
    <row r="4408" spans="2:2" x14ac:dyDescent="0.25">
      <c r="B4408" s="11"/>
    </row>
    <row r="4409" spans="2:2" x14ac:dyDescent="0.25">
      <c r="B4409" s="11"/>
    </row>
    <row r="4410" spans="2:2" x14ac:dyDescent="0.25">
      <c r="B4410" s="11"/>
    </row>
    <row r="4411" spans="2:2" x14ac:dyDescent="0.25">
      <c r="B4411" s="11"/>
    </row>
    <row r="4412" spans="2:2" x14ac:dyDescent="0.25">
      <c r="B4412" s="11"/>
    </row>
    <row r="4413" spans="2:2" x14ac:dyDescent="0.25">
      <c r="B4413" s="11"/>
    </row>
    <row r="4414" spans="2:2" x14ac:dyDescent="0.25">
      <c r="B4414" s="11"/>
    </row>
    <row r="4415" spans="2:2" x14ac:dyDescent="0.25">
      <c r="B4415" s="11"/>
    </row>
    <row r="4416" spans="2:2" x14ac:dyDescent="0.25">
      <c r="B4416" s="11"/>
    </row>
    <row r="4417" spans="2:2" x14ac:dyDescent="0.25">
      <c r="B4417" s="11"/>
    </row>
    <row r="4418" spans="2:2" x14ac:dyDescent="0.25">
      <c r="B4418" s="11"/>
    </row>
    <row r="4419" spans="2:2" x14ac:dyDescent="0.25">
      <c r="B4419" s="11"/>
    </row>
    <row r="4420" spans="2:2" x14ac:dyDescent="0.25">
      <c r="B4420" s="11"/>
    </row>
    <row r="4421" spans="2:2" x14ac:dyDescent="0.25">
      <c r="B4421" s="11"/>
    </row>
    <row r="4422" spans="2:2" x14ac:dyDescent="0.25">
      <c r="B4422" s="11"/>
    </row>
    <row r="4423" spans="2:2" x14ac:dyDescent="0.25">
      <c r="B4423" s="11"/>
    </row>
    <row r="4424" spans="2:2" x14ac:dyDescent="0.25">
      <c r="B4424" s="11"/>
    </row>
    <row r="4425" spans="2:2" x14ac:dyDescent="0.25">
      <c r="B4425" s="11"/>
    </row>
    <row r="4426" spans="2:2" x14ac:dyDescent="0.25">
      <c r="B4426" s="11"/>
    </row>
    <row r="4427" spans="2:2" x14ac:dyDescent="0.25">
      <c r="B4427" s="11"/>
    </row>
    <row r="4428" spans="2:2" x14ac:dyDescent="0.25">
      <c r="B4428" s="11"/>
    </row>
    <row r="4429" spans="2:2" x14ac:dyDescent="0.25">
      <c r="B4429" s="11"/>
    </row>
    <row r="4430" spans="2:2" x14ac:dyDescent="0.25">
      <c r="B4430" s="11"/>
    </row>
    <row r="4431" spans="2:2" x14ac:dyDescent="0.25">
      <c r="B4431" s="11"/>
    </row>
    <row r="4432" spans="2:2" x14ac:dyDescent="0.25">
      <c r="B4432" s="11"/>
    </row>
    <row r="4433" spans="2:2" x14ac:dyDescent="0.25">
      <c r="B4433" s="11"/>
    </row>
    <row r="4434" spans="2:2" x14ac:dyDescent="0.25">
      <c r="B4434" s="11"/>
    </row>
    <row r="4435" spans="2:2" x14ac:dyDescent="0.25">
      <c r="B4435" s="11"/>
    </row>
    <row r="4436" spans="2:2" x14ac:dyDescent="0.25">
      <c r="B4436" s="11"/>
    </row>
    <row r="4437" spans="2:2" x14ac:dyDescent="0.25">
      <c r="B4437" s="11"/>
    </row>
    <row r="4438" spans="2:2" x14ac:dyDescent="0.25">
      <c r="B4438" s="11"/>
    </row>
    <row r="4439" spans="2:2" x14ac:dyDescent="0.25">
      <c r="B4439" s="11"/>
    </row>
    <row r="4440" spans="2:2" x14ac:dyDescent="0.25">
      <c r="B4440" s="11"/>
    </row>
    <row r="4441" spans="2:2" x14ac:dyDescent="0.25">
      <c r="B4441" s="11"/>
    </row>
    <row r="4442" spans="2:2" x14ac:dyDescent="0.25">
      <c r="B4442" s="11"/>
    </row>
    <row r="4443" spans="2:2" x14ac:dyDescent="0.25">
      <c r="B4443" s="11"/>
    </row>
    <row r="4444" spans="2:2" x14ac:dyDescent="0.25">
      <c r="B4444" s="11"/>
    </row>
    <row r="4445" spans="2:2" x14ac:dyDescent="0.25">
      <c r="B4445" s="11"/>
    </row>
    <row r="4446" spans="2:2" x14ac:dyDescent="0.25">
      <c r="B4446" s="11"/>
    </row>
    <row r="4447" spans="2:2" x14ac:dyDescent="0.25">
      <c r="B4447" s="11"/>
    </row>
    <row r="4448" spans="2:2" x14ac:dyDescent="0.25">
      <c r="B4448" s="11"/>
    </row>
    <row r="4449" spans="2:2" x14ac:dyDescent="0.25">
      <c r="B4449" s="11"/>
    </row>
    <row r="4450" spans="2:2" x14ac:dyDescent="0.25">
      <c r="B4450" s="11"/>
    </row>
    <row r="4451" spans="2:2" x14ac:dyDescent="0.25">
      <c r="B4451" s="11"/>
    </row>
    <row r="4452" spans="2:2" x14ac:dyDescent="0.25">
      <c r="B4452" s="11"/>
    </row>
    <row r="4453" spans="2:2" x14ac:dyDescent="0.25">
      <c r="B4453" s="11"/>
    </row>
    <row r="4454" spans="2:2" x14ac:dyDescent="0.25">
      <c r="B4454" s="11"/>
    </row>
    <row r="4455" spans="2:2" x14ac:dyDescent="0.25">
      <c r="B4455" s="11"/>
    </row>
    <row r="4456" spans="2:2" x14ac:dyDescent="0.25">
      <c r="B4456" s="11"/>
    </row>
    <row r="4457" spans="2:2" x14ac:dyDescent="0.25">
      <c r="B4457" s="11"/>
    </row>
    <row r="4458" spans="2:2" x14ac:dyDescent="0.25">
      <c r="B4458" s="11"/>
    </row>
    <row r="4459" spans="2:2" x14ac:dyDescent="0.25">
      <c r="B4459" s="11"/>
    </row>
    <row r="4460" spans="2:2" x14ac:dyDescent="0.25">
      <c r="B4460" s="11"/>
    </row>
    <row r="4461" spans="2:2" x14ac:dyDescent="0.25">
      <c r="B4461" s="11"/>
    </row>
    <row r="4462" spans="2:2" x14ac:dyDescent="0.25">
      <c r="B4462" s="11"/>
    </row>
    <row r="4463" spans="2:2" x14ac:dyDescent="0.25">
      <c r="B4463" s="11"/>
    </row>
    <row r="4464" spans="2:2" x14ac:dyDescent="0.25">
      <c r="B4464" s="11"/>
    </row>
    <row r="4465" spans="2:2" x14ac:dyDescent="0.25">
      <c r="B4465" s="11"/>
    </row>
    <row r="4466" spans="2:2" x14ac:dyDescent="0.25">
      <c r="B4466" s="11"/>
    </row>
    <row r="4467" spans="2:2" x14ac:dyDescent="0.25">
      <c r="B4467" s="11"/>
    </row>
    <row r="4468" spans="2:2" x14ac:dyDescent="0.25">
      <c r="B4468" s="11"/>
    </row>
    <row r="4469" spans="2:2" x14ac:dyDescent="0.25">
      <c r="B4469" s="11"/>
    </row>
    <row r="4470" spans="2:2" x14ac:dyDescent="0.25">
      <c r="B4470" s="11"/>
    </row>
    <row r="4471" spans="2:2" x14ac:dyDescent="0.25">
      <c r="B4471" s="11"/>
    </row>
    <row r="4472" spans="2:2" x14ac:dyDescent="0.25">
      <c r="B4472" s="11"/>
    </row>
    <row r="4473" spans="2:2" x14ac:dyDescent="0.25">
      <c r="B4473" s="11"/>
    </row>
    <row r="4474" spans="2:2" x14ac:dyDescent="0.25">
      <c r="B4474" s="11"/>
    </row>
    <row r="4475" spans="2:2" x14ac:dyDescent="0.25">
      <c r="B4475" s="11"/>
    </row>
    <row r="4476" spans="2:2" x14ac:dyDescent="0.25">
      <c r="B4476" s="11"/>
    </row>
    <row r="4477" spans="2:2" x14ac:dyDescent="0.25">
      <c r="B4477" s="11"/>
    </row>
    <row r="4478" spans="2:2" x14ac:dyDescent="0.25">
      <c r="B4478" s="11"/>
    </row>
    <row r="4479" spans="2:2" x14ac:dyDescent="0.25">
      <c r="B4479" s="11"/>
    </row>
    <row r="4480" spans="2:2" x14ac:dyDescent="0.25">
      <c r="B4480" s="11"/>
    </row>
    <row r="4481" spans="2:2" x14ac:dyDescent="0.25">
      <c r="B4481" s="11"/>
    </row>
    <row r="4482" spans="2:2" x14ac:dyDescent="0.25">
      <c r="B4482" s="11"/>
    </row>
    <row r="4483" spans="2:2" x14ac:dyDescent="0.25">
      <c r="B4483" s="11"/>
    </row>
    <row r="4484" spans="2:2" x14ac:dyDescent="0.25">
      <c r="B4484" s="11"/>
    </row>
    <row r="4485" spans="2:2" x14ac:dyDescent="0.25">
      <c r="B4485" s="11"/>
    </row>
    <row r="4486" spans="2:2" x14ac:dyDescent="0.25">
      <c r="B4486" s="11"/>
    </row>
    <row r="4487" spans="2:2" x14ac:dyDescent="0.25">
      <c r="B4487" s="11"/>
    </row>
    <row r="4488" spans="2:2" x14ac:dyDescent="0.25">
      <c r="B4488" s="11"/>
    </row>
    <row r="4489" spans="2:2" x14ac:dyDescent="0.25">
      <c r="B4489" s="11"/>
    </row>
    <row r="4490" spans="2:2" x14ac:dyDescent="0.25">
      <c r="B4490" s="11"/>
    </row>
    <row r="4491" spans="2:2" x14ac:dyDescent="0.25">
      <c r="B4491" s="11"/>
    </row>
    <row r="4492" spans="2:2" x14ac:dyDescent="0.25">
      <c r="B4492" s="11"/>
    </row>
    <row r="4493" spans="2:2" x14ac:dyDescent="0.25">
      <c r="B4493" s="11"/>
    </row>
    <row r="4494" spans="2:2" x14ac:dyDescent="0.25">
      <c r="B4494" s="11"/>
    </row>
    <row r="4495" spans="2:2" x14ac:dyDescent="0.25">
      <c r="B4495" s="11"/>
    </row>
    <row r="4496" spans="2:2" x14ac:dyDescent="0.25">
      <c r="B4496" s="11"/>
    </row>
    <row r="4497" spans="2:2" x14ac:dyDescent="0.25">
      <c r="B4497" s="11"/>
    </row>
    <row r="4498" spans="2:2" x14ac:dyDescent="0.25">
      <c r="B4498" s="11"/>
    </row>
    <row r="4499" spans="2:2" x14ac:dyDescent="0.25">
      <c r="B4499" s="11"/>
    </row>
    <row r="4500" spans="2:2" x14ac:dyDescent="0.25">
      <c r="B4500" s="11"/>
    </row>
    <row r="4501" spans="2:2" x14ac:dyDescent="0.25">
      <c r="B4501" s="11"/>
    </row>
    <row r="4502" spans="2:2" x14ac:dyDescent="0.25">
      <c r="B4502" s="11"/>
    </row>
    <row r="4503" spans="2:2" x14ac:dyDescent="0.25">
      <c r="B4503" s="11"/>
    </row>
    <row r="4504" spans="2:2" x14ac:dyDescent="0.25">
      <c r="B4504" s="11"/>
    </row>
    <row r="4505" spans="2:2" x14ac:dyDescent="0.25">
      <c r="B4505" s="11"/>
    </row>
    <row r="4506" spans="2:2" x14ac:dyDescent="0.25">
      <c r="B4506" s="11"/>
    </row>
    <row r="4507" spans="2:2" x14ac:dyDescent="0.25">
      <c r="B4507" s="11"/>
    </row>
    <row r="4508" spans="2:2" x14ac:dyDescent="0.25">
      <c r="B4508" s="11"/>
    </row>
    <row r="4509" spans="2:2" x14ac:dyDescent="0.25">
      <c r="B4509" s="11"/>
    </row>
    <row r="4510" spans="2:2" x14ac:dyDescent="0.25">
      <c r="B4510" s="11"/>
    </row>
    <row r="4511" spans="2:2" x14ac:dyDescent="0.25">
      <c r="B4511" s="11"/>
    </row>
    <row r="4512" spans="2:2" x14ac:dyDescent="0.25">
      <c r="B4512" s="11"/>
    </row>
    <row r="4513" spans="2:2" x14ac:dyDescent="0.25">
      <c r="B4513" s="11"/>
    </row>
    <row r="4514" spans="2:2" x14ac:dyDescent="0.25">
      <c r="B4514" s="11"/>
    </row>
    <row r="4515" spans="2:2" x14ac:dyDescent="0.25">
      <c r="B4515" s="11"/>
    </row>
    <row r="4516" spans="2:2" x14ac:dyDescent="0.25">
      <c r="B4516" s="11"/>
    </row>
    <row r="4517" spans="2:2" x14ac:dyDescent="0.25">
      <c r="B4517" s="11"/>
    </row>
    <row r="4518" spans="2:2" x14ac:dyDescent="0.25">
      <c r="B4518" s="11"/>
    </row>
    <row r="4519" spans="2:2" x14ac:dyDescent="0.25">
      <c r="B4519" s="11"/>
    </row>
    <row r="4520" spans="2:2" x14ac:dyDescent="0.25">
      <c r="B4520" s="11"/>
    </row>
    <row r="4521" spans="2:2" x14ac:dyDescent="0.25">
      <c r="B4521" s="11"/>
    </row>
    <row r="4522" spans="2:2" x14ac:dyDescent="0.25">
      <c r="B4522" s="11"/>
    </row>
    <row r="4523" spans="2:2" x14ac:dyDescent="0.25">
      <c r="B4523" s="11"/>
    </row>
    <row r="4524" spans="2:2" x14ac:dyDescent="0.25">
      <c r="B4524" s="11"/>
    </row>
    <row r="4525" spans="2:2" x14ac:dyDescent="0.25">
      <c r="B4525" s="11"/>
    </row>
    <row r="4526" spans="2:2" x14ac:dyDescent="0.25">
      <c r="B4526" s="11"/>
    </row>
    <row r="4527" spans="2:2" x14ac:dyDescent="0.25">
      <c r="B4527" s="11"/>
    </row>
    <row r="4528" spans="2:2" x14ac:dyDescent="0.25">
      <c r="B4528" s="11"/>
    </row>
    <row r="4529" spans="2:2" x14ac:dyDescent="0.25">
      <c r="B4529" s="11"/>
    </row>
    <row r="4530" spans="2:2" x14ac:dyDescent="0.25">
      <c r="B4530" s="11"/>
    </row>
    <row r="4531" spans="2:2" x14ac:dyDescent="0.25">
      <c r="B4531" s="11"/>
    </row>
    <row r="4532" spans="2:2" x14ac:dyDescent="0.25">
      <c r="B4532" s="11"/>
    </row>
    <row r="4533" spans="2:2" x14ac:dyDescent="0.25">
      <c r="B4533" s="11"/>
    </row>
    <row r="4534" spans="2:2" x14ac:dyDescent="0.25">
      <c r="B4534" s="11"/>
    </row>
    <row r="4535" spans="2:2" x14ac:dyDescent="0.25">
      <c r="B4535" s="11"/>
    </row>
    <row r="4536" spans="2:2" x14ac:dyDescent="0.25">
      <c r="B4536" s="11"/>
    </row>
    <row r="4537" spans="2:2" x14ac:dyDescent="0.25">
      <c r="B4537" s="11"/>
    </row>
    <row r="4538" spans="2:2" x14ac:dyDescent="0.25">
      <c r="B4538" s="11"/>
    </row>
    <row r="4539" spans="2:2" x14ac:dyDescent="0.25">
      <c r="B4539" s="11"/>
    </row>
    <row r="4540" spans="2:2" x14ac:dyDescent="0.25">
      <c r="B4540" s="11"/>
    </row>
    <row r="4541" spans="2:2" x14ac:dyDescent="0.25">
      <c r="B4541" s="11"/>
    </row>
    <row r="4542" spans="2:2" x14ac:dyDescent="0.25">
      <c r="B4542" s="11"/>
    </row>
    <row r="4543" spans="2:2" x14ac:dyDescent="0.25">
      <c r="B4543" s="11"/>
    </row>
    <row r="4544" spans="2:2" x14ac:dyDescent="0.25">
      <c r="B4544" s="11"/>
    </row>
    <row r="4545" spans="2:2" x14ac:dyDescent="0.25">
      <c r="B4545" s="11"/>
    </row>
    <row r="4546" spans="2:2" x14ac:dyDescent="0.25">
      <c r="B4546" s="11"/>
    </row>
    <row r="4547" spans="2:2" x14ac:dyDescent="0.25">
      <c r="B4547" s="11"/>
    </row>
    <row r="4548" spans="2:2" x14ac:dyDescent="0.25">
      <c r="B4548" s="11"/>
    </row>
    <row r="4549" spans="2:2" x14ac:dyDescent="0.25">
      <c r="B4549" s="11"/>
    </row>
    <row r="4550" spans="2:2" x14ac:dyDescent="0.25">
      <c r="B4550" s="11"/>
    </row>
    <row r="4551" spans="2:2" x14ac:dyDescent="0.25">
      <c r="B4551" s="11"/>
    </row>
    <row r="4552" spans="2:2" x14ac:dyDescent="0.25">
      <c r="B4552" s="11"/>
    </row>
    <row r="4553" spans="2:2" x14ac:dyDescent="0.25">
      <c r="B4553" s="11"/>
    </row>
    <row r="4554" spans="2:2" x14ac:dyDescent="0.25">
      <c r="B4554" s="11"/>
    </row>
    <row r="4555" spans="2:2" x14ac:dyDescent="0.25">
      <c r="B4555" s="11"/>
    </row>
    <row r="4556" spans="2:2" x14ac:dyDescent="0.25">
      <c r="B4556" s="11"/>
    </row>
    <row r="4557" spans="2:2" x14ac:dyDescent="0.25">
      <c r="B4557" s="11"/>
    </row>
    <row r="4558" spans="2:2" x14ac:dyDescent="0.25">
      <c r="B4558" s="11"/>
    </row>
    <row r="4559" spans="2:2" x14ac:dyDescent="0.25">
      <c r="B4559" s="11"/>
    </row>
    <row r="4560" spans="2:2" x14ac:dyDescent="0.25">
      <c r="B4560" s="11"/>
    </row>
    <row r="4561" spans="2:2" x14ac:dyDescent="0.25">
      <c r="B4561" s="11"/>
    </row>
    <row r="4562" spans="2:2" x14ac:dyDescent="0.25">
      <c r="B4562" s="11"/>
    </row>
    <row r="4563" spans="2:2" x14ac:dyDescent="0.25">
      <c r="B4563" s="11"/>
    </row>
    <row r="4564" spans="2:2" x14ac:dyDescent="0.25">
      <c r="B4564" s="11"/>
    </row>
    <row r="4565" spans="2:2" x14ac:dyDescent="0.25">
      <c r="B4565" s="11"/>
    </row>
    <row r="4566" spans="2:2" x14ac:dyDescent="0.25">
      <c r="B4566" s="11"/>
    </row>
    <row r="4567" spans="2:2" x14ac:dyDescent="0.25">
      <c r="B4567" s="11"/>
    </row>
    <row r="4568" spans="2:2" x14ac:dyDescent="0.25">
      <c r="B4568" s="11"/>
    </row>
    <row r="4569" spans="2:2" x14ac:dyDescent="0.25">
      <c r="B4569" s="11"/>
    </row>
    <row r="4570" spans="2:2" x14ac:dyDescent="0.25">
      <c r="B4570" s="11"/>
    </row>
    <row r="4571" spans="2:2" x14ac:dyDescent="0.25">
      <c r="B4571" s="11"/>
    </row>
    <row r="4572" spans="2:2" x14ac:dyDescent="0.25">
      <c r="B4572" s="11"/>
    </row>
    <row r="4573" spans="2:2" x14ac:dyDescent="0.25">
      <c r="B4573" s="11"/>
    </row>
    <row r="4574" spans="2:2" x14ac:dyDescent="0.25">
      <c r="B4574" s="11"/>
    </row>
    <row r="4575" spans="2:2" x14ac:dyDescent="0.25">
      <c r="B4575" s="11"/>
    </row>
    <row r="4576" spans="2:2" x14ac:dyDescent="0.25">
      <c r="B4576" s="11"/>
    </row>
    <row r="4577" spans="2:2" x14ac:dyDescent="0.25">
      <c r="B4577" s="11"/>
    </row>
    <row r="4578" spans="2:2" x14ac:dyDescent="0.25">
      <c r="B4578" s="11"/>
    </row>
    <row r="4579" spans="2:2" x14ac:dyDescent="0.25">
      <c r="B4579" s="11"/>
    </row>
    <row r="4580" spans="2:2" x14ac:dyDescent="0.25">
      <c r="B4580" s="11"/>
    </row>
    <row r="4581" spans="2:2" x14ac:dyDescent="0.25">
      <c r="B4581" s="11"/>
    </row>
    <row r="4582" spans="2:2" x14ac:dyDescent="0.25">
      <c r="B4582" s="11"/>
    </row>
    <row r="4583" spans="2:2" x14ac:dyDescent="0.25">
      <c r="B4583" s="11"/>
    </row>
    <row r="4584" spans="2:2" x14ac:dyDescent="0.25">
      <c r="B4584" s="11"/>
    </row>
    <row r="4585" spans="2:2" x14ac:dyDescent="0.25">
      <c r="B4585" s="11"/>
    </row>
    <row r="4586" spans="2:2" x14ac:dyDescent="0.25">
      <c r="B4586" s="11"/>
    </row>
    <row r="4587" spans="2:2" x14ac:dyDescent="0.25">
      <c r="B4587" s="11"/>
    </row>
    <row r="4588" spans="2:2" x14ac:dyDescent="0.25">
      <c r="B4588" s="11"/>
    </row>
    <row r="4589" spans="2:2" x14ac:dyDescent="0.25">
      <c r="B4589" s="11"/>
    </row>
    <row r="4590" spans="2:2" x14ac:dyDescent="0.25">
      <c r="B4590" s="11"/>
    </row>
    <row r="4591" spans="2:2" x14ac:dyDescent="0.25">
      <c r="B4591" s="11"/>
    </row>
    <row r="4592" spans="2:2" x14ac:dyDescent="0.25">
      <c r="B4592" s="11"/>
    </row>
    <row r="4593" spans="2:2" x14ac:dyDescent="0.25">
      <c r="B4593" s="11"/>
    </row>
    <row r="4594" spans="2:2" x14ac:dyDescent="0.25">
      <c r="B4594" s="11"/>
    </row>
    <row r="4595" spans="2:2" x14ac:dyDescent="0.25">
      <c r="B4595" s="11"/>
    </row>
    <row r="4596" spans="2:2" x14ac:dyDescent="0.25">
      <c r="B4596" s="11"/>
    </row>
    <row r="4597" spans="2:2" x14ac:dyDescent="0.25">
      <c r="B4597" s="11"/>
    </row>
    <row r="4598" spans="2:2" x14ac:dyDescent="0.25">
      <c r="B4598" s="11"/>
    </row>
    <row r="4599" spans="2:2" x14ac:dyDescent="0.25">
      <c r="B4599" s="11"/>
    </row>
    <row r="4600" spans="2:2" x14ac:dyDescent="0.25">
      <c r="B4600" s="11"/>
    </row>
    <row r="4601" spans="2:2" x14ac:dyDescent="0.25">
      <c r="B4601" s="11"/>
    </row>
    <row r="4602" spans="2:2" x14ac:dyDescent="0.25">
      <c r="B4602" s="11"/>
    </row>
    <row r="4603" spans="2:2" x14ac:dyDescent="0.25">
      <c r="B4603" s="11"/>
    </row>
    <row r="4604" spans="2:2" x14ac:dyDescent="0.25">
      <c r="B4604" s="11"/>
    </row>
    <row r="4605" spans="2:2" x14ac:dyDescent="0.25">
      <c r="B4605" s="11"/>
    </row>
    <row r="4606" spans="2:2" x14ac:dyDescent="0.25">
      <c r="B4606" s="11"/>
    </row>
    <row r="4607" spans="2:2" x14ac:dyDescent="0.25">
      <c r="B4607" s="11"/>
    </row>
    <row r="4608" spans="2:2" x14ac:dyDescent="0.25">
      <c r="B4608" s="11"/>
    </row>
    <row r="4609" spans="2:2" x14ac:dyDescent="0.25">
      <c r="B4609" s="11"/>
    </row>
    <row r="4610" spans="2:2" x14ac:dyDescent="0.25">
      <c r="B4610" s="11"/>
    </row>
    <row r="4611" spans="2:2" x14ac:dyDescent="0.25">
      <c r="B4611" s="11"/>
    </row>
    <row r="4612" spans="2:2" x14ac:dyDescent="0.25">
      <c r="B4612" s="11"/>
    </row>
    <row r="4613" spans="2:2" x14ac:dyDescent="0.25">
      <c r="B4613" s="11"/>
    </row>
    <row r="4614" spans="2:2" x14ac:dyDescent="0.25">
      <c r="B4614" s="11"/>
    </row>
    <row r="4615" spans="2:2" x14ac:dyDescent="0.25">
      <c r="B4615" s="11"/>
    </row>
    <row r="4616" spans="2:2" x14ac:dyDescent="0.25">
      <c r="B4616" s="11"/>
    </row>
    <row r="4617" spans="2:2" x14ac:dyDescent="0.25">
      <c r="B4617" s="11"/>
    </row>
    <row r="4618" spans="2:2" x14ac:dyDescent="0.25">
      <c r="B4618" s="11"/>
    </row>
    <row r="4619" spans="2:2" x14ac:dyDescent="0.25">
      <c r="B4619" s="11"/>
    </row>
    <row r="4620" spans="2:2" x14ac:dyDescent="0.25">
      <c r="B4620" s="11"/>
    </row>
    <row r="4621" spans="2:2" x14ac:dyDescent="0.25">
      <c r="B4621" s="11"/>
    </row>
    <row r="4622" spans="2:2" x14ac:dyDescent="0.25">
      <c r="B4622" s="11"/>
    </row>
    <row r="4623" spans="2:2" x14ac:dyDescent="0.25">
      <c r="B4623" s="11"/>
    </row>
    <row r="4624" spans="2:2" x14ac:dyDescent="0.25">
      <c r="B4624" s="11"/>
    </row>
    <row r="4625" spans="2:2" x14ac:dyDescent="0.25">
      <c r="B4625" s="11"/>
    </row>
    <row r="4626" spans="2:2" x14ac:dyDescent="0.25">
      <c r="B4626" s="11"/>
    </row>
    <row r="4627" spans="2:2" x14ac:dyDescent="0.25">
      <c r="B4627" s="11"/>
    </row>
    <row r="4628" spans="2:2" x14ac:dyDescent="0.25">
      <c r="B4628" s="11"/>
    </row>
    <row r="4629" spans="2:2" x14ac:dyDescent="0.25">
      <c r="B4629" s="11"/>
    </row>
    <row r="4630" spans="2:2" x14ac:dyDescent="0.25">
      <c r="B4630" s="11"/>
    </row>
    <row r="4631" spans="2:2" x14ac:dyDescent="0.25">
      <c r="B4631" s="11"/>
    </row>
    <row r="4632" spans="2:2" x14ac:dyDescent="0.25">
      <c r="B4632" s="11"/>
    </row>
    <row r="4633" spans="2:2" x14ac:dyDescent="0.25">
      <c r="B4633" s="11"/>
    </row>
    <row r="4634" spans="2:2" x14ac:dyDescent="0.25">
      <c r="B4634" s="11"/>
    </row>
    <row r="4635" spans="2:2" x14ac:dyDescent="0.25">
      <c r="B4635" s="11"/>
    </row>
    <row r="4636" spans="2:2" x14ac:dyDescent="0.25">
      <c r="B4636" s="11"/>
    </row>
    <row r="4637" spans="2:2" x14ac:dyDescent="0.25">
      <c r="B4637" s="11"/>
    </row>
    <row r="4638" spans="2:2" x14ac:dyDescent="0.25">
      <c r="B4638" s="11"/>
    </row>
    <row r="4639" spans="2:2" x14ac:dyDescent="0.25">
      <c r="B4639" s="11"/>
    </row>
    <row r="4640" spans="2:2" x14ac:dyDescent="0.25">
      <c r="B4640" s="11"/>
    </row>
    <row r="4641" spans="2:2" x14ac:dyDescent="0.25">
      <c r="B4641" s="11"/>
    </row>
    <row r="4642" spans="2:2" x14ac:dyDescent="0.25">
      <c r="B4642" s="11"/>
    </row>
    <row r="4643" spans="2:2" x14ac:dyDescent="0.25">
      <c r="B4643" s="11"/>
    </row>
    <row r="4644" spans="2:2" x14ac:dyDescent="0.25">
      <c r="B4644" s="11"/>
    </row>
    <row r="4645" spans="2:2" x14ac:dyDescent="0.25">
      <c r="B4645" s="11"/>
    </row>
    <row r="4646" spans="2:2" x14ac:dyDescent="0.25">
      <c r="B4646" s="11"/>
    </row>
    <row r="4647" spans="2:2" x14ac:dyDescent="0.25">
      <c r="B4647" s="11"/>
    </row>
    <row r="4648" spans="2:2" x14ac:dyDescent="0.25">
      <c r="B4648" s="11"/>
    </row>
    <row r="4649" spans="2:2" x14ac:dyDescent="0.25">
      <c r="B4649" s="11"/>
    </row>
    <row r="4650" spans="2:2" x14ac:dyDescent="0.25">
      <c r="B4650" s="11"/>
    </row>
    <row r="4651" spans="2:2" x14ac:dyDescent="0.25">
      <c r="B4651" s="11"/>
    </row>
    <row r="4652" spans="2:2" x14ac:dyDescent="0.25">
      <c r="B4652" s="11"/>
    </row>
    <row r="4653" spans="2:2" x14ac:dyDescent="0.25">
      <c r="B4653" s="11"/>
    </row>
    <row r="4654" spans="2:2" x14ac:dyDescent="0.25">
      <c r="B4654" s="11"/>
    </row>
    <row r="4655" spans="2:2" x14ac:dyDescent="0.25">
      <c r="B4655" s="11"/>
    </row>
    <row r="4656" spans="2:2" x14ac:dyDescent="0.25">
      <c r="B4656" s="11"/>
    </row>
    <row r="4657" spans="2:2" x14ac:dyDescent="0.25">
      <c r="B4657" s="11"/>
    </row>
    <row r="4658" spans="2:2" x14ac:dyDescent="0.25">
      <c r="B4658" s="11"/>
    </row>
    <row r="4659" spans="2:2" x14ac:dyDescent="0.25">
      <c r="B4659" s="11"/>
    </row>
    <row r="4660" spans="2:2" x14ac:dyDescent="0.25">
      <c r="B4660" s="11"/>
    </row>
    <row r="4661" spans="2:2" x14ac:dyDescent="0.25">
      <c r="B4661" s="11"/>
    </row>
    <row r="4662" spans="2:2" x14ac:dyDescent="0.25">
      <c r="B4662" s="11"/>
    </row>
    <row r="4663" spans="2:2" x14ac:dyDescent="0.25">
      <c r="B4663" s="11"/>
    </row>
    <row r="4664" spans="2:2" x14ac:dyDescent="0.25">
      <c r="B4664" s="11"/>
    </row>
    <row r="4665" spans="2:2" x14ac:dyDescent="0.25">
      <c r="B4665" s="11"/>
    </row>
    <row r="4666" spans="2:2" x14ac:dyDescent="0.25">
      <c r="B4666" s="11"/>
    </row>
    <row r="4667" spans="2:2" x14ac:dyDescent="0.25">
      <c r="B4667" s="11"/>
    </row>
    <row r="4668" spans="2:2" x14ac:dyDescent="0.25">
      <c r="B4668" s="11"/>
    </row>
    <row r="4669" spans="2:2" x14ac:dyDescent="0.25">
      <c r="B4669" s="11"/>
    </row>
    <row r="4670" spans="2:2" x14ac:dyDescent="0.25">
      <c r="B4670" s="11"/>
    </row>
    <row r="4671" spans="2:2" x14ac:dyDescent="0.25">
      <c r="B4671" s="11"/>
    </row>
    <row r="4672" spans="2:2" x14ac:dyDescent="0.25">
      <c r="B4672" s="11"/>
    </row>
    <row r="4673" spans="2:2" x14ac:dyDescent="0.25">
      <c r="B4673" s="11"/>
    </row>
    <row r="4674" spans="2:2" x14ac:dyDescent="0.25">
      <c r="B4674" s="11"/>
    </row>
    <row r="4675" spans="2:2" x14ac:dyDescent="0.25">
      <c r="B4675" s="11"/>
    </row>
    <row r="4676" spans="2:2" x14ac:dyDescent="0.25">
      <c r="B4676" s="11"/>
    </row>
    <row r="4677" spans="2:2" x14ac:dyDescent="0.25">
      <c r="B4677" s="11"/>
    </row>
    <row r="4678" spans="2:2" x14ac:dyDescent="0.25">
      <c r="B4678" s="11"/>
    </row>
    <row r="4679" spans="2:2" x14ac:dyDescent="0.25">
      <c r="B4679" s="11"/>
    </row>
    <row r="4680" spans="2:2" x14ac:dyDescent="0.25">
      <c r="B4680" s="11"/>
    </row>
    <row r="4681" spans="2:2" x14ac:dyDescent="0.25">
      <c r="B4681" s="11"/>
    </row>
    <row r="4682" spans="2:2" x14ac:dyDescent="0.25">
      <c r="B4682" s="11"/>
    </row>
    <row r="4683" spans="2:2" x14ac:dyDescent="0.25">
      <c r="B4683" s="11"/>
    </row>
    <row r="4684" spans="2:2" x14ac:dyDescent="0.25">
      <c r="B4684" s="11"/>
    </row>
    <row r="4685" spans="2:2" x14ac:dyDescent="0.25">
      <c r="B4685" s="11"/>
    </row>
    <row r="4686" spans="2:2" x14ac:dyDescent="0.25">
      <c r="B4686" s="11"/>
    </row>
    <row r="4687" spans="2:2" x14ac:dyDescent="0.25">
      <c r="B4687" s="11"/>
    </row>
    <row r="4688" spans="2:2" x14ac:dyDescent="0.25">
      <c r="B4688" s="11"/>
    </row>
    <row r="4689" spans="2:2" x14ac:dyDescent="0.25">
      <c r="B4689" s="11"/>
    </row>
    <row r="4690" spans="2:2" x14ac:dyDescent="0.25">
      <c r="B4690" s="11"/>
    </row>
    <row r="4691" spans="2:2" x14ac:dyDescent="0.25">
      <c r="B4691" s="11"/>
    </row>
    <row r="4692" spans="2:2" x14ac:dyDescent="0.25">
      <c r="B4692" s="11"/>
    </row>
    <row r="4693" spans="2:2" x14ac:dyDescent="0.25">
      <c r="B4693" s="11"/>
    </row>
    <row r="4694" spans="2:2" x14ac:dyDescent="0.25">
      <c r="B4694" s="11"/>
    </row>
    <row r="4695" spans="2:2" x14ac:dyDescent="0.25">
      <c r="B4695" s="11"/>
    </row>
    <row r="4696" spans="2:2" x14ac:dyDescent="0.25">
      <c r="B4696" s="11"/>
    </row>
    <row r="4697" spans="2:2" x14ac:dyDescent="0.25">
      <c r="B4697" s="11"/>
    </row>
    <row r="4698" spans="2:2" x14ac:dyDescent="0.25">
      <c r="B4698" s="11"/>
    </row>
    <row r="4699" spans="2:2" x14ac:dyDescent="0.25">
      <c r="B4699" s="11"/>
    </row>
    <row r="4700" spans="2:2" x14ac:dyDescent="0.25">
      <c r="B4700" s="11"/>
    </row>
    <row r="4701" spans="2:2" x14ac:dyDescent="0.25">
      <c r="B4701" s="11"/>
    </row>
    <row r="4702" spans="2:2" x14ac:dyDescent="0.25">
      <c r="B4702" s="11"/>
    </row>
    <row r="4703" spans="2:2" x14ac:dyDescent="0.25">
      <c r="B4703" s="11"/>
    </row>
    <row r="4704" spans="2:2" x14ac:dyDescent="0.25">
      <c r="B4704" s="11"/>
    </row>
    <row r="4705" spans="2:2" x14ac:dyDescent="0.25">
      <c r="B4705" s="11"/>
    </row>
    <row r="4706" spans="2:2" x14ac:dyDescent="0.25">
      <c r="B4706" s="11"/>
    </row>
    <row r="4707" spans="2:2" x14ac:dyDescent="0.25">
      <c r="B4707" s="11"/>
    </row>
    <row r="4708" spans="2:2" x14ac:dyDescent="0.25">
      <c r="B4708" s="11"/>
    </row>
    <row r="4709" spans="2:2" x14ac:dyDescent="0.25">
      <c r="B4709" s="11"/>
    </row>
    <row r="4710" spans="2:2" x14ac:dyDescent="0.25">
      <c r="B4710" s="11"/>
    </row>
    <row r="4711" spans="2:2" x14ac:dyDescent="0.25">
      <c r="B4711" s="11"/>
    </row>
    <row r="4712" spans="2:2" x14ac:dyDescent="0.25">
      <c r="B4712" s="11"/>
    </row>
    <row r="4713" spans="2:2" x14ac:dyDescent="0.25">
      <c r="B4713" s="11"/>
    </row>
    <row r="4714" spans="2:2" x14ac:dyDescent="0.25">
      <c r="B4714" s="11"/>
    </row>
    <row r="4715" spans="2:2" x14ac:dyDescent="0.25">
      <c r="B4715" s="11"/>
    </row>
    <row r="4716" spans="2:2" x14ac:dyDescent="0.25">
      <c r="B4716" s="11"/>
    </row>
    <row r="4717" spans="2:2" x14ac:dyDescent="0.25">
      <c r="B4717" s="11"/>
    </row>
    <row r="4718" spans="2:2" x14ac:dyDescent="0.25">
      <c r="B4718" s="11"/>
    </row>
    <row r="4719" spans="2:2" x14ac:dyDescent="0.25">
      <c r="B4719" s="11"/>
    </row>
    <row r="4720" spans="2:2" x14ac:dyDescent="0.25">
      <c r="B4720" s="11"/>
    </row>
    <row r="4721" spans="2:2" x14ac:dyDescent="0.25">
      <c r="B4721" s="11"/>
    </row>
    <row r="4722" spans="2:2" x14ac:dyDescent="0.25">
      <c r="B4722" s="11"/>
    </row>
    <row r="4723" spans="2:2" x14ac:dyDescent="0.25">
      <c r="B4723" s="11"/>
    </row>
    <row r="4724" spans="2:2" x14ac:dyDescent="0.25">
      <c r="B4724" s="11"/>
    </row>
    <row r="4725" spans="2:2" x14ac:dyDescent="0.25">
      <c r="B4725" s="11"/>
    </row>
    <row r="4726" spans="2:2" x14ac:dyDescent="0.25">
      <c r="B4726" s="11"/>
    </row>
    <row r="4727" spans="2:2" x14ac:dyDescent="0.25">
      <c r="B4727" s="11"/>
    </row>
    <row r="4728" spans="2:2" x14ac:dyDescent="0.25">
      <c r="B4728" s="11"/>
    </row>
    <row r="4729" spans="2:2" x14ac:dyDescent="0.25">
      <c r="B4729" s="11"/>
    </row>
    <row r="4730" spans="2:2" x14ac:dyDescent="0.25">
      <c r="B4730" s="11"/>
    </row>
    <row r="4731" spans="2:2" x14ac:dyDescent="0.25">
      <c r="B4731" s="11"/>
    </row>
    <row r="4732" spans="2:2" x14ac:dyDescent="0.25">
      <c r="B4732" s="11"/>
    </row>
    <row r="4733" spans="2:2" x14ac:dyDescent="0.25">
      <c r="B4733" s="11"/>
    </row>
    <row r="4734" spans="2:2" x14ac:dyDescent="0.25">
      <c r="B4734" s="11"/>
    </row>
    <row r="4735" spans="2:2" x14ac:dyDescent="0.25">
      <c r="B4735" s="11"/>
    </row>
    <row r="4736" spans="2:2" x14ac:dyDescent="0.25">
      <c r="B4736" s="11"/>
    </row>
    <row r="4737" spans="2:2" x14ac:dyDescent="0.25">
      <c r="B4737" s="11"/>
    </row>
    <row r="4738" spans="2:2" x14ac:dyDescent="0.25">
      <c r="B4738" s="11"/>
    </row>
    <row r="4739" spans="2:2" x14ac:dyDescent="0.25">
      <c r="B4739" s="11"/>
    </row>
    <row r="4740" spans="2:2" x14ac:dyDescent="0.25">
      <c r="B4740" s="11"/>
    </row>
    <row r="4741" spans="2:2" x14ac:dyDescent="0.25">
      <c r="B4741" s="11"/>
    </row>
    <row r="4742" spans="2:2" x14ac:dyDescent="0.25">
      <c r="B4742" s="11"/>
    </row>
    <row r="4743" spans="2:2" x14ac:dyDescent="0.25">
      <c r="B4743" s="11"/>
    </row>
    <row r="4744" spans="2:2" x14ac:dyDescent="0.25">
      <c r="B4744" s="11"/>
    </row>
    <row r="4745" spans="2:2" x14ac:dyDescent="0.25">
      <c r="B4745" s="11"/>
    </row>
    <row r="4746" spans="2:2" x14ac:dyDescent="0.25">
      <c r="B4746" s="11"/>
    </row>
    <row r="4747" spans="2:2" x14ac:dyDescent="0.25">
      <c r="B4747" s="11"/>
    </row>
    <row r="4748" spans="2:2" x14ac:dyDescent="0.25">
      <c r="B4748" s="11"/>
    </row>
    <row r="4749" spans="2:2" x14ac:dyDescent="0.25">
      <c r="B4749" s="11"/>
    </row>
    <row r="4750" spans="2:2" x14ac:dyDescent="0.25">
      <c r="B4750" s="11"/>
    </row>
    <row r="4751" spans="2:2" x14ac:dyDescent="0.25">
      <c r="B4751" s="11"/>
    </row>
    <row r="4752" spans="2:2" x14ac:dyDescent="0.25">
      <c r="B4752" s="11"/>
    </row>
    <row r="4753" spans="2:2" x14ac:dyDescent="0.25">
      <c r="B4753" s="11"/>
    </row>
    <row r="4754" spans="2:2" x14ac:dyDescent="0.25">
      <c r="B4754" s="11"/>
    </row>
    <row r="4755" spans="2:2" x14ac:dyDescent="0.25">
      <c r="B4755" s="11"/>
    </row>
    <row r="4756" spans="2:2" x14ac:dyDescent="0.25">
      <c r="B4756" s="11"/>
    </row>
    <row r="4757" spans="2:2" x14ac:dyDescent="0.25">
      <c r="B4757" s="11"/>
    </row>
    <row r="4758" spans="2:2" x14ac:dyDescent="0.25">
      <c r="B4758" s="11"/>
    </row>
    <row r="4759" spans="2:2" x14ac:dyDescent="0.25">
      <c r="B4759" s="11"/>
    </row>
    <row r="4760" spans="2:2" x14ac:dyDescent="0.25">
      <c r="B4760" s="11"/>
    </row>
    <row r="4761" spans="2:2" x14ac:dyDescent="0.25">
      <c r="B4761" s="11"/>
    </row>
    <row r="4762" spans="2:2" x14ac:dyDescent="0.25">
      <c r="B4762" s="11"/>
    </row>
    <row r="4763" spans="2:2" x14ac:dyDescent="0.25">
      <c r="B4763" s="11"/>
    </row>
    <row r="4764" spans="2:2" x14ac:dyDescent="0.25">
      <c r="B4764" s="11"/>
    </row>
    <row r="4765" spans="2:2" x14ac:dyDescent="0.25">
      <c r="B4765" s="11"/>
    </row>
    <row r="4766" spans="2:2" x14ac:dyDescent="0.25">
      <c r="B4766" s="11"/>
    </row>
    <row r="4767" spans="2:2" x14ac:dyDescent="0.25">
      <c r="B4767" s="11"/>
    </row>
    <row r="4768" spans="2:2" x14ac:dyDescent="0.25">
      <c r="B4768" s="11"/>
    </row>
    <row r="4769" spans="2:2" x14ac:dyDescent="0.25">
      <c r="B4769" s="11"/>
    </row>
    <row r="4770" spans="2:2" x14ac:dyDescent="0.25">
      <c r="B4770" s="11"/>
    </row>
    <row r="4771" spans="2:2" x14ac:dyDescent="0.25">
      <c r="B4771" s="11"/>
    </row>
    <row r="4772" spans="2:2" x14ac:dyDescent="0.25">
      <c r="B4772" s="11"/>
    </row>
    <row r="4773" spans="2:2" x14ac:dyDescent="0.25">
      <c r="B4773" s="11"/>
    </row>
    <row r="4774" spans="2:2" x14ac:dyDescent="0.25">
      <c r="B4774" s="11"/>
    </row>
    <row r="4775" spans="2:2" x14ac:dyDescent="0.25">
      <c r="B4775" s="11"/>
    </row>
    <row r="4776" spans="2:2" x14ac:dyDescent="0.25">
      <c r="B4776" s="11"/>
    </row>
    <row r="4777" spans="2:2" x14ac:dyDescent="0.25">
      <c r="B4777" s="11"/>
    </row>
    <row r="4778" spans="2:2" x14ac:dyDescent="0.25">
      <c r="B4778" s="11"/>
    </row>
    <row r="4779" spans="2:2" x14ac:dyDescent="0.25">
      <c r="B4779" s="11"/>
    </row>
    <row r="4780" spans="2:2" x14ac:dyDescent="0.25">
      <c r="B4780" s="11"/>
    </row>
    <row r="4781" spans="2:2" x14ac:dyDescent="0.25">
      <c r="B4781" s="11"/>
    </row>
    <row r="4782" spans="2:2" x14ac:dyDescent="0.25">
      <c r="B4782" s="11"/>
    </row>
    <row r="4783" spans="2:2" x14ac:dyDescent="0.25">
      <c r="B4783" s="11"/>
    </row>
    <row r="4784" spans="2:2" x14ac:dyDescent="0.25">
      <c r="B4784" s="11"/>
    </row>
    <row r="4785" spans="2:2" x14ac:dyDescent="0.25">
      <c r="B4785" s="11"/>
    </row>
    <row r="4786" spans="2:2" x14ac:dyDescent="0.25">
      <c r="B4786" s="11"/>
    </row>
    <row r="4787" spans="2:2" x14ac:dyDescent="0.25">
      <c r="B4787" s="11"/>
    </row>
    <row r="4788" spans="2:2" x14ac:dyDescent="0.25">
      <c r="B4788" s="11"/>
    </row>
    <row r="4789" spans="2:2" x14ac:dyDescent="0.25">
      <c r="B4789" s="11"/>
    </row>
    <row r="4790" spans="2:2" x14ac:dyDescent="0.25">
      <c r="B4790" s="11"/>
    </row>
    <row r="4791" spans="2:2" x14ac:dyDescent="0.25">
      <c r="B4791" s="11"/>
    </row>
    <row r="4792" spans="2:2" x14ac:dyDescent="0.25">
      <c r="B4792" s="11"/>
    </row>
    <row r="4793" spans="2:2" x14ac:dyDescent="0.25">
      <c r="B4793" s="11"/>
    </row>
    <row r="4794" spans="2:2" x14ac:dyDescent="0.25">
      <c r="B4794" s="11"/>
    </row>
    <row r="4795" spans="2:2" x14ac:dyDescent="0.25">
      <c r="B4795" s="11"/>
    </row>
    <row r="4796" spans="2:2" x14ac:dyDescent="0.25">
      <c r="B4796" s="11"/>
    </row>
    <row r="4797" spans="2:2" x14ac:dyDescent="0.25">
      <c r="B4797" s="11"/>
    </row>
    <row r="4798" spans="2:2" x14ac:dyDescent="0.25">
      <c r="B4798" s="11"/>
    </row>
    <row r="4799" spans="2:2" x14ac:dyDescent="0.25">
      <c r="B4799" s="11"/>
    </row>
    <row r="4800" spans="2:2" x14ac:dyDescent="0.25">
      <c r="B4800" s="11"/>
    </row>
    <row r="4801" spans="2:2" x14ac:dyDescent="0.25">
      <c r="B4801" s="11"/>
    </row>
    <row r="4802" spans="2:2" x14ac:dyDescent="0.25">
      <c r="B4802" s="11"/>
    </row>
    <row r="4803" spans="2:2" x14ac:dyDescent="0.25">
      <c r="B4803" s="11"/>
    </row>
    <row r="4804" spans="2:2" x14ac:dyDescent="0.25">
      <c r="B4804" s="11"/>
    </row>
    <row r="4805" spans="2:2" x14ac:dyDescent="0.25">
      <c r="B4805" s="11"/>
    </row>
    <row r="4806" spans="2:2" x14ac:dyDescent="0.25">
      <c r="B4806" s="11"/>
    </row>
    <row r="4807" spans="2:2" x14ac:dyDescent="0.25">
      <c r="B4807" s="11"/>
    </row>
    <row r="4808" spans="2:2" x14ac:dyDescent="0.25">
      <c r="B4808" s="11"/>
    </row>
    <row r="4809" spans="2:2" x14ac:dyDescent="0.25">
      <c r="B4809" s="11"/>
    </row>
    <row r="4810" spans="2:2" x14ac:dyDescent="0.25">
      <c r="B4810" s="11"/>
    </row>
    <row r="4811" spans="2:2" x14ac:dyDescent="0.25">
      <c r="B4811" s="11"/>
    </row>
    <row r="4812" spans="2:2" x14ac:dyDescent="0.25">
      <c r="B4812" s="11"/>
    </row>
    <row r="4813" spans="2:2" x14ac:dyDescent="0.25">
      <c r="B4813" s="11"/>
    </row>
    <row r="4814" spans="2:2" x14ac:dyDescent="0.25">
      <c r="B4814" s="11"/>
    </row>
    <row r="4815" spans="2:2" x14ac:dyDescent="0.25">
      <c r="B4815" s="11"/>
    </row>
    <row r="4816" spans="2:2" x14ac:dyDescent="0.25">
      <c r="B4816" s="11"/>
    </row>
    <row r="4817" spans="2:2" x14ac:dyDescent="0.25">
      <c r="B4817" s="11"/>
    </row>
    <row r="4818" spans="2:2" x14ac:dyDescent="0.25">
      <c r="B4818" s="11"/>
    </row>
    <row r="4819" spans="2:2" x14ac:dyDescent="0.25">
      <c r="B4819" s="11"/>
    </row>
    <row r="4820" spans="2:2" x14ac:dyDescent="0.25">
      <c r="B4820" s="11"/>
    </row>
    <row r="4821" spans="2:2" x14ac:dyDescent="0.25">
      <c r="B4821" s="11"/>
    </row>
    <row r="4822" spans="2:2" x14ac:dyDescent="0.25">
      <c r="B4822" s="11"/>
    </row>
    <row r="4823" spans="2:2" x14ac:dyDescent="0.25">
      <c r="B4823" s="11"/>
    </row>
    <row r="4824" spans="2:2" x14ac:dyDescent="0.25">
      <c r="B4824" s="11"/>
    </row>
    <row r="4825" spans="2:2" x14ac:dyDescent="0.25">
      <c r="B4825" s="11"/>
    </row>
    <row r="4826" spans="2:2" x14ac:dyDescent="0.25">
      <c r="B4826" s="11"/>
    </row>
    <row r="4827" spans="2:2" x14ac:dyDescent="0.25">
      <c r="B4827" s="11"/>
    </row>
    <row r="4828" spans="2:2" x14ac:dyDescent="0.25">
      <c r="B4828" s="11"/>
    </row>
    <row r="4829" spans="2:2" x14ac:dyDescent="0.25">
      <c r="B4829" s="11"/>
    </row>
    <row r="4830" spans="2:2" x14ac:dyDescent="0.25">
      <c r="B4830" s="11"/>
    </row>
    <row r="4831" spans="2:2" x14ac:dyDescent="0.25">
      <c r="B4831" s="11"/>
    </row>
    <row r="4832" spans="2:2" x14ac:dyDescent="0.25">
      <c r="B4832" s="11"/>
    </row>
    <row r="4833" spans="2:2" x14ac:dyDescent="0.25">
      <c r="B4833" s="11"/>
    </row>
    <row r="4834" spans="2:2" x14ac:dyDescent="0.25">
      <c r="B4834" s="11"/>
    </row>
    <row r="4835" spans="2:2" x14ac:dyDescent="0.25">
      <c r="B4835" s="11"/>
    </row>
    <row r="4836" spans="2:2" x14ac:dyDescent="0.25">
      <c r="B4836" s="11"/>
    </row>
    <row r="4837" spans="2:2" x14ac:dyDescent="0.25">
      <c r="B4837" s="11"/>
    </row>
    <row r="4838" spans="2:2" x14ac:dyDescent="0.25">
      <c r="B4838" s="11"/>
    </row>
    <row r="4839" spans="2:2" x14ac:dyDescent="0.25">
      <c r="B4839" s="11"/>
    </row>
    <row r="4840" spans="2:2" x14ac:dyDescent="0.25">
      <c r="B4840" s="11"/>
    </row>
    <row r="4841" spans="2:2" x14ac:dyDescent="0.25">
      <c r="B4841" s="11"/>
    </row>
    <row r="4842" spans="2:2" x14ac:dyDescent="0.25">
      <c r="B4842" s="11"/>
    </row>
    <row r="4843" spans="2:2" x14ac:dyDescent="0.25">
      <c r="B4843" s="11"/>
    </row>
    <row r="4844" spans="2:2" x14ac:dyDescent="0.25">
      <c r="B4844" s="11"/>
    </row>
    <row r="4845" spans="2:2" x14ac:dyDescent="0.25">
      <c r="B4845" s="11"/>
    </row>
    <row r="4846" spans="2:2" x14ac:dyDescent="0.25">
      <c r="B4846" s="11"/>
    </row>
    <row r="4847" spans="2:2" x14ac:dyDescent="0.25">
      <c r="B4847" s="11"/>
    </row>
    <row r="4848" spans="2:2" x14ac:dyDescent="0.25">
      <c r="B4848" s="11"/>
    </row>
    <row r="4849" spans="2:2" x14ac:dyDescent="0.25">
      <c r="B4849" s="11"/>
    </row>
    <row r="4850" spans="2:2" x14ac:dyDescent="0.25">
      <c r="B4850" s="11"/>
    </row>
    <row r="4851" spans="2:2" x14ac:dyDescent="0.25">
      <c r="B4851" s="11"/>
    </row>
    <row r="4852" spans="2:2" x14ac:dyDescent="0.25">
      <c r="B4852" s="11"/>
    </row>
    <row r="4853" spans="2:2" x14ac:dyDescent="0.25">
      <c r="B4853" s="11"/>
    </row>
    <row r="4854" spans="2:2" x14ac:dyDescent="0.25">
      <c r="B4854" s="11"/>
    </row>
    <row r="4855" spans="2:2" x14ac:dyDescent="0.25">
      <c r="B4855" s="11"/>
    </row>
    <row r="4856" spans="2:2" x14ac:dyDescent="0.25">
      <c r="B4856" s="11"/>
    </row>
    <row r="4857" spans="2:2" x14ac:dyDescent="0.25">
      <c r="B4857" s="11"/>
    </row>
    <row r="4858" spans="2:2" x14ac:dyDescent="0.25">
      <c r="B4858" s="11"/>
    </row>
    <row r="4859" spans="2:2" x14ac:dyDescent="0.25">
      <c r="B4859" s="11"/>
    </row>
    <row r="4860" spans="2:2" x14ac:dyDescent="0.25">
      <c r="B4860" s="11"/>
    </row>
    <row r="4861" spans="2:2" x14ac:dyDescent="0.25">
      <c r="B4861" s="11"/>
    </row>
    <row r="4862" spans="2:2" x14ac:dyDescent="0.25">
      <c r="B4862" s="11"/>
    </row>
    <row r="4863" spans="2:2" x14ac:dyDescent="0.25">
      <c r="B4863" s="11"/>
    </row>
    <row r="4864" spans="2:2" x14ac:dyDescent="0.25">
      <c r="B4864" s="11"/>
    </row>
    <row r="4865" spans="2:2" x14ac:dyDescent="0.25">
      <c r="B4865" s="11"/>
    </row>
    <row r="4866" spans="2:2" x14ac:dyDescent="0.25">
      <c r="B4866" s="11"/>
    </row>
    <row r="4867" spans="2:2" x14ac:dyDescent="0.25">
      <c r="B4867" s="11"/>
    </row>
    <row r="4868" spans="2:2" x14ac:dyDescent="0.25">
      <c r="B4868" s="11"/>
    </row>
    <row r="4869" spans="2:2" x14ac:dyDescent="0.25">
      <c r="B4869" s="11"/>
    </row>
    <row r="4870" spans="2:2" x14ac:dyDescent="0.25">
      <c r="B4870" s="11"/>
    </row>
    <row r="4871" spans="2:2" x14ac:dyDescent="0.25">
      <c r="B4871" s="11"/>
    </row>
    <row r="4872" spans="2:2" x14ac:dyDescent="0.25">
      <c r="B4872" s="11"/>
    </row>
    <row r="4873" spans="2:2" x14ac:dyDescent="0.25">
      <c r="B4873" s="11"/>
    </row>
    <row r="4874" spans="2:2" x14ac:dyDescent="0.25">
      <c r="B4874" s="11"/>
    </row>
    <row r="4875" spans="2:2" x14ac:dyDescent="0.25">
      <c r="B4875" s="11"/>
    </row>
    <row r="4876" spans="2:2" x14ac:dyDescent="0.25">
      <c r="B4876" s="11"/>
    </row>
    <row r="4877" spans="2:2" x14ac:dyDescent="0.25">
      <c r="B4877" s="11"/>
    </row>
    <row r="4878" spans="2:2" x14ac:dyDescent="0.25">
      <c r="B4878" s="11"/>
    </row>
    <row r="4879" spans="2:2" x14ac:dyDescent="0.25">
      <c r="B4879" s="11"/>
    </row>
    <row r="4880" spans="2:2" x14ac:dyDescent="0.25">
      <c r="B4880" s="11"/>
    </row>
    <row r="4881" spans="2:2" x14ac:dyDescent="0.25">
      <c r="B4881" s="11"/>
    </row>
    <row r="4882" spans="2:2" x14ac:dyDescent="0.25">
      <c r="B4882" s="11"/>
    </row>
    <row r="4883" spans="2:2" x14ac:dyDescent="0.25">
      <c r="B4883" s="11"/>
    </row>
    <row r="4884" spans="2:2" x14ac:dyDescent="0.25">
      <c r="B4884" s="11"/>
    </row>
    <row r="4885" spans="2:2" x14ac:dyDescent="0.25">
      <c r="B4885" s="11"/>
    </row>
    <row r="4886" spans="2:2" x14ac:dyDescent="0.25">
      <c r="B4886" s="11"/>
    </row>
    <row r="4887" spans="2:2" x14ac:dyDescent="0.25">
      <c r="B4887" s="11"/>
    </row>
    <row r="4888" spans="2:2" x14ac:dyDescent="0.25">
      <c r="B4888" s="11"/>
    </row>
    <row r="4889" spans="2:2" x14ac:dyDescent="0.25">
      <c r="B4889" s="11"/>
    </row>
    <row r="4890" spans="2:2" x14ac:dyDescent="0.25">
      <c r="B4890" s="11"/>
    </row>
    <row r="4891" spans="2:2" x14ac:dyDescent="0.25">
      <c r="B4891" s="11"/>
    </row>
    <row r="4892" spans="2:2" x14ac:dyDescent="0.25">
      <c r="B4892" s="11"/>
    </row>
    <row r="4893" spans="2:2" x14ac:dyDescent="0.25">
      <c r="B4893" s="11"/>
    </row>
    <row r="4894" spans="2:2" x14ac:dyDescent="0.25">
      <c r="B4894" s="11"/>
    </row>
    <row r="4895" spans="2:2" x14ac:dyDescent="0.25">
      <c r="B4895" s="11"/>
    </row>
    <row r="4896" spans="2:2" x14ac:dyDescent="0.25">
      <c r="B4896" s="11"/>
    </row>
    <row r="4897" spans="2:2" x14ac:dyDescent="0.25">
      <c r="B4897" s="11"/>
    </row>
    <row r="4898" spans="2:2" x14ac:dyDescent="0.25">
      <c r="B4898" s="11"/>
    </row>
    <row r="4899" spans="2:2" x14ac:dyDescent="0.25">
      <c r="B4899" s="11"/>
    </row>
    <row r="4900" spans="2:2" x14ac:dyDescent="0.25">
      <c r="B4900" s="11"/>
    </row>
    <row r="4901" spans="2:2" x14ac:dyDescent="0.25">
      <c r="B4901" s="11"/>
    </row>
    <row r="4902" spans="2:2" x14ac:dyDescent="0.25">
      <c r="B4902" s="11"/>
    </row>
    <row r="4903" spans="2:2" x14ac:dyDescent="0.25">
      <c r="B4903" s="11"/>
    </row>
    <row r="4904" spans="2:2" x14ac:dyDescent="0.25">
      <c r="B4904" s="11"/>
    </row>
    <row r="4905" spans="2:2" x14ac:dyDescent="0.25">
      <c r="B4905" s="11"/>
    </row>
    <row r="4906" spans="2:2" x14ac:dyDescent="0.25">
      <c r="B4906" s="11"/>
    </row>
    <row r="4907" spans="2:2" x14ac:dyDescent="0.25">
      <c r="B4907" s="11"/>
    </row>
    <row r="4908" spans="2:2" x14ac:dyDescent="0.25">
      <c r="B4908" s="11"/>
    </row>
    <row r="4909" spans="2:2" x14ac:dyDescent="0.25">
      <c r="B4909" s="11"/>
    </row>
    <row r="4910" spans="2:2" x14ac:dyDescent="0.25">
      <c r="B4910" s="11"/>
    </row>
    <row r="4911" spans="2:2" x14ac:dyDescent="0.25">
      <c r="B4911" s="11"/>
    </row>
    <row r="4912" spans="2:2" x14ac:dyDescent="0.25">
      <c r="B4912" s="11"/>
    </row>
    <row r="4913" spans="2:2" x14ac:dyDescent="0.25">
      <c r="B4913" s="11"/>
    </row>
    <row r="4914" spans="2:2" x14ac:dyDescent="0.25">
      <c r="B4914" s="11"/>
    </row>
    <row r="4915" spans="2:2" x14ac:dyDescent="0.25">
      <c r="B4915" s="11"/>
    </row>
    <row r="4916" spans="2:2" x14ac:dyDescent="0.25">
      <c r="B4916" s="11"/>
    </row>
    <row r="4917" spans="2:2" x14ac:dyDescent="0.25">
      <c r="B4917" s="11"/>
    </row>
    <row r="4918" spans="2:2" x14ac:dyDescent="0.25">
      <c r="B4918" s="11"/>
    </row>
    <row r="4919" spans="2:2" x14ac:dyDescent="0.25">
      <c r="B4919" s="11"/>
    </row>
    <row r="4920" spans="2:2" x14ac:dyDescent="0.25">
      <c r="B4920" s="11"/>
    </row>
    <row r="4921" spans="2:2" x14ac:dyDescent="0.25">
      <c r="B4921" s="11"/>
    </row>
    <row r="4922" spans="2:2" x14ac:dyDescent="0.25">
      <c r="B4922" s="11"/>
    </row>
    <row r="4923" spans="2:2" x14ac:dyDescent="0.25">
      <c r="B4923" s="11"/>
    </row>
    <row r="4924" spans="2:2" x14ac:dyDescent="0.25">
      <c r="B4924" s="11"/>
    </row>
    <row r="4925" spans="2:2" x14ac:dyDescent="0.25">
      <c r="B4925" s="11"/>
    </row>
    <row r="4926" spans="2:2" x14ac:dyDescent="0.25">
      <c r="B4926" s="11"/>
    </row>
    <row r="4927" spans="2:2" x14ac:dyDescent="0.25">
      <c r="B4927" s="11"/>
    </row>
    <row r="4928" spans="2:2" x14ac:dyDescent="0.25">
      <c r="B4928" s="11"/>
    </row>
    <row r="4929" spans="2:2" x14ac:dyDescent="0.25">
      <c r="B4929" s="11"/>
    </row>
    <row r="4930" spans="2:2" x14ac:dyDescent="0.25">
      <c r="B4930" s="11"/>
    </row>
    <row r="4931" spans="2:2" x14ac:dyDescent="0.25">
      <c r="B4931" s="11"/>
    </row>
    <row r="4932" spans="2:2" x14ac:dyDescent="0.25">
      <c r="B4932" s="11"/>
    </row>
    <row r="4933" spans="2:2" x14ac:dyDescent="0.25">
      <c r="B4933" s="11"/>
    </row>
    <row r="4934" spans="2:2" x14ac:dyDescent="0.25">
      <c r="B4934" s="11"/>
    </row>
    <row r="4935" spans="2:2" x14ac:dyDescent="0.25">
      <c r="B4935" s="11"/>
    </row>
    <row r="4936" spans="2:2" x14ac:dyDescent="0.25">
      <c r="B4936" s="11"/>
    </row>
    <row r="4937" spans="2:2" x14ac:dyDescent="0.25">
      <c r="B4937" s="11"/>
    </row>
    <row r="4938" spans="2:2" x14ac:dyDescent="0.25">
      <c r="B4938" s="11"/>
    </row>
    <row r="4939" spans="2:2" x14ac:dyDescent="0.25">
      <c r="B4939" s="11"/>
    </row>
    <row r="4940" spans="2:2" x14ac:dyDescent="0.25">
      <c r="B4940" s="11"/>
    </row>
    <row r="4941" spans="2:2" x14ac:dyDescent="0.25">
      <c r="B4941" s="11"/>
    </row>
    <row r="4942" spans="2:2" x14ac:dyDescent="0.25">
      <c r="B4942" s="11"/>
    </row>
    <row r="4943" spans="2:2" x14ac:dyDescent="0.25">
      <c r="B4943" s="11"/>
    </row>
    <row r="4944" spans="2:2" x14ac:dyDescent="0.25">
      <c r="B4944" s="11"/>
    </row>
    <row r="4945" spans="2:2" x14ac:dyDescent="0.25">
      <c r="B4945" s="11"/>
    </row>
    <row r="4946" spans="2:2" x14ac:dyDescent="0.25">
      <c r="B4946" s="11"/>
    </row>
    <row r="4947" spans="2:2" x14ac:dyDescent="0.25">
      <c r="B4947" s="11"/>
    </row>
    <row r="4948" spans="2:2" x14ac:dyDescent="0.25">
      <c r="B4948" s="11"/>
    </row>
    <row r="4949" spans="2:2" x14ac:dyDescent="0.25">
      <c r="B4949" s="11"/>
    </row>
    <row r="4950" spans="2:2" x14ac:dyDescent="0.25">
      <c r="B4950" s="11"/>
    </row>
    <row r="4951" spans="2:2" x14ac:dyDescent="0.25">
      <c r="B4951" s="11"/>
    </row>
    <row r="4952" spans="2:2" x14ac:dyDescent="0.25">
      <c r="B4952" s="11"/>
    </row>
    <row r="4953" spans="2:2" x14ac:dyDescent="0.25">
      <c r="B4953" s="11"/>
    </row>
    <row r="4954" spans="2:2" x14ac:dyDescent="0.25">
      <c r="B4954" s="11"/>
    </row>
    <row r="4955" spans="2:2" x14ac:dyDescent="0.25">
      <c r="B4955" s="11"/>
    </row>
    <row r="4956" spans="2:2" x14ac:dyDescent="0.25">
      <c r="B4956" s="11"/>
    </row>
    <row r="4957" spans="2:2" x14ac:dyDescent="0.25">
      <c r="B4957" s="11"/>
    </row>
    <row r="4958" spans="2:2" x14ac:dyDescent="0.25">
      <c r="B4958" s="11"/>
    </row>
    <row r="4959" spans="2:2" x14ac:dyDescent="0.25">
      <c r="B4959" s="11"/>
    </row>
    <row r="4960" spans="2:2" x14ac:dyDescent="0.25">
      <c r="B4960" s="11"/>
    </row>
    <row r="4961" spans="2:2" x14ac:dyDescent="0.25">
      <c r="B4961" s="11"/>
    </row>
    <row r="4962" spans="2:2" x14ac:dyDescent="0.25">
      <c r="B4962" s="11"/>
    </row>
    <row r="4963" spans="2:2" x14ac:dyDescent="0.25">
      <c r="B4963" s="11"/>
    </row>
    <row r="4964" spans="2:2" x14ac:dyDescent="0.25">
      <c r="B4964" s="11"/>
    </row>
    <row r="4965" spans="2:2" x14ac:dyDescent="0.25">
      <c r="B4965" s="11"/>
    </row>
    <row r="4966" spans="2:2" x14ac:dyDescent="0.25">
      <c r="B4966" s="11"/>
    </row>
    <row r="4967" spans="2:2" x14ac:dyDescent="0.25">
      <c r="B4967" s="11"/>
    </row>
    <row r="4968" spans="2:2" x14ac:dyDescent="0.25">
      <c r="B4968" s="11"/>
    </row>
    <row r="4969" spans="2:2" x14ac:dyDescent="0.25">
      <c r="B4969" s="11"/>
    </row>
    <row r="4970" spans="2:2" x14ac:dyDescent="0.25">
      <c r="B4970" s="11"/>
    </row>
    <row r="4971" spans="2:2" x14ac:dyDescent="0.25">
      <c r="B4971" s="11"/>
    </row>
    <row r="4972" spans="2:2" x14ac:dyDescent="0.25">
      <c r="B4972" s="11"/>
    </row>
    <row r="4973" spans="2:2" x14ac:dyDescent="0.25">
      <c r="B4973" s="11"/>
    </row>
    <row r="4974" spans="2:2" x14ac:dyDescent="0.25">
      <c r="B4974" s="11"/>
    </row>
    <row r="4975" spans="2:2" x14ac:dyDescent="0.25">
      <c r="B4975" s="11"/>
    </row>
    <row r="4976" spans="2:2" x14ac:dyDescent="0.25">
      <c r="B4976" s="11"/>
    </row>
    <row r="4977" spans="2:2" x14ac:dyDescent="0.25">
      <c r="B4977" s="11"/>
    </row>
    <row r="4978" spans="2:2" x14ac:dyDescent="0.25">
      <c r="B4978" s="11"/>
    </row>
    <row r="4979" spans="2:2" x14ac:dyDescent="0.25">
      <c r="B4979" s="11"/>
    </row>
    <row r="4980" spans="2:2" x14ac:dyDescent="0.25">
      <c r="B4980" s="11"/>
    </row>
    <row r="4981" spans="2:2" x14ac:dyDescent="0.25">
      <c r="B4981" s="11"/>
    </row>
    <row r="4982" spans="2:2" x14ac:dyDescent="0.25">
      <c r="B4982" s="11"/>
    </row>
    <row r="4983" spans="2:2" x14ac:dyDescent="0.25">
      <c r="B4983" s="11"/>
    </row>
    <row r="4984" spans="2:2" x14ac:dyDescent="0.25">
      <c r="B4984" s="11"/>
    </row>
    <row r="4985" spans="2:2" x14ac:dyDescent="0.25">
      <c r="B4985" s="11"/>
    </row>
    <row r="4986" spans="2:2" x14ac:dyDescent="0.25">
      <c r="B4986" s="11"/>
    </row>
    <row r="4987" spans="2:2" x14ac:dyDescent="0.25">
      <c r="B4987" s="11"/>
    </row>
    <row r="4988" spans="2:2" x14ac:dyDescent="0.25">
      <c r="B4988" s="11"/>
    </row>
    <row r="4989" spans="2:2" x14ac:dyDescent="0.25">
      <c r="B4989" s="11"/>
    </row>
    <row r="4990" spans="2:2" x14ac:dyDescent="0.25">
      <c r="B4990" s="11"/>
    </row>
    <row r="4991" spans="2:2" x14ac:dyDescent="0.25">
      <c r="B4991" s="11"/>
    </row>
    <row r="4992" spans="2:2" x14ac:dyDescent="0.25">
      <c r="B4992" s="11"/>
    </row>
    <row r="4993" spans="2:2" x14ac:dyDescent="0.25">
      <c r="B4993" s="11"/>
    </row>
    <row r="4994" spans="2:2" x14ac:dyDescent="0.25">
      <c r="B4994" s="11"/>
    </row>
    <row r="4995" spans="2:2" x14ac:dyDescent="0.25">
      <c r="B4995" s="11"/>
    </row>
    <row r="4996" spans="2:2" x14ac:dyDescent="0.25">
      <c r="B4996" s="11"/>
    </row>
    <row r="4997" spans="2:2" x14ac:dyDescent="0.25">
      <c r="B4997" s="11"/>
    </row>
    <row r="4998" spans="2:2" x14ac:dyDescent="0.25">
      <c r="B4998" s="11"/>
    </row>
    <row r="4999" spans="2:2" x14ac:dyDescent="0.25">
      <c r="B4999" s="11"/>
    </row>
    <row r="5000" spans="2:2" x14ac:dyDescent="0.25">
      <c r="B5000" s="11"/>
    </row>
    <row r="5001" spans="2:2" x14ac:dyDescent="0.25">
      <c r="B5001" s="11"/>
    </row>
    <row r="5002" spans="2:2" x14ac:dyDescent="0.25">
      <c r="B5002" s="11"/>
    </row>
    <row r="5003" spans="2:2" x14ac:dyDescent="0.25">
      <c r="B5003" s="11"/>
    </row>
    <row r="5004" spans="2:2" x14ac:dyDescent="0.25">
      <c r="B5004" s="11"/>
    </row>
    <row r="5005" spans="2:2" x14ac:dyDescent="0.25">
      <c r="B5005" s="11"/>
    </row>
    <row r="5006" spans="2:2" x14ac:dyDescent="0.25">
      <c r="B5006" s="11"/>
    </row>
    <row r="5007" spans="2:2" x14ac:dyDescent="0.25">
      <c r="B5007" s="11"/>
    </row>
    <row r="5008" spans="2:2" x14ac:dyDescent="0.25">
      <c r="B5008" s="11"/>
    </row>
    <row r="5009" spans="2:2" x14ac:dyDescent="0.25">
      <c r="B5009" s="11"/>
    </row>
    <row r="5010" spans="2:2" x14ac:dyDescent="0.25">
      <c r="B5010" s="11"/>
    </row>
    <row r="5011" spans="2:2" x14ac:dyDescent="0.25">
      <c r="B5011" s="11"/>
    </row>
    <row r="5012" spans="2:2" x14ac:dyDescent="0.25">
      <c r="B5012" s="11"/>
    </row>
    <row r="5013" spans="2:2" x14ac:dyDescent="0.25">
      <c r="B5013" s="11"/>
    </row>
    <row r="5014" spans="2:2" x14ac:dyDescent="0.25">
      <c r="B5014" s="11"/>
    </row>
    <row r="5015" spans="2:2" x14ac:dyDescent="0.25">
      <c r="B5015" s="11"/>
    </row>
    <row r="5016" spans="2:2" x14ac:dyDescent="0.25">
      <c r="B5016" s="11"/>
    </row>
    <row r="5017" spans="2:2" x14ac:dyDescent="0.25">
      <c r="B5017" s="11"/>
    </row>
    <row r="5018" spans="2:2" x14ac:dyDescent="0.25">
      <c r="B5018" s="11"/>
    </row>
    <row r="5019" spans="2:2" x14ac:dyDescent="0.25">
      <c r="B5019" s="11"/>
    </row>
    <row r="5020" spans="2:2" x14ac:dyDescent="0.25">
      <c r="B5020" s="11"/>
    </row>
    <row r="5021" spans="2:2" x14ac:dyDescent="0.25">
      <c r="B5021" s="11"/>
    </row>
    <row r="5022" spans="2:2" x14ac:dyDescent="0.25">
      <c r="B5022" s="11"/>
    </row>
    <row r="5023" spans="2:2" x14ac:dyDescent="0.25">
      <c r="B5023" s="11"/>
    </row>
    <row r="5024" spans="2:2" x14ac:dyDescent="0.25">
      <c r="B5024" s="11"/>
    </row>
    <row r="5025" spans="2:2" x14ac:dyDescent="0.25">
      <c r="B5025" s="11"/>
    </row>
    <row r="5026" spans="2:2" x14ac:dyDescent="0.25">
      <c r="B5026" s="11"/>
    </row>
    <row r="5027" spans="2:2" x14ac:dyDescent="0.25">
      <c r="B5027" s="11"/>
    </row>
    <row r="5028" spans="2:2" x14ac:dyDescent="0.25">
      <c r="B5028" s="11"/>
    </row>
    <row r="5029" spans="2:2" x14ac:dyDescent="0.25">
      <c r="B5029" s="11"/>
    </row>
    <row r="5030" spans="2:2" x14ac:dyDescent="0.25">
      <c r="B5030" s="11"/>
    </row>
    <row r="5031" spans="2:2" x14ac:dyDescent="0.25">
      <c r="B5031" s="11"/>
    </row>
    <row r="5032" spans="2:2" x14ac:dyDescent="0.25">
      <c r="B5032" s="11"/>
    </row>
    <row r="5033" spans="2:2" x14ac:dyDescent="0.25">
      <c r="B5033" s="11"/>
    </row>
    <row r="5034" spans="2:2" x14ac:dyDescent="0.25">
      <c r="B5034" s="11"/>
    </row>
    <row r="5035" spans="2:2" x14ac:dyDescent="0.25">
      <c r="B5035" s="11"/>
    </row>
    <row r="5036" spans="2:2" x14ac:dyDescent="0.25">
      <c r="B5036" s="11"/>
    </row>
    <row r="5037" spans="2:2" x14ac:dyDescent="0.25">
      <c r="B5037" s="11"/>
    </row>
    <row r="5038" spans="2:2" x14ac:dyDescent="0.25">
      <c r="B5038" s="11"/>
    </row>
    <row r="5039" spans="2:2" x14ac:dyDescent="0.25">
      <c r="B5039" s="11"/>
    </row>
    <row r="5040" spans="2:2" x14ac:dyDescent="0.25">
      <c r="B5040" s="11"/>
    </row>
    <row r="5041" spans="2:2" x14ac:dyDescent="0.25">
      <c r="B5041" s="11"/>
    </row>
    <row r="5042" spans="2:2" x14ac:dyDescent="0.25">
      <c r="B5042" s="11"/>
    </row>
    <row r="5043" spans="2:2" x14ac:dyDescent="0.25">
      <c r="B5043" s="11"/>
    </row>
    <row r="5044" spans="2:2" x14ac:dyDescent="0.25">
      <c r="B5044" s="11"/>
    </row>
    <row r="5045" spans="2:2" x14ac:dyDescent="0.25">
      <c r="B5045" s="11"/>
    </row>
    <row r="5046" spans="2:2" x14ac:dyDescent="0.25">
      <c r="B5046" s="11"/>
    </row>
    <row r="5047" spans="2:2" x14ac:dyDescent="0.25">
      <c r="B5047" s="11"/>
    </row>
    <row r="5048" spans="2:2" x14ac:dyDescent="0.25">
      <c r="B5048" s="11"/>
    </row>
    <row r="5049" spans="2:2" x14ac:dyDescent="0.25">
      <c r="B5049" s="11"/>
    </row>
    <row r="5050" spans="2:2" x14ac:dyDescent="0.25">
      <c r="B5050" s="11"/>
    </row>
    <row r="5051" spans="2:2" x14ac:dyDescent="0.25">
      <c r="B5051" s="11"/>
    </row>
    <row r="5052" spans="2:2" x14ac:dyDescent="0.25">
      <c r="B5052" s="11"/>
    </row>
    <row r="5053" spans="2:2" x14ac:dyDescent="0.25">
      <c r="B5053" s="11"/>
    </row>
    <row r="5054" spans="2:2" x14ac:dyDescent="0.25">
      <c r="B5054" s="11"/>
    </row>
    <row r="5055" spans="2:2" x14ac:dyDescent="0.25">
      <c r="B5055" s="11"/>
    </row>
    <row r="5056" spans="2:2" x14ac:dyDescent="0.25">
      <c r="B5056" s="11"/>
    </row>
    <row r="5057" spans="2:2" x14ac:dyDescent="0.25">
      <c r="B5057" s="11"/>
    </row>
    <row r="5058" spans="2:2" x14ac:dyDescent="0.25">
      <c r="B5058" s="11"/>
    </row>
    <row r="5059" spans="2:2" x14ac:dyDescent="0.25">
      <c r="B5059" s="11"/>
    </row>
    <row r="5060" spans="2:2" x14ac:dyDescent="0.25">
      <c r="B5060" s="11"/>
    </row>
    <row r="5061" spans="2:2" x14ac:dyDescent="0.25">
      <c r="B5061" s="11"/>
    </row>
    <row r="5062" spans="2:2" x14ac:dyDescent="0.25">
      <c r="B5062" s="11"/>
    </row>
    <row r="5063" spans="2:2" x14ac:dyDescent="0.25">
      <c r="B5063" s="11"/>
    </row>
    <row r="5064" spans="2:2" x14ac:dyDescent="0.25">
      <c r="B5064" s="11"/>
    </row>
    <row r="5065" spans="2:2" x14ac:dyDescent="0.25">
      <c r="B5065" s="11"/>
    </row>
    <row r="5066" spans="2:2" x14ac:dyDescent="0.25">
      <c r="B5066" s="11"/>
    </row>
    <row r="5067" spans="2:2" x14ac:dyDescent="0.25">
      <c r="B5067" s="11"/>
    </row>
    <row r="5068" spans="2:2" x14ac:dyDescent="0.25">
      <c r="B5068" s="11"/>
    </row>
    <row r="5069" spans="2:2" x14ac:dyDescent="0.25">
      <c r="B5069" s="11"/>
    </row>
    <row r="5070" spans="2:2" x14ac:dyDescent="0.25">
      <c r="B5070" s="11"/>
    </row>
    <row r="5071" spans="2:2" x14ac:dyDescent="0.25">
      <c r="B5071" s="11"/>
    </row>
    <row r="5072" spans="2:2" x14ac:dyDescent="0.25">
      <c r="B5072" s="11"/>
    </row>
    <row r="5073" spans="2:2" x14ac:dyDescent="0.25">
      <c r="B5073" s="11"/>
    </row>
    <row r="5074" spans="2:2" x14ac:dyDescent="0.25">
      <c r="B5074" s="11"/>
    </row>
    <row r="5075" spans="2:2" x14ac:dyDescent="0.25">
      <c r="B5075" s="11"/>
    </row>
    <row r="5076" spans="2:2" x14ac:dyDescent="0.25">
      <c r="B5076" s="11"/>
    </row>
    <row r="5077" spans="2:2" x14ac:dyDescent="0.25">
      <c r="B5077" s="11"/>
    </row>
    <row r="5078" spans="2:2" x14ac:dyDescent="0.25">
      <c r="B5078" s="11"/>
    </row>
    <row r="5079" spans="2:2" x14ac:dyDescent="0.25">
      <c r="B5079" s="11"/>
    </row>
    <row r="5080" spans="2:2" x14ac:dyDescent="0.25">
      <c r="B5080" s="11"/>
    </row>
    <row r="5081" spans="2:2" x14ac:dyDescent="0.25">
      <c r="B5081" s="11"/>
    </row>
    <row r="5082" spans="2:2" x14ac:dyDescent="0.25">
      <c r="B5082" s="11"/>
    </row>
    <row r="5083" spans="2:2" x14ac:dyDescent="0.25">
      <c r="B5083" s="11"/>
    </row>
    <row r="5084" spans="2:2" x14ac:dyDescent="0.25">
      <c r="B5084" s="11"/>
    </row>
    <row r="5085" spans="2:2" x14ac:dyDescent="0.25">
      <c r="B5085" s="11"/>
    </row>
    <row r="5086" spans="2:2" x14ac:dyDescent="0.25">
      <c r="B5086" s="11"/>
    </row>
    <row r="5087" spans="2:2" x14ac:dyDescent="0.25">
      <c r="B5087" s="11"/>
    </row>
    <row r="5088" spans="2:2" x14ac:dyDescent="0.25">
      <c r="B5088" s="11"/>
    </row>
    <row r="5089" spans="2:2" x14ac:dyDescent="0.25">
      <c r="B5089" s="11"/>
    </row>
    <row r="5090" spans="2:2" x14ac:dyDescent="0.25">
      <c r="B5090" s="11"/>
    </row>
    <row r="5091" spans="2:2" x14ac:dyDescent="0.25">
      <c r="B5091" s="11"/>
    </row>
    <row r="5092" spans="2:2" x14ac:dyDescent="0.25">
      <c r="B5092" s="11"/>
    </row>
    <row r="5093" spans="2:2" x14ac:dyDescent="0.25">
      <c r="B5093" s="11"/>
    </row>
    <row r="5094" spans="2:2" x14ac:dyDescent="0.25">
      <c r="B5094" s="11"/>
    </row>
    <row r="5095" spans="2:2" x14ac:dyDescent="0.25">
      <c r="B5095" s="11"/>
    </row>
    <row r="5096" spans="2:2" x14ac:dyDescent="0.25">
      <c r="B5096" s="11"/>
    </row>
    <row r="5097" spans="2:2" x14ac:dyDescent="0.25">
      <c r="B5097" s="11"/>
    </row>
    <row r="5098" spans="2:2" x14ac:dyDescent="0.25">
      <c r="B5098" s="11"/>
    </row>
    <row r="5099" spans="2:2" x14ac:dyDescent="0.25">
      <c r="B5099" s="11"/>
    </row>
    <row r="5100" spans="2:2" x14ac:dyDescent="0.25">
      <c r="B5100" s="11"/>
    </row>
    <row r="5101" spans="2:2" x14ac:dyDescent="0.25">
      <c r="B5101" s="11"/>
    </row>
    <row r="5102" spans="2:2" x14ac:dyDescent="0.25">
      <c r="B5102" s="11"/>
    </row>
    <row r="5103" spans="2:2" x14ac:dyDescent="0.25">
      <c r="B5103" s="11"/>
    </row>
    <row r="5104" spans="2:2" x14ac:dyDescent="0.25">
      <c r="B5104" s="11"/>
    </row>
    <row r="5105" spans="2:2" x14ac:dyDescent="0.25">
      <c r="B5105" s="11"/>
    </row>
    <row r="5106" spans="2:2" x14ac:dyDescent="0.25">
      <c r="B5106" s="11"/>
    </row>
    <row r="5107" spans="2:2" x14ac:dyDescent="0.25">
      <c r="B5107" s="11"/>
    </row>
    <row r="5108" spans="2:2" x14ac:dyDescent="0.25">
      <c r="B5108" s="11"/>
    </row>
    <row r="5109" spans="2:2" x14ac:dyDescent="0.25">
      <c r="B5109" s="11"/>
    </row>
    <row r="5110" spans="2:2" x14ac:dyDescent="0.25">
      <c r="B5110" s="11"/>
    </row>
    <row r="5111" spans="2:2" x14ac:dyDescent="0.25">
      <c r="B5111" s="11"/>
    </row>
    <row r="5112" spans="2:2" x14ac:dyDescent="0.25">
      <c r="B5112" s="11"/>
    </row>
    <row r="5113" spans="2:2" x14ac:dyDescent="0.25">
      <c r="B5113" s="11"/>
    </row>
    <row r="5114" spans="2:2" x14ac:dyDescent="0.25">
      <c r="B5114" s="11"/>
    </row>
    <row r="5115" spans="2:2" x14ac:dyDescent="0.25">
      <c r="B5115" s="11"/>
    </row>
    <row r="5116" spans="2:2" x14ac:dyDescent="0.25">
      <c r="B5116" s="11"/>
    </row>
    <row r="5117" spans="2:2" x14ac:dyDescent="0.25">
      <c r="B5117" s="11"/>
    </row>
    <row r="5118" spans="2:2" x14ac:dyDescent="0.25">
      <c r="B5118" s="11"/>
    </row>
    <row r="5119" spans="2:2" x14ac:dyDescent="0.25">
      <c r="B5119" s="11"/>
    </row>
    <row r="5120" spans="2:2" x14ac:dyDescent="0.25">
      <c r="B5120" s="11"/>
    </row>
    <row r="5121" spans="2:2" x14ac:dyDescent="0.25">
      <c r="B5121" s="11"/>
    </row>
    <row r="5122" spans="2:2" x14ac:dyDescent="0.25">
      <c r="B5122" s="11"/>
    </row>
    <row r="5123" spans="2:2" x14ac:dyDescent="0.25">
      <c r="B5123" s="11"/>
    </row>
    <row r="5124" spans="2:2" x14ac:dyDescent="0.25">
      <c r="B5124" s="11"/>
    </row>
    <row r="5125" spans="2:2" x14ac:dyDescent="0.25">
      <c r="B5125" s="11"/>
    </row>
    <row r="5126" spans="2:2" x14ac:dyDescent="0.25">
      <c r="B5126" s="11"/>
    </row>
    <row r="5127" spans="2:2" x14ac:dyDescent="0.25">
      <c r="B5127" s="11"/>
    </row>
    <row r="5128" spans="2:2" x14ac:dyDescent="0.25">
      <c r="B5128" s="11"/>
    </row>
    <row r="5129" spans="2:2" x14ac:dyDescent="0.25">
      <c r="B5129" s="11"/>
    </row>
    <row r="5130" spans="2:2" x14ac:dyDescent="0.25">
      <c r="B5130" s="11"/>
    </row>
    <row r="5131" spans="2:2" x14ac:dyDescent="0.25">
      <c r="B5131" s="11"/>
    </row>
    <row r="5132" spans="2:2" x14ac:dyDescent="0.25">
      <c r="B5132" s="11"/>
    </row>
    <row r="5133" spans="2:2" x14ac:dyDescent="0.25">
      <c r="B5133" s="11"/>
    </row>
    <row r="5134" spans="2:2" x14ac:dyDescent="0.25">
      <c r="B5134" s="11"/>
    </row>
    <row r="5135" spans="2:2" x14ac:dyDescent="0.25">
      <c r="B5135" s="11"/>
    </row>
    <row r="5136" spans="2:2" x14ac:dyDescent="0.25">
      <c r="B5136" s="11"/>
    </row>
    <row r="5137" spans="2:2" x14ac:dyDescent="0.25">
      <c r="B5137" s="11"/>
    </row>
    <row r="5138" spans="2:2" x14ac:dyDescent="0.25">
      <c r="B5138" s="11"/>
    </row>
    <row r="5139" spans="2:2" x14ac:dyDescent="0.25">
      <c r="B5139" s="11"/>
    </row>
    <row r="5140" spans="2:2" x14ac:dyDescent="0.25">
      <c r="B5140" s="11"/>
    </row>
    <row r="5141" spans="2:2" x14ac:dyDescent="0.25">
      <c r="B5141" s="11"/>
    </row>
    <row r="5142" spans="2:2" x14ac:dyDescent="0.25">
      <c r="B5142" s="11"/>
    </row>
    <row r="5143" spans="2:2" x14ac:dyDescent="0.25">
      <c r="B5143" s="11"/>
    </row>
    <row r="5144" spans="2:2" x14ac:dyDescent="0.25">
      <c r="B5144" s="11"/>
    </row>
    <row r="5145" spans="2:2" x14ac:dyDescent="0.25">
      <c r="B5145" s="11"/>
    </row>
    <row r="5146" spans="2:2" x14ac:dyDescent="0.25">
      <c r="B5146" s="11"/>
    </row>
    <row r="5147" spans="2:2" x14ac:dyDescent="0.25">
      <c r="B5147" s="11"/>
    </row>
    <row r="5148" spans="2:2" x14ac:dyDescent="0.25">
      <c r="B5148" s="11"/>
    </row>
    <row r="5149" spans="2:2" x14ac:dyDescent="0.25">
      <c r="B5149" s="11"/>
    </row>
    <row r="5150" spans="2:2" x14ac:dyDescent="0.25">
      <c r="B5150" s="11"/>
    </row>
    <row r="5151" spans="2:2" x14ac:dyDescent="0.25">
      <c r="B5151" s="11"/>
    </row>
    <row r="5152" spans="2:2" x14ac:dyDescent="0.25">
      <c r="B5152" s="11"/>
    </row>
    <row r="5153" spans="2:2" x14ac:dyDescent="0.25">
      <c r="B5153" s="11"/>
    </row>
    <row r="5154" spans="2:2" x14ac:dyDescent="0.25">
      <c r="B5154" s="11"/>
    </row>
    <row r="5155" spans="2:2" x14ac:dyDescent="0.25">
      <c r="B5155" s="11"/>
    </row>
    <row r="5156" spans="2:2" x14ac:dyDescent="0.25">
      <c r="B5156" s="11"/>
    </row>
    <row r="5157" spans="2:2" x14ac:dyDescent="0.25">
      <c r="B5157" s="11"/>
    </row>
    <row r="5158" spans="2:2" x14ac:dyDescent="0.25">
      <c r="B5158" s="11"/>
    </row>
    <row r="5159" spans="2:2" x14ac:dyDescent="0.25">
      <c r="B5159" s="11"/>
    </row>
    <row r="5160" spans="2:2" x14ac:dyDescent="0.25">
      <c r="B5160" s="11"/>
    </row>
    <row r="5161" spans="2:2" x14ac:dyDescent="0.25">
      <c r="B5161" s="11"/>
    </row>
    <row r="5162" spans="2:2" x14ac:dyDescent="0.25">
      <c r="B5162" s="11"/>
    </row>
    <row r="5163" spans="2:2" x14ac:dyDescent="0.25">
      <c r="B5163" s="11"/>
    </row>
    <row r="5164" spans="2:2" x14ac:dyDescent="0.25">
      <c r="B5164" s="11"/>
    </row>
    <row r="5165" spans="2:2" x14ac:dyDescent="0.25">
      <c r="B5165" s="11"/>
    </row>
    <row r="5166" spans="2:2" x14ac:dyDescent="0.25">
      <c r="B5166" s="11"/>
    </row>
    <row r="5167" spans="2:2" x14ac:dyDescent="0.25">
      <c r="B5167" s="11"/>
    </row>
    <row r="5168" spans="2:2" x14ac:dyDescent="0.25">
      <c r="B5168" s="11"/>
    </row>
    <row r="5169" spans="2:2" x14ac:dyDescent="0.25">
      <c r="B5169" s="11"/>
    </row>
    <row r="5170" spans="2:2" x14ac:dyDescent="0.25">
      <c r="B5170" s="11"/>
    </row>
    <row r="5171" spans="2:2" x14ac:dyDescent="0.25">
      <c r="B5171" s="11"/>
    </row>
    <row r="5172" spans="2:2" x14ac:dyDescent="0.25">
      <c r="B5172" s="11"/>
    </row>
    <row r="5173" spans="2:2" x14ac:dyDescent="0.25">
      <c r="B5173" s="11"/>
    </row>
    <row r="5174" spans="2:2" x14ac:dyDescent="0.25">
      <c r="B5174" s="11"/>
    </row>
    <row r="5175" spans="2:2" x14ac:dyDescent="0.25">
      <c r="B5175" s="11"/>
    </row>
    <row r="5176" spans="2:2" x14ac:dyDescent="0.25">
      <c r="B5176" s="11"/>
    </row>
    <row r="5177" spans="2:2" x14ac:dyDescent="0.25">
      <c r="B5177" s="11"/>
    </row>
    <row r="5178" spans="2:2" x14ac:dyDescent="0.25">
      <c r="B5178" s="11"/>
    </row>
    <row r="5179" spans="2:2" x14ac:dyDescent="0.25">
      <c r="B5179" s="11"/>
    </row>
    <row r="5180" spans="2:2" x14ac:dyDescent="0.25">
      <c r="B5180" s="11"/>
    </row>
    <row r="5181" spans="2:2" x14ac:dyDescent="0.25">
      <c r="B5181" s="11"/>
    </row>
    <row r="5182" spans="2:2" x14ac:dyDescent="0.25">
      <c r="B5182" s="11"/>
    </row>
    <row r="5183" spans="2:2" x14ac:dyDescent="0.25">
      <c r="B5183" s="11"/>
    </row>
    <row r="5184" spans="2:2" x14ac:dyDescent="0.25">
      <c r="B5184" s="11"/>
    </row>
    <row r="5185" spans="2:2" x14ac:dyDescent="0.25">
      <c r="B5185" s="11"/>
    </row>
    <row r="5186" spans="2:2" x14ac:dyDescent="0.25">
      <c r="B5186" s="11"/>
    </row>
    <row r="5187" spans="2:2" x14ac:dyDescent="0.25">
      <c r="B5187" s="11"/>
    </row>
    <row r="5188" spans="2:2" x14ac:dyDescent="0.25">
      <c r="B5188" s="11"/>
    </row>
    <row r="5189" spans="2:2" x14ac:dyDescent="0.25">
      <c r="B5189" s="11"/>
    </row>
    <row r="5190" spans="2:2" x14ac:dyDescent="0.25">
      <c r="B5190" s="11"/>
    </row>
    <row r="5191" spans="2:2" x14ac:dyDescent="0.25">
      <c r="B5191" s="11"/>
    </row>
    <row r="5192" spans="2:2" x14ac:dyDescent="0.25">
      <c r="B5192" s="11"/>
    </row>
    <row r="5193" spans="2:2" x14ac:dyDescent="0.25">
      <c r="B5193" s="11"/>
    </row>
    <row r="5194" spans="2:2" x14ac:dyDescent="0.25">
      <c r="B5194" s="11"/>
    </row>
    <row r="5195" spans="2:2" x14ac:dyDescent="0.25">
      <c r="B5195" s="11"/>
    </row>
    <row r="5196" spans="2:2" x14ac:dyDescent="0.25">
      <c r="B5196" s="11"/>
    </row>
    <row r="5197" spans="2:2" x14ac:dyDescent="0.25">
      <c r="B5197" s="11"/>
    </row>
    <row r="5198" spans="2:2" x14ac:dyDescent="0.25">
      <c r="B5198" s="11"/>
    </row>
    <row r="5199" spans="2:2" x14ac:dyDescent="0.25">
      <c r="B5199" s="11"/>
    </row>
    <row r="5200" spans="2:2" x14ac:dyDescent="0.25">
      <c r="B5200" s="11"/>
    </row>
    <row r="5201" spans="2:2" x14ac:dyDescent="0.25">
      <c r="B5201" s="11"/>
    </row>
    <row r="5202" spans="2:2" x14ac:dyDescent="0.25">
      <c r="B5202" s="11"/>
    </row>
    <row r="5203" spans="2:2" x14ac:dyDescent="0.25">
      <c r="B5203" s="11"/>
    </row>
    <row r="5204" spans="2:2" x14ac:dyDescent="0.25">
      <c r="B5204" s="11"/>
    </row>
    <row r="5205" spans="2:2" x14ac:dyDescent="0.25">
      <c r="B5205" s="11"/>
    </row>
    <row r="5206" spans="2:2" x14ac:dyDescent="0.25">
      <c r="B5206" s="11"/>
    </row>
    <row r="5207" spans="2:2" x14ac:dyDescent="0.25">
      <c r="B5207" s="11"/>
    </row>
    <row r="5208" spans="2:2" x14ac:dyDescent="0.25">
      <c r="B5208" s="11"/>
    </row>
    <row r="5209" spans="2:2" x14ac:dyDescent="0.25">
      <c r="B5209" s="11"/>
    </row>
    <row r="5210" spans="2:2" x14ac:dyDescent="0.25">
      <c r="B5210" s="11"/>
    </row>
    <row r="5211" spans="2:2" x14ac:dyDescent="0.25">
      <c r="B5211" s="11"/>
    </row>
    <row r="5212" spans="2:2" x14ac:dyDescent="0.25">
      <c r="B5212" s="11"/>
    </row>
    <row r="5213" spans="2:2" x14ac:dyDescent="0.25">
      <c r="B5213" s="11"/>
    </row>
    <row r="5214" spans="2:2" x14ac:dyDescent="0.25">
      <c r="B5214" s="11"/>
    </row>
    <row r="5215" spans="2:2" x14ac:dyDescent="0.25">
      <c r="B5215" s="11"/>
    </row>
    <row r="5216" spans="2:2" x14ac:dyDescent="0.25">
      <c r="B5216" s="11"/>
    </row>
    <row r="5217" spans="2:2" x14ac:dyDescent="0.25">
      <c r="B5217" s="11"/>
    </row>
    <row r="5218" spans="2:2" x14ac:dyDescent="0.25">
      <c r="B5218" s="11"/>
    </row>
    <row r="5219" spans="2:2" x14ac:dyDescent="0.25">
      <c r="B5219" s="11"/>
    </row>
    <row r="5220" spans="2:2" x14ac:dyDescent="0.25">
      <c r="B5220" s="11"/>
    </row>
    <row r="5221" spans="2:2" x14ac:dyDescent="0.25">
      <c r="B5221" s="11"/>
    </row>
    <row r="5222" spans="2:2" x14ac:dyDescent="0.25">
      <c r="B5222" s="11"/>
    </row>
    <row r="5223" spans="2:2" x14ac:dyDescent="0.25">
      <c r="B5223" s="11"/>
    </row>
    <row r="5224" spans="2:2" x14ac:dyDescent="0.25">
      <c r="B5224" s="11"/>
    </row>
    <row r="5225" spans="2:2" x14ac:dyDescent="0.25">
      <c r="B5225" s="11"/>
    </row>
    <row r="5226" spans="2:2" x14ac:dyDescent="0.25">
      <c r="B5226" s="11"/>
    </row>
    <row r="5227" spans="2:2" x14ac:dyDescent="0.25">
      <c r="B5227" s="11"/>
    </row>
    <row r="5228" spans="2:2" x14ac:dyDescent="0.25">
      <c r="B5228" s="11"/>
    </row>
    <row r="5229" spans="2:2" x14ac:dyDescent="0.25">
      <c r="B5229" s="11"/>
    </row>
    <row r="5230" spans="2:2" x14ac:dyDescent="0.25">
      <c r="B5230" s="11"/>
    </row>
    <row r="5231" spans="2:2" x14ac:dyDescent="0.25">
      <c r="B5231" s="11"/>
    </row>
    <row r="5232" spans="2:2" x14ac:dyDescent="0.25">
      <c r="B5232" s="11"/>
    </row>
    <row r="5233" spans="2:2" x14ac:dyDescent="0.25">
      <c r="B5233" s="11"/>
    </row>
    <row r="5234" spans="2:2" x14ac:dyDescent="0.25">
      <c r="B5234" s="11"/>
    </row>
    <row r="5235" spans="2:2" x14ac:dyDescent="0.25">
      <c r="B5235" s="11"/>
    </row>
    <row r="5236" spans="2:2" x14ac:dyDescent="0.25">
      <c r="B5236" s="11"/>
    </row>
    <row r="5237" spans="2:2" x14ac:dyDescent="0.25">
      <c r="B5237" s="11"/>
    </row>
    <row r="5238" spans="2:2" x14ac:dyDescent="0.25">
      <c r="B5238" s="11"/>
    </row>
    <row r="5239" spans="2:2" x14ac:dyDescent="0.25">
      <c r="B5239" s="11"/>
    </row>
    <row r="5240" spans="2:2" x14ac:dyDescent="0.25">
      <c r="B5240" s="11"/>
    </row>
    <row r="5241" spans="2:2" x14ac:dyDescent="0.25">
      <c r="B5241" s="11"/>
    </row>
    <row r="5242" spans="2:2" x14ac:dyDescent="0.25">
      <c r="B5242" s="11"/>
    </row>
    <row r="5243" spans="2:2" x14ac:dyDescent="0.25">
      <c r="B5243" s="11"/>
    </row>
    <row r="5244" spans="2:2" x14ac:dyDescent="0.25">
      <c r="B5244" s="11"/>
    </row>
    <row r="5245" spans="2:2" x14ac:dyDescent="0.25">
      <c r="B5245" s="11"/>
    </row>
    <row r="5246" spans="2:2" x14ac:dyDescent="0.25">
      <c r="B5246" s="11"/>
    </row>
    <row r="5247" spans="2:2" x14ac:dyDescent="0.25">
      <c r="B5247" s="11"/>
    </row>
    <row r="5248" spans="2:2" x14ac:dyDescent="0.25">
      <c r="B5248" s="11"/>
    </row>
    <row r="5249" spans="2:2" x14ac:dyDescent="0.25">
      <c r="B5249" s="11"/>
    </row>
    <row r="5250" spans="2:2" x14ac:dyDescent="0.25">
      <c r="B5250" s="11"/>
    </row>
    <row r="5251" spans="2:2" x14ac:dyDescent="0.25">
      <c r="B5251" s="11"/>
    </row>
    <row r="5252" spans="2:2" x14ac:dyDescent="0.25">
      <c r="B5252" s="11"/>
    </row>
    <row r="5253" spans="2:2" x14ac:dyDescent="0.25">
      <c r="B5253" s="11"/>
    </row>
    <row r="5254" spans="2:2" x14ac:dyDescent="0.25">
      <c r="B5254" s="11"/>
    </row>
    <row r="5255" spans="2:2" x14ac:dyDescent="0.25">
      <c r="B5255" s="11"/>
    </row>
    <row r="5256" spans="2:2" x14ac:dyDescent="0.25">
      <c r="B5256" s="11"/>
    </row>
    <row r="5257" spans="2:2" x14ac:dyDescent="0.25">
      <c r="B5257" s="11"/>
    </row>
    <row r="5258" spans="2:2" x14ac:dyDescent="0.25">
      <c r="B5258" s="11"/>
    </row>
    <row r="5259" spans="2:2" x14ac:dyDescent="0.25">
      <c r="B5259" s="11"/>
    </row>
    <row r="5260" spans="2:2" x14ac:dyDescent="0.25">
      <c r="B5260" s="11"/>
    </row>
    <row r="5261" spans="2:2" x14ac:dyDescent="0.25">
      <c r="B5261" s="11"/>
    </row>
    <row r="5262" spans="2:2" x14ac:dyDescent="0.25">
      <c r="B5262" s="11"/>
    </row>
    <row r="5263" spans="2:2" x14ac:dyDescent="0.25">
      <c r="B5263" s="11"/>
    </row>
    <row r="5264" spans="2:2" x14ac:dyDescent="0.25">
      <c r="B5264" s="11"/>
    </row>
    <row r="5265" spans="2:2" x14ac:dyDescent="0.25">
      <c r="B5265" s="11"/>
    </row>
    <row r="5266" spans="2:2" x14ac:dyDescent="0.25">
      <c r="B5266" s="11"/>
    </row>
    <row r="5267" spans="2:2" x14ac:dyDescent="0.25">
      <c r="B5267" s="11"/>
    </row>
    <row r="5268" spans="2:2" x14ac:dyDescent="0.25">
      <c r="B5268" s="11"/>
    </row>
    <row r="5269" spans="2:2" x14ac:dyDescent="0.25">
      <c r="B5269" s="11"/>
    </row>
    <row r="5270" spans="2:2" x14ac:dyDescent="0.25">
      <c r="B5270" s="11"/>
    </row>
    <row r="5271" spans="2:2" x14ac:dyDescent="0.25">
      <c r="B5271" s="11"/>
    </row>
    <row r="5272" spans="2:2" x14ac:dyDescent="0.25">
      <c r="B5272" s="11"/>
    </row>
    <row r="5273" spans="2:2" x14ac:dyDescent="0.25">
      <c r="B5273" s="11"/>
    </row>
    <row r="5274" spans="2:2" x14ac:dyDescent="0.25">
      <c r="B5274" s="11"/>
    </row>
    <row r="5275" spans="2:2" x14ac:dyDescent="0.25">
      <c r="B5275" s="11"/>
    </row>
    <row r="5276" spans="2:2" x14ac:dyDescent="0.25">
      <c r="B5276" s="11"/>
    </row>
    <row r="5277" spans="2:2" x14ac:dyDescent="0.25">
      <c r="B5277" s="11"/>
    </row>
    <row r="5278" spans="2:2" x14ac:dyDescent="0.25">
      <c r="B5278" s="11"/>
    </row>
    <row r="5279" spans="2:2" x14ac:dyDescent="0.25">
      <c r="B5279" s="11"/>
    </row>
    <row r="5280" spans="2:2" x14ac:dyDescent="0.25">
      <c r="B5280" s="11"/>
    </row>
    <row r="5281" spans="2:2" x14ac:dyDescent="0.25">
      <c r="B5281" s="11"/>
    </row>
    <row r="5282" spans="2:2" x14ac:dyDescent="0.25">
      <c r="B5282" s="11"/>
    </row>
    <row r="5283" spans="2:2" x14ac:dyDescent="0.25">
      <c r="B5283" s="11"/>
    </row>
    <row r="5284" spans="2:2" x14ac:dyDescent="0.25">
      <c r="B5284" s="11"/>
    </row>
    <row r="5285" spans="2:2" x14ac:dyDescent="0.25">
      <c r="B5285" s="11"/>
    </row>
    <row r="5286" spans="2:2" x14ac:dyDescent="0.25">
      <c r="B5286" s="11"/>
    </row>
    <row r="5287" spans="2:2" x14ac:dyDescent="0.25">
      <c r="B5287" s="11"/>
    </row>
    <row r="5288" spans="2:2" x14ac:dyDescent="0.25">
      <c r="B5288" s="11"/>
    </row>
    <row r="5289" spans="2:2" x14ac:dyDescent="0.25">
      <c r="B5289" s="11"/>
    </row>
    <row r="5290" spans="2:2" x14ac:dyDescent="0.25">
      <c r="B5290" s="11"/>
    </row>
    <row r="5291" spans="2:2" x14ac:dyDescent="0.25">
      <c r="B5291" s="11"/>
    </row>
    <row r="5292" spans="2:2" x14ac:dyDescent="0.25">
      <c r="B5292" s="11"/>
    </row>
    <row r="5293" spans="2:2" x14ac:dyDescent="0.25">
      <c r="B5293" s="11"/>
    </row>
    <row r="5294" spans="2:2" x14ac:dyDescent="0.25">
      <c r="B5294" s="11"/>
    </row>
    <row r="5295" spans="2:2" x14ac:dyDescent="0.25">
      <c r="B5295" s="11"/>
    </row>
    <row r="5296" spans="2:2" x14ac:dyDescent="0.25">
      <c r="B5296" s="11"/>
    </row>
    <row r="5297" spans="2:2" x14ac:dyDescent="0.25">
      <c r="B5297" s="11"/>
    </row>
    <row r="5298" spans="2:2" x14ac:dyDescent="0.25">
      <c r="B5298" s="11"/>
    </row>
    <row r="5299" spans="2:2" x14ac:dyDescent="0.25">
      <c r="B5299" s="11"/>
    </row>
    <row r="5300" spans="2:2" x14ac:dyDescent="0.25">
      <c r="B5300" s="11"/>
    </row>
    <row r="5301" spans="2:2" x14ac:dyDescent="0.25">
      <c r="B5301" s="11"/>
    </row>
    <row r="5302" spans="2:2" x14ac:dyDescent="0.25">
      <c r="B5302" s="11"/>
    </row>
    <row r="5303" spans="2:2" x14ac:dyDescent="0.25">
      <c r="B5303" s="11"/>
    </row>
    <row r="5304" spans="2:2" x14ac:dyDescent="0.25">
      <c r="B5304" s="11"/>
    </row>
    <row r="5305" spans="2:2" x14ac:dyDescent="0.25">
      <c r="B5305" s="11"/>
    </row>
    <row r="5306" spans="2:2" x14ac:dyDescent="0.25">
      <c r="B5306" s="11"/>
    </row>
    <row r="5307" spans="2:2" x14ac:dyDescent="0.25">
      <c r="B5307" s="11"/>
    </row>
    <row r="5308" spans="2:2" x14ac:dyDescent="0.25">
      <c r="B5308" s="11"/>
    </row>
    <row r="5309" spans="2:2" x14ac:dyDescent="0.25">
      <c r="B5309" s="11"/>
    </row>
    <row r="5310" spans="2:2" x14ac:dyDescent="0.25">
      <c r="B5310" s="11"/>
    </row>
    <row r="5311" spans="2:2" x14ac:dyDescent="0.25">
      <c r="B5311" s="11"/>
    </row>
    <row r="5312" spans="2:2" x14ac:dyDescent="0.25">
      <c r="B5312" s="11"/>
    </row>
    <row r="5313" spans="2:2" x14ac:dyDescent="0.25">
      <c r="B5313" s="11"/>
    </row>
    <row r="5314" spans="2:2" x14ac:dyDescent="0.25">
      <c r="B5314" s="11"/>
    </row>
    <row r="5315" spans="2:2" x14ac:dyDescent="0.25">
      <c r="B5315" s="11"/>
    </row>
    <row r="5316" spans="2:2" x14ac:dyDescent="0.25">
      <c r="B5316" s="11"/>
    </row>
    <row r="5317" spans="2:2" x14ac:dyDescent="0.25">
      <c r="B5317" s="11"/>
    </row>
    <row r="5318" spans="2:2" x14ac:dyDescent="0.25">
      <c r="B5318" s="11"/>
    </row>
    <row r="5319" spans="2:2" x14ac:dyDescent="0.25">
      <c r="B5319" s="11"/>
    </row>
    <row r="5320" spans="2:2" x14ac:dyDescent="0.25">
      <c r="B5320" s="11"/>
    </row>
    <row r="5321" spans="2:2" x14ac:dyDescent="0.25">
      <c r="B5321" s="11"/>
    </row>
    <row r="5322" spans="2:2" x14ac:dyDescent="0.25">
      <c r="B5322" s="11"/>
    </row>
    <row r="5323" spans="2:2" x14ac:dyDescent="0.25">
      <c r="B5323" s="11"/>
    </row>
    <row r="5324" spans="2:2" x14ac:dyDescent="0.25">
      <c r="B5324" s="11"/>
    </row>
    <row r="5325" spans="2:2" x14ac:dyDescent="0.25">
      <c r="B5325" s="11"/>
    </row>
    <row r="5326" spans="2:2" x14ac:dyDescent="0.25">
      <c r="B5326" s="11"/>
    </row>
    <row r="5327" spans="2:2" x14ac:dyDescent="0.25">
      <c r="B5327" s="11"/>
    </row>
    <row r="5328" spans="2:2" x14ac:dyDescent="0.25">
      <c r="B5328" s="11"/>
    </row>
    <row r="5329" spans="2:2" x14ac:dyDescent="0.25">
      <c r="B5329" s="11"/>
    </row>
    <row r="5330" spans="2:2" x14ac:dyDescent="0.25">
      <c r="B5330" s="11"/>
    </row>
    <row r="5331" spans="2:2" x14ac:dyDescent="0.25">
      <c r="B5331" s="11"/>
    </row>
    <row r="5332" spans="2:2" x14ac:dyDescent="0.25">
      <c r="B5332" s="11"/>
    </row>
    <row r="5333" spans="2:2" x14ac:dyDescent="0.25">
      <c r="B5333" s="11"/>
    </row>
    <row r="5334" spans="2:2" x14ac:dyDescent="0.25">
      <c r="B5334" s="11"/>
    </row>
    <row r="5335" spans="2:2" x14ac:dyDescent="0.25">
      <c r="B5335" s="11"/>
    </row>
    <row r="5336" spans="2:2" x14ac:dyDescent="0.25">
      <c r="B5336" s="11"/>
    </row>
    <row r="5337" spans="2:2" x14ac:dyDescent="0.25">
      <c r="B5337" s="11"/>
    </row>
    <row r="5338" spans="2:2" x14ac:dyDescent="0.25">
      <c r="B5338" s="11"/>
    </row>
    <row r="5339" spans="2:2" x14ac:dyDescent="0.25">
      <c r="B5339" s="11"/>
    </row>
    <row r="5340" spans="2:2" x14ac:dyDescent="0.25">
      <c r="B5340" s="11"/>
    </row>
    <row r="5341" spans="2:2" x14ac:dyDescent="0.25">
      <c r="B5341" s="11"/>
    </row>
    <row r="5342" spans="2:2" x14ac:dyDescent="0.25">
      <c r="B5342" s="11"/>
    </row>
    <row r="5343" spans="2:2" x14ac:dyDescent="0.25">
      <c r="B5343" s="11"/>
    </row>
    <row r="5344" spans="2:2" x14ac:dyDescent="0.25">
      <c r="B5344" s="11"/>
    </row>
    <row r="5345" spans="2:2" x14ac:dyDescent="0.25">
      <c r="B5345" s="11"/>
    </row>
    <row r="5346" spans="2:2" x14ac:dyDescent="0.25">
      <c r="B5346" s="11"/>
    </row>
    <row r="5347" spans="2:2" x14ac:dyDescent="0.25">
      <c r="B5347" s="11"/>
    </row>
    <row r="5348" spans="2:2" x14ac:dyDescent="0.25">
      <c r="B5348" s="11"/>
    </row>
    <row r="5349" spans="2:2" x14ac:dyDescent="0.25">
      <c r="B5349" s="11"/>
    </row>
    <row r="5350" spans="2:2" x14ac:dyDescent="0.25">
      <c r="B5350" s="11"/>
    </row>
    <row r="5351" spans="2:2" x14ac:dyDescent="0.25">
      <c r="B5351" s="11"/>
    </row>
    <row r="5352" spans="2:2" x14ac:dyDescent="0.25">
      <c r="B5352" s="11"/>
    </row>
    <row r="5353" spans="2:2" x14ac:dyDescent="0.25">
      <c r="B5353" s="11"/>
    </row>
    <row r="5354" spans="2:2" x14ac:dyDescent="0.25">
      <c r="B5354" s="11"/>
    </row>
    <row r="5355" spans="2:2" x14ac:dyDescent="0.25">
      <c r="B5355" s="11"/>
    </row>
    <row r="5356" spans="2:2" x14ac:dyDescent="0.25">
      <c r="B5356" s="11"/>
    </row>
    <row r="5357" spans="2:2" x14ac:dyDescent="0.25">
      <c r="B5357" s="11"/>
    </row>
    <row r="5358" spans="2:2" x14ac:dyDescent="0.25">
      <c r="B5358" s="11"/>
    </row>
    <row r="5359" spans="2:2" x14ac:dyDescent="0.25">
      <c r="B5359" s="11"/>
    </row>
    <row r="5360" spans="2:2" x14ac:dyDescent="0.25">
      <c r="B5360" s="11"/>
    </row>
    <row r="5361" spans="2:2" x14ac:dyDescent="0.25">
      <c r="B5361" s="11"/>
    </row>
    <row r="5362" spans="2:2" x14ac:dyDescent="0.25">
      <c r="B5362" s="11"/>
    </row>
    <row r="5363" spans="2:2" x14ac:dyDescent="0.25">
      <c r="B5363" s="11"/>
    </row>
    <row r="5364" spans="2:2" x14ac:dyDescent="0.25">
      <c r="B5364" s="11"/>
    </row>
    <row r="5365" spans="2:2" x14ac:dyDescent="0.25">
      <c r="B5365" s="11"/>
    </row>
    <row r="5366" spans="2:2" x14ac:dyDescent="0.25">
      <c r="B5366" s="11"/>
    </row>
    <row r="5367" spans="2:2" x14ac:dyDescent="0.25">
      <c r="B5367" s="11"/>
    </row>
    <row r="5368" spans="2:2" x14ac:dyDescent="0.25">
      <c r="B5368" s="11"/>
    </row>
    <row r="5369" spans="2:2" x14ac:dyDescent="0.25">
      <c r="B5369" s="11"/>
    </row>
    <row r="5370" spans="2:2" x14ac:dyDescent="0.25">
      <c r="B5370" s="11"/>
    </row>
    <row r="5371" spans="2:2" x14ac:dyDescent="0.25">
      <c r="B5371" s="11"/>
    </row>
    <row r="5372" spans="2:2" x14ac:dyDescent="0.25">
      <c r="B5372" s="11"/>
    </row>
    <row r="5373" spans="2:2" x14ac:dyDescent="0.25">
      <c r="B5373" s="11"/>
    </row>
    <row r="5374" spans="2:2" x14ac:dyDescent="0.25">
      <c r="B5374" s="11"/>
    </row>
    <row r="5375" spans="2:2" x14ac:dyDescent="0.25">
      <c r="B5375" s="11"/>
    </row>
    <row r="5376" spans="2:2" x14ac:dyDescent="0.25">
      <c r="B5376" s="11"/>
    </row>
    <row r="5377" spans="2:2" x14ac:dyDescent="0.25">
      <c r="B5377" s="11"/>
    </row>
    <row r="5378" spans="2:2" x14ac:dyDescent="0.25">
      <c r="B5378" s="11"/>
    </row>
    <row r="5379" spans="2:2" x14ac:dyDescent="0.25">
      <c r="B5379" s="11"/>
    </row>
    <row r="5380" spans="2:2" x14ac:dyDescent="0.25">
      <c r="B5380" s="11"/>
    </row>
    <row r="5381" spans="2:2" x14ac:dyDescent="0.25">
      <c r="B5381" s="11"/>
    </row>
    <row r="5382" spans="2:2" x14ac:dyDescent="0.25">
      <c r="B5382" s="11"/>
    </row>
    <row r="5383" spans="2:2" x14ac:dyDescent="0.25">
      <c r="B5383" s="11"/>
    </row>
    <row r="5384" spans="2:2" x14ac:dyDescent="0.25">
      <c r="B5384" s="11"/>
    </row>
    <row r="5385" spans="2:2" x14ac:dyDescent="0.25">
      <c r="B5385" s="11"/>
    </row>
    <row r="5386" spans="2:2" x14ac:dyDescent="0.25">
      <c r="B5386" s="11"/>
    </row>
    <row r="5387" spans="2:2" x14ac:dyDescent="0.25">
      <c r="B5387" s="11"/>
    </row>
    <row r="5388" spans="2:2" x14ac:dyDescent="0.25">
      <c r="B5388" s="11"/>
    </row>
    <row r="5389" spans="2:2" x14ac:dyDescent="0.25">
      <c r="B5389" s="11"/>
    </row>
    <row r="5390" spans="2:2" x14ac:dyDescent="0.25">
      <c r="B5390" s="11"/>
    </row>
    <row r="5391" spans="2:2" x14ac:dyDescent="0.25">
      <c r="B5391" s="11"/>
    </row>
    <row r="5392" spans="2:2" x14ac:dyDescent="0.25">
      <c r="B5392" s="11"/>
    </row>
    <row r="5393" spans="2:2" x14ac:dyDescent="0.25">
      <c r="B5393" s="11"/>
    </row>
    <row r="5394" spans="2:2" x14ac:dyDescent="0.25">
      <c r="B5394" s="11"/>
    </row>
    <row r="5395" spans="2:2" x14ac:dyDescent="0.25">
      <c r="B5395" s="11"/>
    </row>
    <row r="5396" spans="2:2" x14ac:dyDescent="0.25">
      <c r="B5396" s="11"/>
    </row>
    <row r="5397" spans="2:2" x14ac:dyDescent="0.25">
      <c r="B5397" s="11"/>
    </row>
    <row r="5398" spans="2:2" x14ac:dyDescent="0.25">
      <c r="B5398" s="11"/>
    </row>
    <row r="5399" spans="2:2" x14ac:dyDescent="0.25">
      <c r="B5399" s="11"/>
    </row>
    <row r="5400" spans="2:2" x14ac:dyDescent="0.25">
      <c r="B5400" s="11"/>
    </row>
    <row r="5401" spans="2:2" x14ac:dyDescent="0.25">
      <c r="B5401" s="11"/>
    </row>
    <row r="5402" spans="2:2" x14ac:dyDescent="0.25">
      <c r="B5402" s="11"/>
    </row>
    <row r="5403" spans="2:2" x14ac:dyDescent="0.25">
      <c r="B5403" s="11"/>
    </row>
    <row r="5404" spans="2:2" x14ac:dyDescent="0.25">
      <c r="B5404" s="11"/>
    </row>
    <row r="5405" spans="2:2" x14ac:dyDescent="0.25">
      <c r="B5405" s="11"/>
    </row>
    <row r="5406" spans="2:2" x14ac:dyDescent="0.25">
      <c r="B5406" s="11"/>
    </row>
    <row r="5407" spans="2:2" x14ac:dyDescent="0.25">
      <c r="B5407" s="11"/>
    </row>
    <row r="5408" spans="2:2" x14ac:dyDescent="0.25">
      <c r="B5408" s="11"/>
    </row>
    <row r="5409" spans="2:2" x14ac:dyDescent="0.25">
      <c r="B5409" s="11"/>
    </row>
    <row r="5410" spans="2:2" x14ac:dyDescent="0.25">
      <c r="B5410" s="11"/>
    </row>
    <row r="5411" spans="2:2" x14ac:dyDescent="0.25">
      <c r="B5411" s="11"/>
    </row>
    <row r="5412" spans="2:2" x14ac:dyDescent="0.25">
      <c r="B5412" s="11"/>
    </row>
    <row r="5413" spans="2:2" x14ac:dyDescent="0.25">
      <c r="B5413" s="11"/>
    </row>
    <row r="5414" spans="2:2" x14ac:dyDescent="0.25">
      <c r="B5414" s="11"/>
    </row>
    <row r="5415" spans="2:2" x14ac:dyDescent="0.25">
      <c r="B5415" s="11"/>
    </row>
    <row r="5416" spans="2:2" x14ac:dyDescent="0.25">
      <c r="B5416" s="11"/>
    </row>
    <row r="5417" spans="2:2" x14ac:dyDescent="0.25">
      <c r="B5417" s="11"/>
    </row>
    <row r="5418" spans="2:2" x14ac:dyDescent="0.25">
      <c r="B5418" s="11"/>
    </row>
    <row r="5419" spans="2:2" x14ac:dyDescent="0.25">
      <c r="B5419" s="11"/>
    </row>
    <row r="5420" spans="2:2" x14ac:dyDescent="0.25">
      <c r="B5420" s="11"/>
    </row>
    <row r="5421" spans="2:2" x14ac:dyDescent="0.25">
      <c r="B5421" s="11"/>
    </row>
    <row r="5422" spans="2:2" x14ac:dyDescent="0.25">
      <c r="B5422" s="11"/>
    </row>
    <row r="5423" spans="2:2" x14ac:dyDescent="0.25">
      <c r="B5423" s="11"/>
    </row>
    <row r="5424" spans="2:2" x14ac:dyDescent="0.25">
      <c r="B5424" s="11"/>
    </row>
    <row r="5425" spans="2:2" x14ac:dyDescent="0.25">
      <c r="B5425" s="11"/>
    </row>
    <row r="5426" spans="2:2" x14ac:dyDescent="0.25">
      <c r="B5426" s="11"/>
    </row>
    <row r="5427" spans="2:2" x14ac:dyDescent="0.25">
      <c r="B5427" s="11"/>
    </row>
    <row r="5428" spans="2:2" x14ac:dyDescent="0.25">
      <c r="B5428" s="11"/>
    </row>
    <row r="5429" spans="2:2" x14ac:dyDescent="0.25">
      <c r="B5429" s="11"/>
    </row>
    <row r="5430" spans="2:2" x14ac:dyDescent="0.25">
      <c r="B5430" s="11"/>
    </row>
    <row r="5431" spans="2:2" x14ac:dyDescent="0.25">
      <c r="B5431" s="11"/>
    </row>
    <row r="5432" spans="2:2" x14ac:dyDescent="0.25">
      <c r="B5432" s="11"/>
    </row>
    <row r="5433" spans="2:2" x14ac:dyDescent="0.25">
      <c r="B5433" s="11"/>
    </row>
    <row r="5434" spans="2:2" x14ac:dyDescent="0.25">
      <c r="B5434" s="11"/>
    </row>
    <row r="5435" spans="2:2" x14ac:dyDescent="0.25">
      <c r="B5435" s="11"/>
    </row>
    <row r="5436" spans="2:2" x14ac:dyDescent="0.25">
      <c r="B5436" s="11"/>
    </row>
    <row r="5437" spans="2:2" x14ac:dyDescent="0.25">
      <c r="B5437" s="11"/>
    </row>
    <row r="5438" spans="2:2" x14ac:dyDescent="0.25">
      <c r="B5438" s="11"/>
    </row>
    <row r="5439" spans="2:2" x14ac:dyDescent="0.25">
      <c r="B5439" s="11"/>
    </row>
    <row r="5440" spans="2:2" x14ac:dyDescent="0.25">
      <c r="B5440" s="11"/>
    </row>
    <row r="5441" spans="2:2" x14ac:dyDescent="0.25">
      <c r="B5441" s="11"/>
    </row>
    <row r="5442" spans="2:2" x14ac:dyDescent="0.25">
      <c r="B5442" s="11"/>
    </row>
    <row r="5443" spans="2:2" x14ac:dyDescent="0.25">
      <c r="B5443" s="11"/>
    </row>
    <row r="5444" spans="2:2" x14ac:dyDescent="0.25">
      <c r="B5444" s="11"/>
    </row>
    <row r="5445" spans="2:2" x14ac:dyDescent="0.25">
      <c r="B5445" s="11"/>
    </row>
    <row r="5446" spans="2:2" x14ac:dyDescent="0.25">
      <c r="B5446" s="11"/>
    </row>
    <row r="5447" spans="2:2" x14ac:dyDescent="0.25">
      <c r="B5447" s="11"/>
    </row>
    <row r="5448" spans="2:2" x14ac:dyDescent="0.25">
      <c r="B5448" s="11"/>
    </row>
    <row r="5449" spans="2:2" x14ac:dyDescent="0.25">
      <c r="B5449" s="11"/>
    </row>
    <row r="5450" spans="2:2" x14ac:dyDescent="0.25">
      <c r="B5450" s="11"/>
    </row>
    <row r="5451" spans="2:2" x14ac:dyDescent="0.25">
      <c r="B5451" s="11"/>
    </row>
    <row r="5452" spans="2:2" x14ac:dyDescent="0.25">
      <c r="B5452" s="11"/>
    </row>
    <row r="5453" spans="2:2" x14ac:dyDescent="0.25">
      <c r="B5453" s="11"/>
    </row>
    <row r="5454" spans="2:2" x14ac:dyDescent="0.25">
      <c r="B5454" s="11"/>
    </row>
    <row r="5455" spans="2:2" x14ac:dyDescent="0.25">
      <c r="B5455" s="11"/>
    </row>
    <row r="5456" spans="2:2" x14ac:dyDescent="0.25">
      <c r="B5456" s="11"/>
    </row>
    <row r="5457" spans="2:2" x14ac:dyDescent="0.25">
      <c r="B5457" s="11"/>
    </row>
    <row r="5458" spans="2:2" x14ac:dyDescent="0.25">
      <c r="B5458" s="11"/>
    </row>
    <row r="5459" spans="2:2" x14ac:dyDescent="0.25">
      <c r="B5459" s="11"/>
    </row>
    <row r="5460" spans="2:2" x14ac:dyDescent="0.25">
      <c r="B5460" s="11"/>
    </row>
    <row r="5461" spans="2:2" x14ac:dyDescent="0.25">
      <c r="B5461" s="11"/>
    </row>
    <row r="5462" spans="2:2" x14ac:dyDescent="0.25">
      <c r="B5462" s="11"/>
    </row>
    <row r="5463" spans="2:2" x14ac:dyDescent="0.25">
      <c r="B5463" s="11"/>
    </row>
    <row r="5464" spans="2:2" x14ac:dyDescent="0.25">
      <c r="B5464" s="11"/>
    </row>
    <row r="5465" spans="2:2" x14ac:dyDescent="0.25">
      <c r="B5465" s="11"/>
    </row>
    <row r="5466" spans="2:2" x14ac:dyDescent="0.25">
      <c r="B5466" s="11"/>
    </row>
    <row r="5467" spans="2:2" x14ac:dyDescent="0.25">
      <c r="B5467" s="11"/>
    </row>
    <row r="5468" spans="2:2" x14ac:dyDescent="0.25">
      <c r="B5468" s="11"/>
    </row>
    <row r="5469" spans="2:2" x14ac:dyDescent="0.25">
      <c r="B5469" s="11"/>
    </row>
    <row r="5470" spans="2:2" x14ac:dyDescent="0.25">
      <c r="B5470" s="11"/>
    </row>
    <row r="5471" spans="2:2" x14ac:dyDescent="0.25">
      <c r="B5471" s="11"/>
    </row>
    <row r="5472" spans="2:2" x14ac:dyDescent="0.25">
      <c r="B5472" s="11"/>
    </row>
    <row r="5473" spans="2:2" x14ac:dyDescent="0.25">
      <c r="B5473" s="11"/>
    </row>
    <row r="5474" spans="2:2" x14ac:dyDescent="0.25">
      <c r="B5474" s="11"/>
    </row>
    <row r="5475" spans="2:2" x14ac:dyDescent="0.25">
      <c r="B5475" s="11"/>
    </row>
    <row r="5476" spans="2:2" x14ac:dyDescent="0.25">
      <c r="B5476" s="11"/>
    </row>
    <row r="5477" spans="2:2" x14ac:dyDescent="0.25">
      <c r="B5477" s="11"/>
    </row>
    <row r="5478" spans="2:2" x14ac:dyDescent="0.25">
      <c r="B5478" s="11"/>
    </row>
    <row r="5479" spans="2:2" x14ac:dyDescent="0.25">
      <c r="B5479" s="11"/>
    </row>
    <row r="5480" spans="2:2" x14ac:dyDescent="0.25">
      <c r="B5480" s="11"/>
    </row>
    <row r="5481" spans="2:2" x14ac:dyDescent="0.25">
      <c r="B5481" s="11"/>
    </row>
    <row r="5482" spans="2:2" x14ac:dyDescent="0.25">
      <c r="B5482" s="11"/>
    </row>
    <row r="5483" spans="2:2" x14ac:dyDescent="0.25">
      <c r="B5483" s="11"/>
    </row>
    <row r="5484" spans="2:2" x14ac:dyDescent="0.25">
      <c r="B5484" s="11"/>
    </row>
    <row r="5485" spans="2:2" x14ac:dyDescent="0.25">
      <c r="B5485" s="11"/>
    </row>
    <row r="5486" spans="2:2" x14ac:dyDescent="0.25">
      <c r="B5486" s="11"/>
    </row>
    <row r="5487" spans="2:2" x14ac:dyDescent="0.25">
      <c r="B5487" s="11"/>
    </row>
    <row r="5488" spans="2:2" x14ac:dyDescent="0.25">
      <c r="B5488" s="11"/>
    </row>
    <row r="5489" spans="2:2" x14ac:dyDescent="0.25">
      <c r="B5489" s="11"/>
    </row>
    <row r="5490" spans="2:2" x14ac:dyDescent="0.25">
      <c r="B5490" s="11"/>
    </row>
    <row r="5491" spans="2:2" x14ac:dyDescent="0.25">
      <c r="B5491" s="11"/>
    </row>
    <row r="5492" spans="2:2" x14ac:dyDescent="0.25">
      <c r="B5492" s="11"/>
    </row>
    <row r="5493" spans="2:2" x14ac:dyDescent="0.25">
      <c r="B5493" s="11"/>
    </row>
    <row r="5494" spans="2:2" x14ac:dyDescent="0.25">
      <c r="B5494" s="11"/>
    </row>
    <row r="5495" spans="2:2" x14ac:dyDescent="0.25">
      <c r="B5495" s="11"/>
    </row>
    <row r="5496" spans="2:2" x14ac:dyDescent="0.25">
      <c r="B5496" s="11"/>
    </row>
    <row r="5497" spans="2:2" x14ac:dyDescent="0.25">
      <c r="B5497" s="11"/>
    </row>
    <row r="5498" spans="2:2" x14ac:dyDescent="0.25">
      <c r="B5498" s="11"/>
    </row>
    <row r="5499" spans="2:2" x14ac:dyDescent="0.25">
      <c r="B5499" s="11"/>
    </row>
    <row r="5500" spans="2:2" x14ac:dyDescent="0.25">
      <c r="B5500" s="11"/>
    </row>
    <row r="5501" spans="2:2" x14ac:dyDescent="0.25">
      <c r="B5501" s="11"/>
    </row>
    <row r="5502" spans="2:2" x14ac:dyDescent="0.25">
      <c r="B5502" s="11"/>
    </row>
    <row r="5503" spans="2:2" x14ac:dyDescent="0.25">
      <c r="B5503" s="11"/>
    </row>
    <row r="5504" spans="2:2" x14ac:dyDescent="0.25">
      <c r="B5504" s="11"/>
    </row>
    <row r="5505" spans="2:2" x14ac:dyDescent="0.25">
      <c r="B5505" s="11"/>
    </row>
    <row r="5506" spans="2:2" x14ac:dyDescent="0.25">
      <c r="B5506" s="11"/>
    </row>
    <row r="5507" spans="2:2" x14ac:dyDescent="0.25">
      <c r="B5507" s="11"/>
    </row>
    <row r="5508" spans="2:2" x14ac:dyDescent="0.25">
      <c r="B5508" s="11"/>
    </row>
    <row r="5509" spans="2:2" x14ac:dyDescent="0.25">
      <c r="B5509" s="11"/>
    </row>
    <row r="5510" spans="2:2" x14ac:dyDescent="0.25">
      <c r="B5510" s="11"/>
    </row>
    <row r="5511" spans="2:2" x14ac:dyDescent="0.25">
      <c r="B5511" s="11"/>
    </row>
    <row r="5512" spans="2:2" x14ac:dyDescent="0.25">
      <c r="B5512" s="11"/>
    </row>
    <row r="5513" spans="2:2" x14ac:dyDescent="0.25">
      <c r="B5513" s="11"/>
    </row>
    <row r="5514" spans="2:2" x14ac:dyDescent="0.25">
      <c r="B5514" s="11"/>
    </row>
    <row r="5515" spans="2:2" x14ac:dyDescent="0.25">
      <c r="B5515" s="11"/>
    </row>
    <row r="5516" spans="2:2" x14ac:dyDescent="0.25">
      <c r="B5516" s="11"/>
    </row>
    <row r="5517" spans="2:2" x14ac:dyDescent="0.25">
      <c r="B5517" s="11"/>
    </row>
    <row r="5518" spans="2:2" x14ac:dyDescent="0.25">
      <c r="B5518" s="11"/>
    </row>
    <row r="5519" spans="2:2" x14ac:dyDescent="0.25">
      <c r="B5519" s="11"/>
    </row>
    <row r="5520" spans="2:2" x14ac:dyDescent="0.25">
      <c r="B5520" s="11"/>
    </row>
    <row r="5521" spans="2:2" x14ac:dyDescent="0.25">
      <c r="B5521" s="11"/>
    </row>
    <row r="5522" spans="2:2" x14ac:dyDescent="0.25">
      <c r="B5522" s="11"/>
    </row>
    <row r="5523" spans="2:2" x14ac:dyDescent="0.25">
      <c r="B5523" s="11"/>
    </row>
    <row r="5524" spans="2:2" x14ac:dyDescent="0.25">
      <c r="B5524" s="11"/>
    </row>
    <row r="5525" spans="2:2" x14ac:dyDescent="0.25">
      <c r="B5525" s="11"/>
    </row>
    <row r="5526" spans="2:2" x14ac:dyDescent="0.25">
      <c r="B5526" s="11"/>
    </row>
    <row r="5527" spans="2:2" x14ac:dyDescent="0.25">
      <c r="B5527" s="11"/>
    </row>
    <row r="5528" spans="2:2" x14ac:dyDescent="0.25">
      <c r="B5528" s="11"/>
    </row>
    <row r="5529" spans="2:2" x14ac:dyDescent="0.25">
      <c r="B5529" s="11"/>
    </row>
    <row r="5530" spans="2:2" x14ac:dyDescent="0.25">
      <c r="B5530" s="11"/>
    </row>
    <row r="5531" spans="2:2" x14ac:dyDescent="0.25">
      <c r="B5531" s="11"/>
    </row>
    <row r="5532" spans="2:2" x14ac:dyDescent="0.25">
      <c r="B5532" s="11"/>
    </row>
    <row r="5533" spans="2:2" x14ac:dyDescent="0.25">
      <c r="B5533" s="11"/>
    </row>
    <row r="5534" spans="2:2" x14ac:dyDescent="0.25">
      <c r="B5534" s="11"/>
    </row>
    <row r="5535" spans="2:2" x14ac:dyDescent="0.25">
      <c r="B5535" s="11"/>
    </row>
    <row r="5536" spans="2:2" x14ac:dyDescent="0.25">
      <c r="B5536" s="11"/>
    </row>
    <row r="5537" spans="2:2" x14ac:dyDescent="0.25">
      <c r="B5537" s="11"/>
    </row>
    <row r="5538" spans="2:2" x14ac:dyDescent="0.25">
      <c r="B5538" s="11"/>
    </row>
    <row r="5539" spans="2:2" x14ac:dyDescent="0.25">
      <c r="B5539" s="11"/>
    </row>
    <row r="5540" spans="2:2" x14ac:dyDescent="0.25">
      <c r="B5540" s="11"/>
    </row>
    <row r="5541" spans="2:2" x14ac:dyDescent="0.25">
      <c r="B5541" s="11"/>
    </row>
    <row r="5542" spans="2:2" x14ac:dyDescent="0.25">
      <c r="B5542" s="11"/>
    </row>
    <row r="5543" spans="2:2" x14ac:dyDescent="0.25">
      <c r="B5543" s="11"/>
    </row>
    <row r="5544" spans="2:2" x14ac:dyDescent="0.25">
      <c r="B5544" s="11"/>
    </row>
    <row r="5545" spans="2:2" x14ac:dyDescent="0.25">
      <c r="B5545" s="11"/>
    </row>
    <row r="5546" spans="2:2" x14ac:dyDescent="0.25">
      <c r="B5546" s="11"/>
    </row>
    <row r="5547" spans="2:2" x14ac:dyDescent="0.25">
      <c r="B5547" s="11"/>
    </row>
    <row r="5548" spans="2:2" x14ac:dyDescent="0.25">
      <c r="B5548" s="11"/>
    </row>
    <row r="5549" spans="2:2" x14ac:dyDescent="0.25">
      <c r="B5549" s="11"/>
    </row>
    <row r="5550" spans="2:2" x14ac:dyDescent="0.25">
      <c r="B5550" s="11"/>
    </row>
    <row r="5551" spans="2:2" x14ac:dyDescent="0.25">
      <c r="B5551" s="11"/>
    </row>
    <row r="5552" spans="2:2" x14ac:dyDescent="0.25">
      <c r="B5552" s="11"/>
    </row>
    <row r="5553" spans="2:2" x14ac:dyDescent="0.25">
      <c r="B5553" s="11"/>
    </row>
    <row r="5554" spans="2:2" x14ac:dyDescent="0.25">
      <c r="B5554" s="11"/>
    </row>
    <row r="5555" spans="2:2" x14ac:dyDescent="0.25">
      <c r="B5555" s="11"/>
    </row>
    <row r="5556" spans="2:2" x14ac:dyDescent="0.25">
      <c r="B5556" s="11"/>
    </row>
    <row r="5557" spans="2:2" x14ac:dyDescent="0.25">
      <c r="B5557" s="11"/>
    </row>
    <row r="5558" spans="2:2" x14ac:dyDescent="0.25">
      <c r="B5558" s="11"/>
    </row>
    <row r="5559" spans="2:2" x14ac:dyDescent="0.25">
      <c r="B5559" s="11"/>
    </row>
    <row r="5560" spans="2:2" x14ac:dyDescent="0.25">
      <c r="B5560" s="11"/>
    </row>
    <row r="5561" spans="2:2" x14ac:dyDescent="0.25">
      <c r="B5561" s="11"/>
    </row>
    <row r="5562" spans="2:2" x14ac:dyDescent="0.25">
      <c r="B5562" s="11"/>
    </row>
    <row r="5563" spans="2:2" x14ac:dyDescent="0.25">
      <c r="B5563" s="11"/>
    </row>
    <row r="5564" spans="2:2" x14ac:dyDescent="0.25">
      <c r="B5564" s="11"/>
    </row>
    <row r="5565" spans="2:2" x14ac:dyDescent="0.25">
      <c r="B5565" s="11"/>
    </row>
    <row r="5566" spans="2:2" x14ac:dyDescent="0.25">
      <c r="B5566" s="11"/>
    </row>
    <row r="5567" spans="2:2" x14ac:dyDescent="0.25">
      <c r="B5567" s="11"/>
    </row>
    <row r="5568" spans="2:2" x14ac:dyDescent="0.25">
      <c r="B5568" s="11"/>
    </row>
    <row r="5569" spans="2:2" x14ac:dyDescent="0.25">
      <c r="B5569" s="11"/>
    </row>
    <row r="5570" spans="2:2" x14ac:dyDescent="0.25">
      <c r="B5570" s="11"/>
    </row>
    <row r="5571" spans="2:2" x14ac:dyDescent="0.25">
      <c r="B5571" s="11"/>
    </row>
    <row r="5572" spans="2:2" x14ac:dyDescent="0.25">
      <c r="B5572" s="11"/>
    </row>
    <row r="5573" spans="2:2" x14ac:dyDescent="0.25">
      <c r="B5573" s="11"/>
    </row>
    <row r="5574" spans="2:2" x14ac:dyDescent="0.25">
      <c r="B5574" s="11"/>
    </row>
    <row r="5575" spans="2:2" x14ac:dyDescent="0.25">
      <c r="B5575" s="11"/>
    </row>
    <row r="5576" spans="2:2" x14ac:dyDescent="0.25">
      <c r="B5576" s="11"/>
    </row>
    <row r="5577" spans="2:2" x14ac:dyDescent="0.25">
      <c r="B5577" s="11"/>
    </row>
    <row r="5578" spans="2:2" x14ac:dyDescent="0.25">
      <c r="B5578" s="11"/>
    </row>
    <row r="5579" spans="2:2" x14ac:dyDescent="0.25">
      <c r="B5579" s="11"/>
    </row>
    <row r="5580" spans="2:2" x14ac:dyDescent="0.25">
      <c r="B5580" s="11"/>
    </row>
    <row r="5581" spans="2:2" x14ac:dyDescent="0.25">
      <c r="B5581" s="11"/>
    </row>
    <row r="5582" spans="2:2" x14ac:dyDescent="0.25">
      <c r="B5582" s="11"/>
    </row>
    <row r="5583" spans="2:2" x14ac:dyDescent="0.25">
      <c r="B5583" s="11"/>
    </row>
    <row r="5584" spans="2:2" x14ac:dyDescent="0.25">
      <c r="B5584" s="11"/>
    </row>
    <row r="5585" spans="2:2" x14ac:dyDescent="0.25">
      <c r="B5585" s="11"/>
    </row>
    <row r="5586" spans="2:2" x14ac:dyDescent="0.25">
      <c r="B5586" s="11"/>
    </row>
    <row r="5587" spans="2:2" x14ac:dyDescent="0.25">
      <c r="B5587" s="11"/>
    </row>
    <row r="5588" spans="2:2" x14ac:dyDescent="0.25">
      <c r="B5588" s="11"/>
    </row>
    <row r="5589" spans="2:2" x14ac:dyDescent="0.25">
      <c r="B5589" s="11"/>
    </row>
    <row r="5590" spans="2:2" x14ac:dyDescent="0.25">
      <c r="B5590" s="11"/>
    </row>
    <row r="5591" spans="2:2" x14ac:dyDescent="0.25">
      <c r="B5591" s="11"/>
    </row>
    <row r="5592" spans="2:2" x14ac:dyDescent="0.25">
      <c r="B5592" s="11"/>
    </row>
    <row r="5593" spans="2:2" x14ac:dyDescent="0.25">
      <c r="B5593" s="11"/>
    </row>
    <row r="5594" spans="2:2" x14ac:dyDescent="0.25">
      <c r="B5594" s="11"/>
    </row>
    <row r="5595" spans="2:2" x14ac:dyDescent="0.25">
      <c r="B5595" s="11"/>
    </row>
    <row r="5596" spans="2:2" x14ac:dyDescent="0.25">
      <c r="B5596" s="11"/>
    </row>
    <row r="5597" spans="2:2" x14ac:dyDescent="0.25">
      <c r="B5597" s="11"/>
    </row>
    <row r="5598" spans="2:2" x14ac:dyDescent="0.25">
      <c r="B5598" s="11"/>
    </row>
    <row r="5599" spans="2:2" x14ac:dyDescent="0.25">
      <c r="B5599" s="11"/>
    </row>
    <row r="5600" spans="2:2" x14ac:dyDescent="0.25">
      <c r="B5600" s="11"/>
    </row>
    <row r="5601" spans="2:2" x14ac:dyDescent="0.25">
      <c r="B5601" s="11"/>
    </row>
    <row r="5602" spans="2:2" x14ac:dyDescent="0.25">
      <c r="B5602" s="11"/>
    </row>
    <row r="5603" spans="2:2" x14ac:dyDescent="0.25">
      <c r="B5603" s="11"/>
    </row>
    <row r="5604" spans="2:2" x14ac:dyDescent="0.25">
      <c r="B5604" s="11"/>
    </row>
    <row r="5605" spans="2:2" x14ac:dyDescent="0.25">
      <c r="B5605" s="11"/>
    </row>
    <row r="5606" spans="2:2" x14ac:dyDescent="0.25">
      <c r="B5606" s="11"/>
    </row>
    <row r="5607" spans="2:2" x14ac:dyDescent="0.25">
      <c r="B5607" s="11"/>
    </row>
    <row r="5608" spans="2:2" x14ac:dyDescent="0.25">
      <c r="B5608" s="11"/>
    </row>
    <row r="5609" spans="2:2" x14ac:dyDescent="0.25">
      <c r="B5609" s="11"/>
    </row>
    <row r="5610" spans="2:2" x14ac:dyDescent="0.25">
      <c r="B5610" s="11"/>
    </row>
    <row r="5611" spans="2:2" x14ac:dyDescent="0.25">
      <c r="B5611" s="11"/>
    </row>
    <row r="5612" spans="2:2" x14ac:dyDescent="0.25">
      <c r="B5612" s="11"/>
    </row>
    <row r="5613" spans="2:2" x14ac:dyDescent="0.25">
      <c r="B5613" s="11"/>
    </row>
    <row r="5614" spans="2:2" x14ac:dyDescent="0.25">
      <c r="B5614" s="11"/>
    </row>
    <row r="5615" spans="2:2" x14ac:dyDescent="0.25">
      <c r="B5615" s="11"/>
    </row>
    <row r="5616" spans="2:2" x14ac:dyDescent="0.25">
      <c r="B5616" s="11"/>
    </row>
    <row r="5617" spans="2:2" x14ac:dyDescent="0.25">
      <c r="B5617" s="11"/>
    </row>
    <row r="5618" spans="2:2" x14ac:dyDescent="0.25">
      <c r="B5618" s="11"/>
    </row>
    <row r="5619" spans="2:2" x14ac:dyDescent="0.25">
      <c r="B5619" s="11"/>
    </row>
    <row r="5620" spans="2:2" x14ac:dyDescent="0.25">
      <c r="B5620" s="11"/>
    </row>
    <row r="5621" spans="2:2" x14ac:dyDescent="0.25">
      <c r="B5621" s="11"/>
    </row>
    <row r="5622" spans="2:2" x14ac:dyDescent="0.25">
      <c r="B5622" s="11"/>
    </row>
    <row r="5623" spans="2:2" x14ac:dyDescent="0.25">
      <c r="B5623" s="11"/>
    </row>
    <row r="5624" spans="2:2" x14ac:dyDescent="0.25">
      <c r="B5624" s="11"/>
    </row>
    <row r="5625" spans="2:2" x14ac:dyDescent="0.25">
      <c r="B5625" s="11"/>
    </row>
    <row r="5626" spans="2:2" x14ac:dyDescent="0.25">
      <c r="B5626" s="11"/>
    </row>
    <row r="5627" spans="2:2" x14ac:dyDescent="0.25">
      <c r="B5627" s="11"/>
    </row>
    <row r="5628" spans="2:2" x14ac:dyDescent="0.25">
      <c r="B5628" s="11"/>
    </row>
    <row r="5629" spans="2:2" x14ac:dyDescent="0.25">
      <c r="B5629" s="11"/>
    </row>
    <row r="5630" spans="2:2" x14ac:dyDescent="0.25">
      <c r="B5630" s="11"/>
    </row>
    <row r="5631" spans="2:2" x14ac:dyDescent="0.25">
      <c r="B5631" s="11"/>
    </row>
    <row r="5632" spans="2:2" x14ac:dyDescent="0.25">
      <c r="B5632" s="11"/>
    </row>
    <row r="5633" spans="2:2" x14ac:dyDescent="0.25">
      <c r="B5633" s="11"/>
    </row>
    <row r="5634" spans="2:2" x14ac:dyDescent="0.25">
      <c r="B5634" s="11"/>
    </row>
    <row r="5635" spans="2:2" x14ac:dyDescent="0.25">
      <c r="B5635" s="11"/>
    </row>
    <row r="5636" spans="2:2" x14ac:dyDescent="0.25">
      <c r="B5636" s="11"/>
    </row>
    <row r="5637" spans="2:2" x14ac:dyDescent="0.25">
      <c r="B5637" s="11"/>
    </row>
    <row r="5638" spans="2:2" x14ac:dyDescent="0.25">
      <c r="B5638" s="11"/>
    </row>
    <row r="5639" spans="2:2" x14ac:dyDescent="0.25">
      <c r="B5639" s="11"/>
    </row>
    <row r="5640" spans="2:2" x14ac:dyDescent="0.25">
      <c r="B5640" s="11"/>
    </row>
    <row r="5641" spans="2:2" x14ac:dyDescent="0.25">
      <c r="B5641" s="11"/>
    </row>
    <row r="5642" spans="2:2" x14ac:dyDescent="0.25">
      <c r="B5642" s="11"/>
    </row>
    <row r="5643" spans="2:2" x14ac:dyDescent="0.25">
      <c r="B5643" s="11"/>
    </row>
    <row r="5644" spans="2:2" x14ac:dyDescent="0.25">
      <c r="B5644" s="11"/>
    </row>
    <row r="5645" spans="2:2" x14ac:dyDescent="0.25">
      <c r="B5645" s="11"/>
    </row>
    <row r="5646" spans="2:2" x14ac:dyDescent="0.25">
      <c r="B5646" s="11"/>
    </row>
    <row r="5647" spans="2:2" x14ac:dyDescent="0.25">
      <c r="B5647" s="11"/>
    </row>
    <row r="5648" spans="2:2" x14ac:dyDescent="0.25">
      <c r="B5648" s="11"/>
    </row>
    <row r="5649" spans="2:2" x14ac:dyDescent="0.25">
      <c r="B5649" s="11"/>
    </row>
    <row r="5650" spans="2:2" x14ac:dyDescent="0.25">
      <c r="B5650" s="11"/>
    </row>
    <row r="5651" spans="2:2" x14ac:dyDescent="0.25">
      <c r="B5651" s="11"/>
    </row>
    <row r="5652" spans="2:2" x14ac:dyDescent="0.25">
      <c r="B5652" s="11"/>
    </row>
    <row r="5653" spans="2:2" x14ac:dyDescent="0.25">
      <c r="B5653" s="11"/>
    </row>
    <row r="5654" spans="2:2" x14ac:dyDescent="0.25">
      <c r="B5654" s="11"/>
    </row>
    <row r="5655" spans="2:2" x14ac:dyDescent="0.25">
      <c r="B5655" s="11"/>
    </row>
    <row r="5656" spans="2:2" x14ac:dyDescent="0.25">
      <c r="B5656" s="11"/>
    </row>
    <row r="5657" spans="2:2" x14ac:dyDescent="0.25">
      <c r="B5657" s="11"/>
    </row>
    <row r="5658" spans="2:2" x14ac:dyDescent="0.25">
      <c r="B5658" s="11"/>
    </row>
    <row r="5659" spans="2:2" x14ac:dyDescent="0.25">
      <c r="B5659" s="11"/>
    </row>
    <row r="5660" spans="2:2" x14ac:dyDescent="0.25">
      <c r="B5660" s="11"/>
    </row>
    <row r="5661" spans="2:2" x14ac:dyDescent="0.25">
      <c r="B5661" s="11"/>
    </row>
    <row r="5662" spans="2:2" x14ac:dyDescent="0.25">
      <c r="B5662" s="11"/>
    </row>
    <row r="5663" spans="2:2" x14ac:dyDescent="0.25">
      <c r="B5663" s="11"/>
    </row>
    <row r="5664" spans="2:2" x14ac:dyDescent="0.25">
      <c r="B5664" s="11"/>
    </row>
    <row r="5665" spans="2:2" x14ac:dyDescent="0.25">
      <c r="B5665" s="11"/>
    </row>
    <row r="5666" spans="2:2" x14ac:dyDescent="0.25">
      <c r="B5666" s="11"/>
    </row>
    <row r="5667" spans="2:2" x14ac:dyDescent="0.25">
      <c r="B5667" s="11"/>
    </row>
    <row r="5668" spans="2:2" x14ac:dyDescent="0.25">
      <c r="B5668" s="11"/>
    </row>
    <row r="5669" spans="2:2" x14ac:dyDescent="0.25">
      <c r="B5669" s="11"/>
    </row>
    <row r="5670" spans="2:2" x14ac:dyDescent="0.25">
      <c r="B5670" s="11"/>
    </row>
    <row r="5671" spans="2:2" x14ac:dyDescent="0.25">
      <c r="B5671" s="11"/>
    </row>
    <row r="5672" spans="2:2" x14ac:dyDescent="0.25">
      <c r="B5672" s="11"/>
    </row>
    <row r="5673" spans="2:2" x14ac:dyDescent="0.25">
      <c r="B5673" s="11"/>
    </row>
    <row r="5674" spans="2:2" x14ac:dyDescent="0.25">
      <c r="B5674" s="11"/>
    </row>
    <row r="5675" spans="2:2" x14ac:dyDescent="0.25">
      <c r="B5675" s="11"/>
    </row>
    <row r="5676" spans="2:2" x14ac:dyDescent="0.25">
      <c r="B5676" s="11"/>
    </row>
    <row r="5677" spans="2:2" x14ac:dyDescent="0.25">
      <c r="B5677" s="11"/>
    </row>
    <row r="5678" spans="2:2" x14ac:dyDescent="0.25">
      <c r="B5678" s="11"/>
    </row>
    <row r="5679" spans="2:2" x14ac:dyDescent="0.25">
      <c r="B5679" s="11"/>
    </row>
    <row r="5680" spans="2:2" x14ac:dyDescent="0.25">
      <c r="B5680" s="11"/>
    </row>
    <row r="5681" spans="2:2" x14ac:dyDescent="0.25">
      <c r="B5681" s="11"/>
    </row>
    <row r="5682" spans="2:2" x14ac:dyDescent="0.25">
      <c r="B5682" s="11"/>
    </row>
    <row r="5683" spans="2:2" x14ac:dyDescent="0.25">
      <c r="B5683" s="11"/>
    </row>
    <row r="5684" spans="2:2" x14ac:dyDescent="0.25">
      <c r="B5684" s="11"/>
    </row>
    <row r="5685" spans="2:2" x14ac:dyDescent="0.25">
      <c r="B5685" s="11"/>
    </row>
    <row r="5686" spans="2:2" x14ac:dyDescent="0.25">
      <c r="B5686" s="11"/>
    </row>
    <row r="5687" spans="2:2" x14ac:dyDescent="0.25">
      <c r="B5687" s="11"/>
    </row>
    <row r="5688" spans="2:2" x14ac:dyDescent="0.25">
      <c r="B5688" s="11"/>
    </row>
    <row r="5689" spans="2:2" x14ac:dyDescent="0.25">
      <c r="B5689" s="11"/>
    </row>
    <row r="5690" spans="2:2" x14ac:dyDescent="0.25">
      <c r="B5690" s="11"/>
    </row>
    <row r="5691" spans="2:2" x14ac:dyDescent="0.25">
      <c r="B5691" s="11"/>
    </row>
    <row r="5692" spans="2:2" x14ac:dyDescent="0.25">
      <c r="B5692" s="11"/>
    </row>
    <row r="5693" spans="2:2" x14ac:dyDescent="0.25">
      <c r="B5693" s="11"/>
    </row>
    <row r="5694" spans="2:2" x14ac:dyDescent="0.25">
      <c r="B5694" s="11"/>
    </row>
    <row r="5695" spans="2:2" x14ac:dyDescent="0.25">
      <c r="B5695" s="11"/>
    </row>
    <row r="5696" spans="2:2" x14ac:dyDescent="0.25">
      <c r="B5696" s="11"/>
    </row>
    <row r="5697" spans="2:2" x14ac:dyDescent="0.25">
      <c r="B5697" s="11"/>
    </row>
    <row r="5698" spans="2:2" x14ac:dyDescent="0.25">
      <c r="B5698" s="11"/>
    </row>
    <row r="5699" spans="2:2" x14ac:dyDescent="0.25">
      <c r="B5699" s="11"/>
    </row>
    <row r="5700" spans="2:2" x14ac:dyDescent="0.25">
      <c r="B5700" s="11"/>
    </row>
    <row r="5701" spans="2:2" x14ac:dyDescent="0.25">
      <c r="B5701" s="11"/>
    </row>
    <row r="5702" spans="2:2" x14ac:dyDescent="0.25">
      <c r="B5702" s="11"/>
    </row>
    <row r="5703" spans="2:2" x14ac:dyDescent="0.25">
      <c r="B5703" s="11"/>
    </row>
    <row r="5704" spans="2:2" x14ac:dyDescent="0.25">
      <c r="B5704" s="11"/>
    </row>
    <row r="5705" spans="2:2" x14ac:dyDescent="0.25">
      <c r="B5705" s="11"/>
    </row>
    <row r="5706" spans="2:2" x14ac:dyDescent="0.25">
      <c r="B5706" s="11"/>
    </row>
    <row r="5707" spans="2:2" x14ac:dyDescent="0.25">
      <c r="B5707" s="11"/>
    </row>
    <row r="5708" spans="2:2" x14ac:dyDescent="0.25">
      <c r="B5708" s="11"/>
    </row>
    <row r="5709" spans="2:2" x14ac:dyDescent="0.25">
      <c r="B5709" s="11"/>
    </row>
    <row r="5710" spans="2:2" x14ac:dyDescent="0.25">
      <c r="B5710" s="11"/>
    </row>
    <row r="5711" spans="2:2" x14ac:dyDescent="0.25">
      <c r="B5711" s="11"/>
    </row>
    <row r="5712" spans="2:2" x14ac:dyDescent="0.25">
      <c r="B5712" s="11"/>
    </row>
    <row r="5713" spans="2:2" x14ac:dyDescent="0.25">
      <c r="B5713" s="11"/>
    </row>
    <row r="5714" spans="2:2" x14ac:dyDescent="0.25">
      <c r="B5714" s="11"/>
    </row>
    <row r="5715" spans="2:2" x14ac:dyDescent="0.25">
      <c r="B5715" s="11"/>
    </row>
    <row r="5716" spans="2:2" x14ac:dyDescent="0.25">
      <c r="B5716" s="11"/>
    </row>
    <row r="5717" spans="2:2" x14ac:dyDescent="0.25">
      <c r="B5717" s="11"/>
    </row>
    <row r="5718" spans="2:2" x14ac:dyDescent="0.25">
      <c r="B5718" s="11"/>
    </row>
    <row r="5719" spans="2:2" x14ac:dyDescent="0.25">
      <c r="B5719" s="11"/>
    </row>
    <row r="5720" spans="2:2" x14ac:dyDescent="0.25">
      <c r="B5720" s="11"/>
    </row>
    <row r="5721" spans="2:2" x14ac:dyDescent="0.25">
      <c r="B5721" s="11"/>
    </row>
    <row r="5722" spans="2:2" x14ac:dyDescent="0.25">
      <c r="B5722" s="11"/>
    </row>
    <row r="5723" spans="2:2" x14ac:dyDescent="0.25">
      <c r="B5723" s="11"/>
    </row>
    <row r="5724" spans="2:2" x14ac:dyDescent="0.25">
      <c r="B5724" s="11"/>
    </row>
    <row r="5725" spans="2:2" x14ac:dyDescent="0.25">
      <c r="B5725" s="11"/>
    </row>
    <row r="5726" spans="2:2" x14ac:dyDescent="0.25">
      <c r="B5726" s="11"/>
    </row>
    <row r="5727" spans="2:2" x14ac:dyDescent="0.25">
      <c r="B5727" s="11"/>
    </row>
    <row r="5728" spans="2:2" x14ac:dyDescent="0.25">
      <c r="B5728" s="11"/>
    </row>
    <row r="5729" spans="2:2" x14ac:dyDescent="0.25">
      <c r="B5729" s="11"/>
    </row>
    <row r="5730" spans="2:2" x14ac:dyDescent="0.25">
      <c r="B5730" s="11"/>
    </row>
    <row r="5731" spans="2:2" x14ac:dyDescent="0.25">
      <c r="B5731" s="11"/>
    </row>
    <row r="5732" spans="2:2" x14ac:dyDescent="0.25">
      <c r="B5732" s="11"/>
    </row>
    <row r="5733" spans="2:2" x14ac:dyDescent="0.25">
      <c r="B5733" s="11"/>
    </row>
    <row r="5734" spans="2:2" x14ac:dyDescent="0.25">
      <c r="B5734" s="11"/>
    </row>
    <row r="5735" spans="2:2" x14ac:dyDescent="0.25">
      <c r="B5735" s="11"/>
    </row>
    <row r="5736" spans="2:2" x14ac:dyDescent="0.25">
      <c r="B5736" s="11"/>
    </row>
    <row r="5737" spans="2:2" x14ac:dyDescent="0.25">
      <c r="B5737" s="11"/>
    </row>
    <row r="5738" spans="2:2" x14ac:dyDescent="0.25">
      <c r="B5738" s="11"/>
    </row>
    <row r="5739" spans="2:2" x14ac:dyDescent="0.25">
      <c r="B5739" s="11"/>
    </row>
    <row r="5740" spans="2:2" x14ac:dyDescent="0.25">
      <c r="B5740" s="11"/>
    </row>
    <row r="5741" spans="2:2" x14ac:dyDescent="0.25">
      <c r="B5741" s="11"/>
    </row>
    <row r="5742" spans="2:2" x14ac:dyDescent="0.25">
      <c r="B5742" s="11"/>
    </row>
    <row r="5743" spans="2:2" x14ac:dyDescent="0.25">
      <c r="B5743" s="11"/>
    </row>
    <row r="5744" spans="2:2" x14ac:dyDescent="0.25">
      <c r="B5744" s="11"/>
    </row>
    <row r="5745" spans="2:2" x14ac:dyDescent="0.25">
      <c r="B5745" s="11"/>
    </row>
    <row r="5746" spans="2:2" x14ac:dyDescent="0.25">
      <c r="B5746" s="11"/>
    </row>
    <row r="5747" spans="2:2" x14ac:dyDescent="0.25">
      <c r="B5747" s="11"/>
    </row>
    <row r="5748" spans="2:2" x14ac:dyDescent="0.25">
      <c r="B5748" s="11"/>
    </row>
    <row r="5749" spans="2:2" x14ac:dyDescent="0.25">
      <c r="B5749" s="11"/>
    </row>
    <row r="5750" spans="2:2" x14ac:dyDescent="0.25">
      <c r="B5750" s="11"/>
    </row>
    <row r="5751" spans="2:2" x14ac:dyDescent="0.25">
      <c r="B5751" s="11"/>
    </row>
    <row r="5752" spans="2:2" x14ac:dyDescent="0.25">
      <c r="B5752" s="11"/>
    </row>
    <row r="5753" spans="2:2" x14ac:dyDescent="0.25">
      <c r="B5753" s="11"/>
    </row>
    <row r="5754" spans="2:2" x14ac:dyDescent="0.25">
      <c r="B5754" s="11"/>
    </row>
    <row r="5755" spans="2:2" x14ac:dyDescent="0.25">
      <c r="B5755" s="11"/>
    </row>
    <row r="5756" spans="2:2" x14ac:dyDescent="0.25">
      <c r="B5756" s="11"/>
    </row>
    <row r="5757" spans="2:2" x14ac:dyDescent="0.25">
      <c r="B5757" s="11"/>
    </row>
    <row r="5758" spans="2:2" x14ac:dyDescent="0.25">
      <c r="B5758" s="11"/>
    </row>
    <row r="5759" spans="2:2" x14ac:dyDescent="0.25">
      <c r="B5759" s="11"/>
    </row>
    <row r="5760" spans="2:2" x14ac:dyDescent="0.25">
      <c r="B5760" s="11"/>
    </row>
    <row r="5761" spans="2:2" x14ac:dyDescent="0.25">
      <c r="B5761" s="11"/>
    </row>
    <row r="5762" spans="2:2" x14ac:dyDescent="0.25">
      <c r="B5762" s="11"/>
    </row>
    <row r="5763" spans="2:2" x14ac:dyDescent="0.25">
      <c r="B5763" s="11"/>
    </row>
    <row r="5764" spans="2:2" x14ac:dyDescent="0.25">
      <c r="B5764" s="11"/>
    </row>
    <row r="5765" spans="2:2" x14ac:dyDescent="0.25">
      <c r="B5765" s="11"/>
    </row>
    <row r="5766" spans="2:2" x14ac:dyDescent="0.25">
      <c r="B5766" s="11"/>
    </row>
    <row r="5767" spans="2:2" x14ac:dyDescent="0.25">
      <c r="B5767" s="11"/>
    </row>
    <row r="5768" spans="2:2" x14ac:dyDescent="0.25">
      <c r="B5768" s="11"/>
    </row>
    <row r="5769" spans="2:2" x14ac:dyDescent="0.25">
      <c r="B5769" s="11"/>
    </row>
    <row r="5770" spans="2:2" x14ac:dyDescent="0.25">
      <c r="B5770" s="11"/>
    </row>
    <row r="5771" spans="2:2" x14ac:dyDescent="0.25">
      <c r="B5771" s="11"/>
    </row>
    <row r="5772" spans="2:2" x14ac:dyDescent="0.25">
      <c r="B5772" s="11"/>
    </row>
    <row r="5773" spans="2:2" x14ac:dyDescent="0.25">
      <c r="B5773" s="11"/>
    </row>
    <row r="5774" spans="2:2" x14ac:dyDescent="0.25">
      <c r="B5774" s="11"/>
    </row>
    <row r="5775" spans="2:2" x14ac:dyDescent="0.25">
      <c r="B5775" s="11"/>
    </row>
    <row r="5776" spans="2:2" x14ac:dyDescent="0.25">
      <c r="B5776" s="11"/>
    </row>
    <row r="5777" spans="2:2" x14ac:dyDescent="0.25">
      <c r="B5777" s="11"/>
    </row>
    <row r="5778" spans="2:2" x14ac:dyDescent="0.25">
      <c r="B5778" s="11"/>
    </row>
    <row r="5779" spans="2:2" x14ac:dyDescent="0.25">
      <c r="B5779" s="11"/>
    </row>
    <row r="5780" spans="2:2" x14ac:dyDescent="0.25">
      <c r="B5780" s="11"/>
    </row>
    <row r="5781" spans="2:2" x14ac:dyDescent="0.25">
      <c r="B5781" s="11"/>
    </row>
    <row r="5782" spans="2:2" x14ac:dyDescent="0.25">
      <c r="B5782" s="11"/>
    </row>
    <row r="5783" spans="2:2" x14ac:dyDescent="0.25">
      <c r="B5783" s="11"/>
    </row>
    <row r="5784" spans="2:2" x14ac:dyDescent="0.25">
      <c r="B5784" s="11"/>
    </row>
    <row r="5785" spans="2:2" x14ac:dyDescent="0.25">
      <c r="B5785" s="11"/>
    </row>
    <row r="5786" spans="2:2" x14ac:dyDescent="0.25">
      <c r="B5786" s="11"/>
    </row>
    <row r="5787" spans="2:2" x14ac:dyDescent="0.25">
      <c r="B5787" s="11"/>
    </row>
    <row r="5788" spans="2:2" x14ac:dyDescent="0.25">
      <c r="B5788" s="11"/>
    </row>
    <row r="5789" spans="2:2" x14ac:dyDescent="0.25">
      <c r="B5789" s="11"/>
    </row>
    <row r="5790" spans="2:2" x14ac:dyDescent="0.25">
      <c r="B5790" s="11"/>
    </row>
    <row r="5791" spans="2:2" x14ac:dyDescent="0.25">
      <c r="B5791" s="11"/>
    </row>
    <row r="5792" spans="2:2" x14ac:dyDescent="0.25">
      <c r="B5792" s="11"/>
    </row>
    <row r="5793" spans="2:2" x14ac:dyDescent="0.25">
      <c r="B5793" s="11"/>
    </row>
    <row r="5794" spans="2:2" x14ac:dyDescent="0.25">
      <c r="B5794" s="11"/>
    </row>
    <row r="5795" spans="2:2" x14ac:dyDescent="0.25">
      <c r="B5795" s="11"/>
    </row>
    <row r="5796" spans="2:2" x14ac:dyDescent="0.25">
      <c r="B5796" s="11"/>
    </row>
    <row r="5797" spans="2:2" x14ac:dyDescent="0.25">
      <c r="B5797" s="11"/>
    </row>
    <row r="5798" spans="2:2" x14ac:dyDescent="0.25">
      <c r="B5798" s="11"/>
    </row>
    <row r="5799" spans="2:2" x14ac:dyDescent="0.25">
      <c r="B5799" s="11"/>
    </row>
    <row r="5800" spans="2:2" x14ac:dyDescent="0.25">
      <c r="B5800" s="11"/>
    </row>
    <row r="5801" spans="2:2" x14ac:dyDescent="0.25">
      <c r="B5801" s="11"/>
    </row>
    <row r="5802" spans="2:2" x14ac:dyDescent="0.25">
      <c r="B5802" s="11"/>
    </row>
    <row r="5803" spans="2:2" x14ac:dyDescent="0.25">
      <c r="B5803" s="11"/>
    </row>
    <row r="5804" spans="2:2" x14ac:dyDescent="0.25">
      <c r="B5804" s="11"/>
    </row>
    <row r="5805" spans="2:2" x14ac:dyDescent="0.25">
      <c r="B5805" s="11"/>
    </row>
    <row r="5806" spans="2:2" x14ac:dyDescent="0.25">
      <c r="B5806" s="11"/>
    </row>
    <row r="5807" spans="2:2" x14ac:dyDescent="0.25">
      <c r="B5807" s="11"/>
    </row>
    <row r="5808" spans="2:2" x14ac:dyDescent="0.25">
      <c r="B5808" s="11"/>
    </row>
    <row r="5809" spans="2:2" x14ac:dyDescent="0.25">
      <c r="B5809" s="11"/>
    </row>
    <row r="5810" spans="2:2" x14ac:dyDescent="0.25">
      <c r="B5810" s="11"/>
    </row>
    <row r="5811" spans="2:2" x14ac:dyDescent="0.25">
      <c r="B5811" s="11"/>
    </row>
    <row r="5812" spans="2:2" x14ac:dyDescent="0.25">
      <c r="B5812" s="11"/>
    </row>
    <row r="5813" spans="2:2" x14ac:dyDescent="0.25">
      <c r="B5813" s="11"/>
    </row>
    <row r="5814" spans="2:2" x14ac:dyDescent="0.25">
      <c r="B5814" s="11"/>
    </row>
    <row r="5815" spans="2:2" x14ac:dyDescent="0.25">
      <c r="B5815" s="11"/>
    </row>
    <row r="5816" spans="2:2" x14ac:dyDescent="0.25">
      <c r="B5816" s="11"/>
    </row>
    <row r="5817" spans="2:2" x14ac:dyDescent="0.25">
      <c r="B5817" s="11"/>
    </row>
    <row r="5818" spans="2:2" x14ac:dyDescent="0.25">
      <c r="B5818" s="11"/>
    </row>
    <row r="5819" spans="2:2" x14ac:dyDescent="0.25">
      <c r="B5819" s="11"/>
    </row>
    <row r="5820" spans="2:2" x14ac:dyDescent="0.25">
      <c r="B5820" s="11"/>
    </row>
    <row r="5821" spans="2:2" x14ac:dyDescent="0.25">
      <c r="B5821" s="11"/>
    </row>
    <row r="5822" spans="2:2" x14ac:dyDescent="0.25">
      <c r="B5822" s="11"/>
    </row>
    <row r="5823" spans="2:2" x14ac:dyDescent="0.25">
      <c r="B5823" s="11"/>
    </row>
    <row r="5824" spans="2:2" x14ac:dyDescent="0.25">
      <c r="B5824" s="11"/>
    </row>
    <row r="5825" spans="2:2" x14ac:dyDescent="0.25">
      <c r="B5825" s="11"/>
    </row>
    <row r="5826" spans="2:2" x14ac:dyDescent="0.25">
      <c r="B5826" s="11"/>
    </row>
    <row r="5827" spans="2:2" x14ac:dyDescent="0.25">
      <c r="B5827" s="11"/>
    </row>
    <row r="5828" spans="2:2" x14ac:dyDescent="0.25">
      <c r="B5828" s="11"/>
    </row>
    <row r="5829" spans="2:2" x14ac:dyDescent="0.25">
      <c r="B5829" s="11"/>
    </row>
    <row r="5830" spans="2:2" x14ac:dyDescent="0.25">
      <c r="B5830" s="11"/>
    </row>
    <row r="5831" spans="2:2" x14ac:dyDescent="0.25">
      <c r="B5831" s="11"/>
    </row>
    <row r="5832" spans="2:2" x14ac:dyDescent="0.25">
      <c r="B5832" s="11"/>
    </row>
    <row r="5833" spans="2:2" x14ac:dyDescent="0.25">
      <c r="B5833" s="11"/>
    </row>
    <row r="5834" spans="2:2" x14ac:dyDescent="0.25">
      <c r="B5834" s="11"/>
    </row>
    <row r="5835" spans="2:2" x14ac:dyDescent="0.25">
      <c r="B5835" s="11"/>
    </row>
    <row r="5836" spans="2:2" x14ac:dyDescent="0.25">
      <c r="B5836" s="11"/>
    </row>
    <row r="5837" spans="2:2" x14ac:dyDescent="0.25">
      <c r="B5837" s="11"/>
    </row>
    <row r="5838" spans="2:2" x14ac:dyDescent="0.25">
      <c r="B5838" s="11"/>
    </row>
    <row r="5839" spans="2:2" x14ac:dyDescent="0.25">
      <c r="B5839" s="11"/>
    </row>
    <row r="5840" spans="2:2" x14ac:dyDescent="0.25">
      <c r="B5840" s="11"/>
    </row>
    <row r="5841" spans="2:2" x14ac:dyDescent="0.25">
      <c r="B5841" s="11"/>
    </row>
    <row r="5842" spans="2:2" x14ac:dyDescent="0.25">
      <c r="B5842" s="11"/>
    </row>
    <row r="5843" spans="2:2" x14ac:dyDescent="0.25">
      <c r="B5843" s="11"/>
    </row>
    <row r="5844" spans="2:2" x14ac:dyDescent="0.25">
      <c r="B5844" s="11"/>
    </row>
    <row r="5845" spans="2:2" x14ac:dyDescent="0.25">
      <c r="B5845" s="11"/>
    </row>
    <row r="5846" spans="2:2" x14ac:dyDescent="0.25">
      <c r="B5846" s="11"/>
    </row>
    <row r="5847" spans="2:2" x14ac:dyDescent="0.25">
      <c r="B5847" s="11"/>
    </row>
    <row r="5848" spans="2:2" x14ac:dyDescent="0.25">
      <c r="B5848" s="11"/>
    </row>
    <row r="5849" spans="2:2" x14ac:dyDescent="0.25">
      <c r="B5849" s="11"/>
    </row>
    <row r="5850" spans="2:2" x14ac:dyDescent="0.25">
      <c r="B5850" s="11"/>
    </row>
    <row r="5851" spans="2:2" x14ac:dyDescent="0.25">
      <c r="B5851" s="11"/>
    </row>
    <row r="5852" spans="2:2" x14ac:dyDescent="0.25">
      <c r="B5852" s="11"/>
    </row>
    <row r="5853" spans="2:2" x14ac:dyDescent="0.25">
      <c r="B5853" s="11"/>
    </row>
    <row r="5854" spans="2:2" x14ac:dyDescent="0.25">
      <c r="B5854" s="11"/>
    </row>
    <row r="5855" spans="2:2" x14ac:dyDescent="0.25">
      <c r="B5855" s="11"/>
    </row>
    <row r="5856" spans="2:2" x14ac:dyDescent="0.25">
      <c r="B5856" s="11"/>
    </row>
    <row r="5857" spans="2:2" x14ac:dyDescent="0.25">
      <c r="B5857" s="11"/>
    </row>
    <row r="5858" spans="2:2" x14ac:dyDescent="0.25">
      <c r="B5858" s="11"/>
    </row>
    <row r="5859" spans="2:2" x14ac:dyDescent="0.25">
      <c r="B5859" s="11"/>
    </row>
    <row r="5860" spans="2:2" x14ac:dyDescent="0.25">
      <c r="B5860" s="11"/>
    </row>
    <row r="5861" spans="2:2" x14ac:dyDescent="0.25">
      <c r="B5861" s="11"/>
    </row>
    <row r="5862" spans="2:2" x14ac:dyDescent="0.25">
      <c r="B5862" s="11"/>
    </row>
    <row r="5863" spans="2:2" x14ac:dyDescent="0.25">
      <c r="B5863" s="11"/>
    </row>
    <row r="5864" spans="2:2" x14ac:dyDescent="0.25">
      <c r="B5864" s="11"/>
    </row>
    <row r="5865" spans="2:2" x14ac:dyDescent="0.25">
      <c r="B5865" s="11"/>
    </row>
    <row r="5866" spans="2:2" x14ac:dyDescent="0.25">
      <c r="B5866" s="11"/>
    </row>
    <row r="5867" spans="2:2" x14ac:dyDescent="0.25">
      <c r="B5867" s="11"/>
    </row>
    <row r="5868" spans="2:2" x14ac:dyDescent="0.25">
      <c r="B5868" s="11"/>
    </row>
    <row r="5869" spans="2:2" x14ac:dyDescent="0.25">
      <c r="B5869" s="11"/>
    </row>
    <row r="5870" spans="2:2" x14ac:dyDescent="0.25">
      <c r="B5870" s="11"/>
    </row>
    <row r="5871" spans="2:2" x14ac:dyDescent="0.25">
      <c r="B5871" s="11"/>
    </row>
    <row r="5872" spans="2:2" x14ac:dyDescent="0.25">
      <c r="B5872" s="11"/>
    </row>
    <row r="5873" spans="2:2" x14ac:dyDescent="0.25">
      <c r="B5873" s="11"/>
    </row>
    <row r="5874" spans="2:2" x14ac:dyDescent="0.25">
      <c r="B5874" s="11"/>
    </row>
    <row r="5875" spans="2:2" x14ac:dyDescent="0.25">
      <c r="B5875" s="11"/>
    </row>
    <row r="5876" spans="2:2" x14ac:dyDescent="0.25">
      <c r="B5876" s="11"/>
    </row>
    <row r="5877" spans="2:2" x14ac:dyDescent="0.25">
      <c r="B5877" s="11"/>
    </row>
    <row r="5878" spans="2:2" x14ac:dyDescent="0.25">
      <c r="B5878" s="11"/>
    </row>
    <row r="5879" spans="2:2" x14ac:dyDescent="0.25">
      <c r="B5879" s="11"/>
    </row>
    <row r="5880" spans="2:2" x14ac:dyDescent="0.25">
      <c r="B5880" s="11"/>
    </row>
    <row r="5881" spans="2:2" x14ac:dyDescent="0.25">
      <c r="B5881" s="11"/>
    </row>
    <row r="5882" spans="2:2" x14ac:dyDescent="0.25">
      <c r="B5882" s="11"/>
    </row>
    <row r="5883" spans="2:2" x14ac:dyDescent="0.25">
      <c r="B5883" s="11"/>
    </row>
    <row r="5884" spans="2:2" x14ac:dyDescent="0.25">
      <c r="B5884" s="11"/>
    </row>
    <row r="5885" spans="2:2" x14ac:dyDescent="0.25">
      <c r="B5885" s="11"/>
    </row>
    <row r="5886" spans="2:2" x14ac:dyDescent="0.25">
      <c r="B5886" s="11"/>
    </row>
    <row r="5887" spans="2:2" x14ac:dyDescent="0.25">
      <c r="B5887" s="11"/>
    </row>
    <row r="5888" spans="2:2" x14ac:dyDescent="0.25">
      <c r="B5888" s="11"/>
    </row>
    <row r="5889" spans="2:2" x14ac:dyDescent="0.25">
      <c r="B5889" s="11"/>
    </row>
    <row r="5890" spans="2:2" x14ac:dyDescent="0.25">
      <c r="B5890" s="11"/>
    </row>
    <row r="5891" spans="2:2" x14ac:dyDescent="0.25">
      <c r="B5891" s="11"/>
    </row>
    <row r="5892" spans="2:2" x14ac:dyDescent="0.25">
      <c r="B5892" s="11"/>
    </row>
    <row r="5893" spans="2:2" x14ac:dyDescent="0.25">
      <c r="B5893" s="11"/>
    </row>
    <row r="5894" spans="2:2" x14ac:dyDescent="0.25">
      <c r="B5894" s="11"/>
    </row>
    <row r="5895" spans="2:2" x14ac:dyDescent="0.25">
      <c r="B5895" s="11"/>
    </row>
    <row r="5896" spans="2:2" x14ac:dyDescent="0.25">
      <c r="B5896" s="11"/>
    </row>
    <row r="5897" spans="2:2" x14ac:dyDescent="0.25">
      <c r="B5897" s="11"/>
    </row>
    <row r="5898" spans="2:2" x14ac:dyDescent="0.25">
      <c r="B5898" s="11"/>
    </row>
    <row r="5899" spans="2:2" x14ac:dyDescent="0.25">
      <c r="B5899" s="11"/>
    </row>
    <row r="5900" spans="2:2" x14ac:dyDescent="0.25">
      <c r="B5900" s="11"/>
    </row>
    <row r="5901" spans="2:2" x14ac:dyDescent="0.25">
      <c r="B5901" s="11"/>
    </row>
    <row r="5902" spans="2:2" x14ac:dyDescent="0.25">
      <c r="B5902" s="11"/>
    </row>
    <row r="5903" spans="2:2" x14ac:dyDescent="0.25">
      <c r="B5903" s="11"/>
    </row>
    <row r="5904" spans="2:2" x14ac:dyDescent="0.25">
      <c r="B5904" s="11"/>
    </row>
    <row r="5905" spans="2:2" x14ac:dyDescent="0.25">
      <c r="B5905" s="11"/>
    </row>
    <row r="5906" spans="2:2" x14ac:dyDescent="0.25">
      <c r="B5906" s="11"/>
    </row>
    <row r="5907" spans="2:2" x14ac:dyDescent="0.25">
      <c r="B5907" s="11"/>
    </row>
    <row r="5908" spans="2:2" x14ac:dyDescent="0.25">
      <c r="B5908" s="11"/>
    </row>
    <row r="5909" spans="2:2" x14ac:dyDescent="0.25">
      <c r="B5909" s="11"/>
    </row>
    <row r="5910" spans="2:2" x14ac:dyDescent="0.25">
      <c r="B5910" s="11"/>
    </row>
    <row r="5911" spans="2:2" x14ac:dyDescent="0.25">
      <c r="B5911" s="11"/>
    </row>
    <row r="5912" spans="2:2" x14ac:dyDescent="0.25">
      <c r="B5912" s="11"/>
    </row>
    <row r="5913" spans="2:2" x14ac:dyDescent="0.25">
      <c r="B5913" s="11"/>
    </row>
    <row r="5914" spans="2:2" x14ac:dyDescent="0.25">
      <c r="B5914" s="11"/>
    </row>
    <row r="5915" spans="2:2" x14ac:dyDescent="0.25">
      <c r="B5915" s="11"/>
    </row>
    <row r="5916" spans="2:2" x14ac:dyDescent="0.25">
      <c r="B5916" s="11"/>
    </row>
    <row r="5917" spans="2:2" x14ac:dyDescent="0.25">
      <c r="B5917" s="11"/>
    </row>
    <row r="5918" spans="2:2" x14ac:dyDescent="0.25">
      <c r="B5918" s="11"/>
    </row>
    <row r="5919" spans="2:2" x14ac:dyDescent="0.25">
      <c r="B5919" s="11"/>
    </row>
    <row r="5920" spans="2:2" x14ac:dyDescent="0.25">
      <c r="B5920" s="11"/>
    </row>
    <row r="5921" spans="2:2" x14ac:dyDescent="0.25">
      <c r="B5921" s="11"/>
    </row>
    <row r="5922" spans="2:2" x14ac:dyDescent="0.25">
      <c r="B5922" s="11"/>
    </row>
    <row r="5923" spans="2:2" x14ac:dyDescent="0.25">
      <c r="B5923" s="11"/>
    </row>
    <row r="5924" spans="2:2" x14ac:dyDescent="0.25">
      <c r="B5924" s="11"/>
    </row>
    <row r="5925" spans="2:2" x14ac:dyDescent="0.25">
      <c r="B5925" s="11"/>
    </row>
    <row r="5926" spans="2:2" x14ac:dyDescent="0.25">
      <c r="B5926" s="11"/>
    </row>
    <row r="5927" spans="2:2" x14ac:dyDescent="0.25">
      <c r="B5927" s="11"/>
    </row>
    <row r="5928" spans="2:2" x14ac:dyDescent="0.25">
      <c r="B5928" s="11"/>
    </row>
    <row r="5929" spans="2:2" x14ac:dyDescent="0.25">
      <c r="B5929" s="11"/>
    </row>
    <row r="5930" spans="2:2" x14ac:dyDescent="0.25">
      <c r="B5930" s="11"/>
    </row>
    <row r="5931" spans="2:2" x14ac:dyDescent="0.25">
      <c r="B5931" s="11"/>
    </row>
    <row r="5932" spans="2:2" x14ac:dyDescent="0.25">
      <c r="B5932" s="11"/>
    </row>
    <row r="5933" spans="2:2" x14ac:dyDescent="0.25">
      <c r="B5933" s="11"/>
    </row>
    <row r="5934" spans="2:2" x14ac:dyDescent="0.25">
      <c r="B5934" s="11"/>
    </row>
    <row r="5935" spans="2:2" x14ac:dyDescent="0.25">
      <c r="B5935" s="11"/>
    </row>
    <row r="5936" spans="2:2" x14ac:dyDescent="0.25">
      <c r="B5936" s="11"/>
    </row>
    <row r="5937" spans="2:2" x14ac:dyDescent="0.25">
      <c r="B5937" s="11"/>
    </row>
    <row r="5938" spans="2:2" x14ac:dyDescent="0.25">
      <c r="B5938" s="11"/>
    </row>
    <row r="5939" spans="2:2" x14ac:dyDescent="0.25">
      <c r="B5939" s="11"/>
    </row>
    <row r="5940" spans="2:2" x14ac:dyDescent="0.25">
      <c r="B5940" s="11"/>
    </row>
    <row r="5941" spans="2:2" x14ac:dyDescent="0.25">
      <c r="B5941" s="11"/>
    </row>
    <row r="5942" spans="2:2" x14ac:dyDescent="0.25">
      <c r="B5942" s="11"/>
    </row>
    <row r="5943" spans="2:2" x14ac:dyDescent="0.25">
      <c r="B5943" s="11"/>
    </row>
    <row r="5944" spans="2:2" x14ac:dyDescent="0.25">
      <c r="B5944" s="11"/>
    </row>
    <row r="5945" spans="2:2" x14ac:dyDescent="0.25">
      <c r="B5945" s="11"/>
    </row>
    <row r="5946" spans="2:2" x14ac:dyDescent="0.25">
      <c r="B5946" s="11"/>
    </row>
    <row r="5947" spans="2:2" x14ac:dyDescent="0.25">
      <c r="B5947" s="11"/>
    </row>
    <row r="5948" spans="2:2" x14ac:dyDescent="0.25">
      <c r="B5948" s="11"/>
    </row>
    <row r="5949" spans="2:2" x14ac:dyDescent="0.25">
      <c r="B5949" s="11"/>
    </row>
    <row r="5950" spans="2:2" x14ac:dyDescent="0.25">
      <c r="B5950" s="11"/>
    </row>
    <row r="5951" spans="2:2" x14ac:dyDescent="0.25">
      <c r="B5951" s="11"/>
    </row>
    <row r="5952" spans="2:2" x14ac:dyDescent="0.25">
      <c r="B5952" s="11"/>
    </row>
    <row r="5953" spans="2:2" x14ac:dyDescent="0.25">
      <c r="B5953" s="11"/>
    </row>
    <row r="5954" spans="2:2" x14ac:dyDescent="0.25">
      <c r="B5954" s="11"/>
    </row>
    <row r="5955" spans="2:2" x14ac:dyDescent="0.25">
      <c r="B5955" s="11"/>
    </row>
    <row r="5956" spans="2:2" x14ac:dyDescent="0.25">
      <c r="B5956" s="11"/>
    </row>
    <row r="5957" spans="2:2" x14ac:dyDescent="0.25">
      <c r="B5957" s="11"/>
    </row>
    <row r="5958" spans="2:2" x14ac:dyDescent="0.25">
      <c r="B5958" s="11"/>
    </row>
    <row r="5959" spans="2:2" x14ac:dyDescent="0.25">
      <c r="B5959" s="11"/>
    </row>
    <row r="5960" spans="2:2" x14ac:dyDescent="0.25">
      <c r="B5960" s="11"/>
    </row>
    <row r="5961" spans="2:2" x14ac:dyDescent="0.25">
      <c r="B5961" s="11"/>
    </row>
    <row r="5962" spans="2:2" x14ac:dyDescent="0.25">
      <c r="B5962" s="11"/>
    </row>
    <row r="5963" spans="2:2" x14ac:dyDescent="0.25">
      <c r="B5963" s="11"/>
    </row>
    <row r="5964" spans="2:2" x14ac:dyDescent="0.25">
      <c r="B5964" s="11"/>
    </row>
    <row r="5965" spans="2:2" x14ac:dyDescent="0.25">
      <c r="B5965" s="11"/>
    </row>
    <row r="5966" spans="2:2" x14ac:dyDescent="0.25">
      <c r="B5966" s="11"/>
    </row>
    <row r="5967" spans="2:2" x14ac:dyDescent="0.25">
      <c r="B5967" s="11"/>
    </row>
    <row r="5968" spans="2:2" x14ac:dyDescent="0.25">
      <c r="B5968" s="11"/>
    </row>
    <row r="5969" spans="2:2" x14ac:dyDescent="0.25">
      <c r="B5969" s="11"/>
    </row>
    <row r="5970" spans="2:2" x14ac:dyDescent="0.25">
      <c r="B5970" s="11"/>
    </row>
    <row r="5971" spans="2:2" x14ac:dyDescent="0.25">
      <c r="B5971" s="11"/>
    </row>
    <row r="5972" spans="2:2" x14ac:dyDescent="0.25">
      <c r="B5972" s="11"/>
    </row>
    <row r="5973" spans="2:2" x14ac:dyDescent="0.25">
      <c r="B5973" s="11"/>
    </row>
    <row r="5974" spans="2:2" x14ac:dyDescent="0.25">
      <c r="B5974" s="11"/>
    </row>
    <row r="5975" spans="2:2" x14ac:dyDescent="0.25">
      <c r="B5975" s="11"/>
    </row>
    <row r="5976" spans="2:2" x14ac:dyDescent="0.25">
      <c r="B5976" s="11"/>
    </row>
    <row r="5977" spans="2:2" x14ac:dyDescent="0.25">
      <c r="B5977" s="11"/>
    </row>
    <row r="5978" spans="2:2" x14ac:dyDescent="0.25">
      <c r="B5978" s="11"/>
    </row>
    <row r="5979" spans="2:2" x14ac:dyDescent="0.25">
      <c r="B5979" s="11"/>
    </row>
    <row r="5980" spans="2:2" x14ac:dyDescent="0.25">
      <c r="B5980" s="11"/>
    </row>
    <row r="5981" spans="2:2" x14ac:dyDescent="0.25">
      <c r="B5981" s="11"/>
    </row>
    <row r="5982" spans="2:2" x14ac:dyDescent="0.25">
      <c r="B5982" s="11"/>
    </row>
    <row r="5983" spans="2:2" x14ac:dyDescent="0.25">
      <c r="B5983" s="11"/>
    </row>
    <row r="5984" spans="2:2" x14ac:dyDescent="0.25">
      <c r="B5984" s="11"/>
    </row>
    <row r="5985" spans="2:2" x14ac:dyDescent="0.25">
      <c r="B5985" s="11"/>
    </row>
    <row r="5986" spans="2:2" x14ac:dyDescent="0.25">
      <c r="B5986" s="11"/>
    </row>
    <row r="5987" spans="2:2" x14ac:dyDescent="0.25">
      <c r="B5987" s="11"/>
    </row>
    <row r="5988" spans="2:2" x14ac:dyDescent="0.25">
      <c r="B5988" s="11"/>
    </row>
    <row r="5989" spans="2:2" x14ac:dyDescent="0.25">
      <c r="B5989" s="11"/>
    </row>
    <row r="5990" spans="2:2" x14ac:dyDescent="0.25">
      <c r="B5990" s="11"/>
    </row>
    <row r="5991" spans="2:2" x14ac:dyDescent="0.25">
      <c r="B5991" s="11"/>
    </row>
    <row r="5992" spans="2:2" x14ac:dyDescent="0.25">
      <c r="B5992" s="11"/>
    </row>
    <row r="5993" spans="2:2" x14ac:dyDescent="0.25">
      <c r="B5993" s="11"/>
    </row>
    <row r="5994" spans="2:2" x14ac:dyDescent="0.25">
      <c r="B5994" s="11"/>
    </row>
    <row r="5995" spans="2:2" x14ac:dyDescent="0.25">
      <c r="B5995" s="11"/>
    </row>
    <row r="5996" spans="2:2" x14ac:dyDescent="0.25">
      <c r="B5996" s="11"/>
    </row>
    <row r="5997" spans="2:2" x14ac:dyDescent="0.25">
      <c r="B5997" s="11"/>
    </row>
    <row r="5998" spans="2:2" x14ac:dyDescent="0.25">
      <c r="B5998" s="11"/>
    </row>
    <row r="5999" spans="2:2" x14ac:dyDescent="0.25">
      <c r="B5999" s="11"/>
    </row>
    <row r="6000" spans="2:2" x14ac:dyDescent="0.25">
      <c r="B6000" s="11"/>
    </row>
    <row r="6001" spans="2:2" x14ac:dyDescent="0.25">
      <c r="B6001" s="11"/>
    </row>
    <row r="6002" spans="2:2" x14ac:dyDescent="0.25">
      <c r="B6002" s="11"/>
    </row>
    <row r="6003" spans="2:2" x14ac:dyDescent="0.25">
      <c r="B6003" s="11"/>
    </row>
    <row r="6004" spans="2:2" x14ac:dyDescent="0.25">
      <c r="B6004" s="11"/>
    </row>
    <row r="6005" spans="2:2" x14ac:dyDescent="0.25">
      <c r="B6005" s="11"/>
    </row>
    <row r="6006" spans="2:2" x14ac:dyDescent="0.25">
      <c r="B6006" s="11"/>
    </row>
    <row r="6007" spans="2:2" x14ac:dyDescent="0.25">
      <c r="B6007" s="11"/>
    </row>
    <row r="6008" spans="2:2" x14ac:dyDescent="0.25">
      <c r="B6008" s="11"/>
    </row>
    <row r="6009" spans="2:2" x14ac:dyDescent="0.25">
      <c r="B6009" s="11"/>
    </row>
    <row r="6010" spans="2:2" x14ac:dyDescent="0.25">
      <c r="B6010" s="11"/>
    </row>
    <row r="6011" spans="2:2" x14ac:dyDescent="0.25">
      <c r="B6011" s="11"/>
    </row>
    <row r="6012" spans="2:2" x14ac:dyDescent="0.25">
      <c r="B6012" s="11"/>
    </row>
    <row r="6013" spans="2:2" x14ac:dyDescent="0.25">
      <c r="B6013" s="11"/>
    </row>
    <row r="6014" spans="2:2" x14ac:dyDescent="0.25">
      <c r="B6014" s="11"/>
    </row>
    <row r="6015" spans="2:2" x14ac:dyDescent="0.25">
      <c r="B6015" s="11"/>
    </row>
    <row r="6016" spans="2:2" x14ac:dyDescent="0.25">
      <c r="B6016" s="11"/>
    </row>
    <row r="6017" spans="2:2" x14ac:dyDescent="0.25">
      <c r="B6017" s="11"/>
    </row>
    <row r="6018" spans="2:2" x14ac:dyDescent="0.25">
      <c r="B6018" s="11"/>
    </row>
    <row r="6019" spans="2:2" x14ac:dyDescent="0.25">
      <c r="B6019" s="11"/>
    </row>
    <row r="6020" spans="2:2" x14ac:dyDescent="0.25">
      <c r="B6020" s="11"/>
    </row>
    <row r="6021" spans="2:2" x14ac:dyDescent="0.25">
      <c r="B6021" s="11"/>
    </row>
    <row r="6022" spans="2:2" x14ac:dyDescent="0.25">
      <c r="B6022" s="11"/>
    </row>
    <row r="6023" spans="2:2" x14ac:dyDescent="0.25">
      <c r="B6023" s="11"/>
    </row>
    <row r="6024" spans="2:2" x14ac:dyDescent="0.25">
      <c r="B6024" s="11"/>
    </row>
    <row r="6025" spans="2:2" x14ac:dyDescent="0.25">
      <c r="B6025" s="11"/>
    </row>
    <row r="6026" spans="2:2" x14ac:dyDescent="0.25">
      <c r="B6026" s="11"/>
    </row>
    <row r="6027" spans="2:2" x14ac:dyDescent="0.25">
      <c r="B6027" s="11"/>
    </row>
    <row r="6028" spans="2:2" x14ac:dyDescent="0.25">
      <c r="B6028" s="11"/>
    </row>
    <row r="6029" spans="2:2" x14ac:dyDescent="0.25">
      <c r="B6029" s="11"/>
    </row>
    <row r="6030" spans="2:2" x14ac:dyDescent="0.25">
      <c r="B6030" s="11"/>
    </row>
    <row r="6031" spans="2:2" x14ac:dyDescent="0.25">
      <c r="B6031" s="11"/>
    </row>
    <row r="6032" spans="2:2" x14ac:dyDescent="0.25">
      <c r="B6032" s="11"/>
    </row>
    <row r="6033" spans="2:2" x14ac:dyDescent="0.25">
      <c r="B6033" s="11"/>
    </row>
    <row r="6034" spans="2:2" x14ac:dyDescent="0.25">
      <c r="B6034" s="11"/>
    </row>
    <row r="6035" spans="2:2" x14ac:dyDescent="0.25">
      <c r="B6035" s="11"/>
    </row>
    <row r="6036" spans="2:2" x14ac:dyDescent="0.25">
      <c r="B6036" s="11"/>
    </row>
    <row r="6037" spans="2:2" x14ac:dyDescent="0.25">
      <c r="B6037" s="11"/>
    </row>
    <row r="6038" spans="2:2" x14ac:dyDescent="0.25">
      <c r="B6038" s="11"/>
    </row>
    <row r="6039" spans="2:2" x14ac:dyDescent="0.25">
      <c r="B6039" s="11"/>
    </row>
    <row r="6040" spans="2:2" x14ac:dyDescent="0.25">
      <c r="B6040" s="11"/>
    </row>
    <row r="6041" spans="2:2" x14ac:dyDescent="0.25">
      <c r="B6041" s="11"/>
    </row>
    <row r="6042" spans="2:2" x14ac:dyDescent="0.25">
      <c r="B6042" s="11"/>
    </row>
    <row r="6043" spans="2:2" x14ac:dyDescent="0.25">
      <c r="B6043" s="11"/>
    </row>
    <row r="6044" spans="2:2" x14ac:dyDescent="0.25">
      <c r="B6044" s="11"/>
    </row>
    <row r="6045" spans="2:2" x14ac:dyDescent="0.25">
      <c r="B6045" s="11"/>
    </row>
    <row r="6046" spans="2:2" x14ac:dyDescent="0.25">
      <c r="B6046" s="11"/>
    </row>
    <row r="6047" spans="2:2" x14ac:dyDescent="0.25">
      <c r="B6047" s="11"/>
    </row>
    <row r="6048" spans="2:2" x14ac:dyDescent="0.25">
      <c r="B6048" s="11"/>
    </row>
    <row r="6049" spans="2:2" x14ac:dyDescent="0.25">
      <c r="B6049" s="11"/>
    </row>
    <row r="6050" spans="2:2" x14ac:dyDescent="0.25">
      <c r="B6050" s="11"/>
    </row>
    <row r="6051" spans="2:2" x14ac:dyDescent="0.25">
      <c r="B6051" s="11"/>
    </row>
    <row r="6052" spans="2:2" x14ac:dyDescent="0.25">
      <c r="B6052" s="11"/>
    </row>
    <row r="6053" spans="2:2" x14ac:dyDescent="0.25">
      <c r="B6053" s="11"/>
    </row>
    <row r="6054" spans="2:2" x14ac:dyDescent="0.25">
      <c r="B6054" s="11"/>
    </row>
    <row r="6055" spans="2:2" x14ac:dyDescent="0.25">
      <c r="B6055" s="11"/>
    </row>
    <row r="6056" spans="2:2" x14ac:dyDescent="0.25">
      <c r="B6056" s="11"/>
    </row>
    <row r="6057" spans="2:2" x14ac:dyDescent="0.25">
      <c r="B6057" s="11"/>
    </row>
    <row r="6058" spans="2:2" x14ac:dyDescent="0.25">
      <c r="B6058" s="11"/>
    </row>
    <row r="6059" spans="2:2" x14ac:dyDescent="0.25">
      <c r="B6059" s="11"/>
    </row>
    <row r="6060" spans="2:2" x14ac:dyDescent="0.25">
      <c r="B6060" s="11"/>
    </row>
    <row r="6061" spans="2:2" x14ac:dyDescent="0.25">
      <c r="B6061" s="11"/>
    </row>
    <row r="6062" spans="2:2" x14ac:dyDescent="0.25">
      <c r="B6062" s="11"/>
    </row>
    <row r="6063" spans="2:2" x14ac:dyDescent="0.25">
      <c r="B6063" s="11"/>
    </row>
    <row r="6064" spans="2:2" x14ac:dyDescent="0.25">
      <c r="B6064" s="11"/>
    </row>
    <row r="6065" spans="2:2" x14ac:dyDescent="0.25">
      <c r="B6065" s="11"/>
    </row>
    <row r="6066" spans="2:2" x14ac:dyDescent="0.25">
      <c r="B6066" s="11"/>
    </row>
    <row r="6067" spans="2:2" x14ac:dyDescent="0.25">
      <c r="B6067" s="11"/>
    </row>
    <row r="6068" spans="2:2" x14ac:dyDescent="0.25">
      <c r="B6068" s="11"/>
    </row>
    <row r="6069" spans="2:2" x14ac:dyDescent="0.25">
      <c r="B6069" s="11"/>
    </row>
    <row r="6070" spans="2:2" x14ac:dyDescent="0.25">
      <c r="B6070" s="11"/>
    </row>
    <row r="6071" spans="2:2" x14ac:dyDescent="0.25">
      <c r="B6071" s="11"/>
    </row>
    <row r="6072" spans="2:2" x14ac:dyDescent="0.25">
      <c r="B6072" s="11"/>
    </row>
    <row r="6073" spans="2:2" x14ac:dyDescent="0.25">
      <c r="B6073" s="11"/>
    </row>
    <row r="6074" spans="2:2" x14ac:dyDescent="0.25">
      <c r="B6074" s="11"/>
    </row>
    <row r="6075" spans="2:2" x14ac:dyDescent="0.25">
      <c r="B6075" s="11"/>
    </row>
    <row r="6076" spans="2:2" x14ac:dyDescent="0.25">
      <c r="B6076" s="11"/>
    </row>
    <row r="6077" spans="2:2" x14ac:dyDescent="0.25">
      <c r="B6077" s="11"/>
    </row>
    <row r="6078" spans="2:2" x14ac:dyDescent="0.25">
      <c r="B6078" s="11"/>
    </row>
    <row r="6079" spans="2:2" x14ac:dyDescent="0.25">
      <c r="B6079" s="11"/>
    </row>
    <row r="6080" spans="2:2" x14ac:dyDescent="0.25">
      <c r="B6080" s="11"/>
    </row>
    <row r="6081" spans="2:2" x14ac:dyDescent="0.25">
      <c r="B6081" s="11"/>
    </row>
    <row r="6082" spans="2:2" x14ac:dyDescent="0.25">
      <c r="B6082" s="11"/>
    </row>
    <row r="6083" spans="2:2" x14ac:dyDescent="0.25">
      <c r="B6083" s="11"/>
    </row>
    <row r="6084" spans="2:2" x14ac:dyDescent="0.25">
      <c r="B6084" s="11"/>
    </row>
    <row r="6085" spans="2:2" x14ac:dyDescent="0.25">
      <c r="B6085" s="11"/>
    </row>
    <row r="6086" spans="2:2" x14ac:dyDescent="0.25">
      <c r="B6086" s="11"/>
    </row>
    <row r="6087" spans="2:2" x14ac:dyDescent="0.25">
      <c r="B6087" s="11"/>
    </row>
    <row r="6088" spans="2:2" x14ac:dyDescent="0.25">
      <c r="B6088" s="11"/>
    </row>
    <row r="6089" spans="2:2" x14ac:dyDescent="0.25">
      <c r="B6089" s="11"/>
    </row>
    <row r="6090" spans="2:2" x14ac:dyDescent="0.25">
      <c r="B6090" s="11"/>
    </row>
    <row r="6091" spans="2:2" x14ac:dyDescent="0.25">
      <c r="B6091" s="11"/>
    </row>
    <row r="6092" spans="2:2" x14ac:dyDescent="0.25">
      <c r="B6092" s="11"/>
    </row>
    <row r="6093" spans="2:2" x14ac:dyDescent="0.25">
      <c r="B6093" s="11"/>
    </row>
    <row r="6094" spans="2:2" x14ac:dyDescent="0.25">
      <c r="B6094" s="11"/>
    </row>
    <row r="6095" spans="2:2" x14ac:dyDescent="0.25">
      <c r="B6095" s="11"/>
    </row>
    <row r="6096" spans="2:2" x14ac:dyDescent="0.25">
      <c r="B6096" s="11"/>
    </row>
    <row r="6097" spans="2:2" x14ac:dyDescent="0.25">
      <c r="B6097" s="11"/>
    </row>
    <row r="6098" spans="2:2" x14ac:dyDescent="0.25">
      <c r="B6098" s="11"/>
    </row>
    <row r="6099" spans="2:2" x14ac:dyDescent="0.25">
      <c r="B6099" s="11"/>
    </row>
    <row r="6100" spans="2:2" x14ac:dyDescent="0.25">
      <c r="B6100" s="11"/>
    </row>
    <row r="6101" spans="2:2" x14ac:dyDescent="0.25">
      <c r="B6101" s="11"/>
    </row>
    <row r="6102" spans="2:2" x14ac:dyDescent="0.25">
      <c r="B6102" s="11"/>
    </row>
    <row r="6103" spans="2:2" x14ac:dyDescent="0.25">
      <c r="B6103" s="11"/>
    </row>
    <row r="6104" spans="2:2" x14ac:dyDescent="0.25">
      <c r="B6104" s="11"/>
    </row>
    <row r="6105" spans="2:2" x14ac:dyDescent="0.25">
      <c r="B6105" s="11"/>
    </row>
    <row r="6106" spans="2:2" x14ac:dyDescent="0.25">
      <c r="B6106" s="11"/>
    </row>
    <row r="6107" spans="2:2" x14ac:dyDescent="0.25">
      <c r="B6107" s="11"/>
    </row>
    <row r="6108" spans="2:2" x14ac:dyDescent="0.25">
      <c r="B6108" s="11"/>
    </row>
    <row r="6109" spans="2:2" x14ac:dyDescent="0.25">
      <c r="B6109" s="11"/>
    </row>
    <row r="6110" spans="2:2" x14ac:dyDescent="0.25">
      <c r="B6110" s="11"/>
    </row>
    <row r="6111" spans="2:2" x14ac:dyDescent="0.25">
      <c r="B6111" s="11"/>
    </row>
    <row r="6112" spans="2:2" x14ac:dyDescent="0.25">
      <c r="B6112" s="11"/>
    </row>
    <row r="6113" spans="2:2" x14ac:dyDescent="0.25">
      <c r="B6113" s="11"/>
    </row>
    <row r="6114" spans="2:2" x14ac:dyDescent="0.25">
      <c r="B6114" s="11"/>
    </row>
    <row r="6115" spans="2:2" x14ac:dyDescent="0.25">
      <c r="B6115" s="11"/>
    </row>
    <row r="6116" spans="2:2" x14ac:dyDescent="0.25">
      <c r="B6116" s="11"/>
    </row>
    <row r="6117" spans="2:2" x14ac:dyDescent="0.25">
      <c r="B6117" s="11"/>
    </row>
    <row r="6118" spans="2:2" x14ac:dyDescent="0.25">
      <c r="B6118" s="11"/>
    </row>
    <row r="6119" spans="2:2" x14ac:dyDescent="0.25">
      <c r="B6119" s="11"/>
    </row>
    <row r="6120" spans="2:2" x14ac:dyDescent="0.25">
      <c r="B6120" s="11"/>
    </row>
    <row r="6121" spans="2:2" x14ac:dyDescent="0.25">
      <c r="B6121" s="11"/>
    </row>
    <row r="6122" spans="2:2" x14ac:dyDescent="0.25">
      <c r="B6122" s="11"/>
    </row>
    <row r="6123" spans="2:2" x14ac:dyDescent="0.25">
      <c r="B6123" s="11"/>
    </row>
    <row r="6124" spans="2:2" x14ac:dyDescent="0.25">
      <c r="B6124" s="11"/>
    </row>
    <row r="6125" spans="2:2" x14ac:dyDescent="0.25">
      <c r="B6125" s="11"/>
    </row>
    <row r="6126" spans="2:2" x14ac:dyDescent="0.25">
      <c r="B6126" s="11"/>
    </row>
    <row r="6127" spans="2:2" x14ac:dyDescent="0.25">
      <c r="B6127" s="11"/>
    </row>
    <row r="6128" spans="2:2" x14ac:dyDescent="0.25">
      <c r="B6128" s="11"/>
    </row>
    <row r="6129" spans="2:2" x14ac:dyDescent="0.25">
      <c r="B6129" s="11"/>
    </row>
    <row r="6130" spans="2:2" x14ac:dyDescent="0.25">
      <c r="B6130" s="11"/>
    </row>
    <row r="6131" spans="2:2" x14ac:dyDescent="0.25">
      <c r="B6131" s="11"/>
    </row>
    <row r="6132" spans="2:2" x14ac:dyDescent="0.25">
      <c r="B6132" s="11"/>
    </row>
    <row r="6133" spans="2:2" x14ac:dyDescent="0.25">
      <c r="B6133" s="11"/>
    </row>
    <row r="6134" spans="2:2" x14ac:dyDescent="0.25">
      <c r="B6134" s="11"/>
    </row>
    <row r="6135" spans="2:2" x14ac:dyDescent="0.25">
      <c r="B6135" s="11"/>
    </row>
    <row r="6136" spans="2:2" x14ac:dyDescent="0.25">
      <c r="B6136" s="11"/>
    </row>
    <row r="6137" spans="2:2" x14ac:dyDescent="0.25">
      <c r="B6137" s="11"/>
    </row>
    <row r="6138" spans="2:2" x14ac:dyDescent="0.25">
      <c r="B6138" s="11"/>
    </row>
    <row r="6139" spans="2:2" x14ac:dyDescent="0.25">
      <c r="B6139" s="11"/>
    </row>
    <row r="6140" spans="2:2" x14ac:dyDescent="0.25">
      <c r="B6140" s="11"/>
    </row>
    <row r="6141" spans="2:2" x14ac:dyDescent="0.25">
      <c r="B6141" s="11"/>
    </row>
    <row r="6142" spans="2:2" x14ac:dyDescent="0.25">
      <c r="B6142" s="11"/>
    </row>
    <row r="6143" spans="2:2" x14ac:dyDescent="0.25">
      <c r="B6143" s="11"/>
    </row>
    <row r="6144" spans="2:2" x14ac:dyDescent="0.25">
      <c r="B6144" s="11"/>
    </row>
    <row r="6145" spans="2:2" x14ac:dyDescent="0.25">
      <c r="B6145" s="11"/>
    </row>
    <row r="6146" spans="2:2" x14ac:dyDescent="0.25">
      <c r="B6146" s="11"/>
    </row>
    <row r="6147" spans="2:2" x14ac:dyDescent="0.25">
      <c r="B6147" s="11"/>
    </row>
    <row r="6148" spans="2:2" x14ac:dyDescent="0.25">
      <c r="B6148" s="11"/>
    </row>
    <row r="6149" spans="2:2" x14ac:dyDescent="0.25">
      <c r="B6149" s="11"/>
    </row>
    <row r="6150" spans="2:2" x14ac:dyDescent="0.25">
      <c r="B6150" s="11"/>
    </row>
    <row r="6151" spans="2:2" x14ac:dyDescent="0.25">
      <c r="B6151" s="11"/>
    </row>
    <row r="6152" spans="2:2" x14ac:dyDescent="0.25">
      <c r="B6152" s="11"/>
    </row>
    <row r="6153" spans="2:2" x14ac:dyDescent="0.25">
      <c r="B6153" s="11"/>
    </row>
    <row r="6154" spans="2:2" x14ac:dyDescent="0.25">
      <c r="B6154" s="11"/>
    </row>
    <row r="6155" spans="2:2" x14ac:dyDescent="0.25">
      <c r="B6155" s="11"/>
    </row>
    <row r="6156" spans="2:2" x14ac:dyDescent="0.25">
      <c r="B6156" s="11"/>
    </row>
    <row r="6157" spans="2:2" x14ac:dyDescent="0.25">
      <c r="B6157" s="11"/>
    </row>
    <row r="6158" spans="2:2" x14ac:dyDescent="0.25">
      <c r="B6158" s="11"/>
    </row>
    <row r="6159" spans="2:2" x14ac:dyDescent="0.25">
      <c r="B6159" s="11"/>
    </row>
    <row r="6160" spans="2:2" x14ac:dyDescent="0.25">
      <c r="B6160" s="11"/>
    </row>
    <row r="6161" spans="2:2" x14ac:dyDescent="0.25">
      <c r="B6161" s="11"/>
    </row>
    <row r="6162" spans="2:2" x14ac:dyDescent="0.25">
      <c r="B6162" s="11"/>
    </row>
    <row r="6163" spans="2:2" x14ac:dyDescent="0.25">
      <c r="B6163" s="11"/>
    </row>
    <row r="6164" spans="2:2" x14ac:dyDescent="0.25">
      <c r="B6164" s="11"/>
    </row>
    <row r="6165" spans="2:2" x14ac:dyDescent="0.25">
      <c r="B6165" s="11"/>
    </row>
    <row r="6166" spans="2:2" x14ac:dyDescent="0.25">
      <c r="B6166" s="11"/>
    </row>
    <row r="6167" spans="2:2" x14ac:dyDescent="0.25">
      <c r="B6167" s="11"/>
    </row>
    <row r="6168" spans="2:2" x14ac:dyDescent="0.25">
      <c r="B6168" s="11"/>
    </row>
    <row r="6169" spans="2:2" x14ac:dyDescent="0.25">
      <c r="B6169" s="11"/>
    </row>
    <row r="6170" spans="2:2" x14ac:dyDescent="0.25">
      <c r="B6170" s="11"/>
    </row>
    <row r="6171" spans="2:2" x14ac:dyDescent="0.25">
      <c r="B6171" s="11"/>
    </row>
    <row r="6172" spans="2:2" x14ac:dyDescent="0.25">
      <c r="B6172" s="11"/>
    </row>
    <row r="6173" spans="2:2" x14ac:dyDescent="0.25">
      <c r="B6173" s="11"/>
    </row>
    <row r="6174" spans="2:2" x14ac:dyDescent="0.25">
      <c r="B6174" s="11"/>
    </row>
    <row r="6175" spans="2:2" x14ac:dyDescent="0.25">
      <c r="B6175" s="11"/>
    </row>
    <row r="6176" spans="2:2" x14ac:dyDescent="0.25">
      <c r="B6176" s="11"/>
    </row>
    <row r="6177" spans="2:2" x14ac:dyDescent="0.25">
      <c r="B6177" s="11"/>
    </row>
    <row r="6178" spans="2:2" x14ac:dyDescent="0.25">
      <c r="B6178" s="11"/>
    </row>
    <row r="6179" spans="2:2" x14ac:dyDescent="0.25">
      <c r="B6179" s="11"/>
    </row>
    <row r="6180" spans="2:2" x14ac:dyDescent="0.25">
      <c r="B6180" s="11"/>
    </row>
    <row r="6181" spans="2:2" x14ac:dyDescent="0.25">
      <c r="B6181" s="11"/>
    </row>
    <row r="6182" spans="2:2" x14ac:dyDescent="0.25">
      <c r="B6182" s="11"/>
    </row>
    <row r="6183" spans="2:2" x14ac:dyDescent="0.25">
      <c r="B6183" s="11"/>
    </row>
    <row r="6184" spans="2:2" x14ac:dyDescent="0.25">
      <c r="B6184" s="11"/>
    </row>
    <row r="6185" spans="2:2" x14ac:dyDescent="0.25">
      <c r="B6185" s="11"/>
    </row>
    <row r="6186" spans="2:2" x14ac:dyDescent="0.25">
      <c r="B6186" s="11"/>
    </row>
    <row r="6187" spans="2:2" x14ac:dyDescent="0.25">
      <c r="B6187" s="11"/>
    </row>
    <row r="6188" spans="2:2" x14ac:dyDescent="0.25">
      <c r="B6188" s="11"/>
    </row>
    <row r="6189" spans="2:2" x14ac:dyDescent="0.25">
      <c r="B6189" s="11"/>
    </row>
    <row r="6190" spans="2:2" x14ac:dyDescent="0.25">
      <c r="B6190" s="11"/>
    </row>
    <row r="6191" spans="2:2" x14ac:dyDescent="0.25">
      <c r="B6191" s="11"/>
    </row>
    <row r="6192" spans="2:2" x14ac:dyDescent="0.25">
      <c r="B6192" s="11"/>
    </row>
    <row r="6193" spans="2:2" x14ac:dyDescent="0.25">
      <c r="B6193" s="11"/>
    </row>
    <row r="6194" spans="2:2" x14ac:dyDescent="0.25">
      <c r="B6194" s="11"/>
    </row>
    <row r="6195" spans="2:2" x14ac:dyDescent="0.25">
      <c r="B6195" s="11"/>
    </row>
    <row r="6196" spans="2:2" x14ac:dyDescent="0.25">
      <c r="B6196" s="11"/>
    </row>
    <row r="6197" spans="2:2" x14ac:dyDescent="0.25">
      <c r="B6197" s="11"/>
    </row>
    <row r="6198" spans="2:2" x14ac:dyDescent="0.25">
      <c r="B6198" s="11"/>
    </row>
    <row r="6199" spans="2:2" x14ac:dyDescent="0.25">
      <c r="B6199" s="11"/>
    </row>
    <row r="6200" spans="2:2" x14ac:dyDescent="0.25">
      <c r="B6200" s="11"/>
    </row>
    <row r="6201" spans="2:2" x14ac:dyDescent="0.25">
      <c r="B6201" s="11"/>
    </row>
    <row r="6202" spans="2:2" x14ac:dyDescent="0.25">
      <c r="B6202" s="11"/>
    </row>
    <row r="6203" spans="2:2" x14ac:dyDescent="0.25">
      <c r="B6203" s="11"/>
    </row>
    <row r="6204" spans="2:2" x14ac:dyDescent="0.25">
      <c r="B6204" s="11"/>
    </row>
    <row r="6205" spans="2:2" x14ac:dyDescent="0.25">
      <c r="B6205" s="11"/>
    </row>
    <row r="6206" spans="2:2" x14ac:dyDescent="0.25">
      <c r="B6206" s="11"/>
    </row>
    <row r="6207" spans="2:2" x14ac:dyDescent="0.25">
      <c r="B6207" s="11"/>
    </row>
    <row r="6208" spans="2:2" x14ac:dyDescent="0.25">
      <c r="B6208" s="11"/>
    </row>
    <row r="6209" spans="2:2" x14ac:dyDescent="0.25">
      <c r="B6209" s="11"/>
    </row>
    <row r="6210" spans="2:2" x14ac:dyDescent="0.25">
      <c r="B6210" s="11"/>
    </row>
    <row r="6211" spans="2:2" x14ac:dyDescent="0.25">
      <c r="B6211" s="11"/>
    </row>
    <row r="6212" spans="2:2" x14ac:dyDescent="0.25">
      <c r="B6212" s="11"/>
    </row>
    <row r="6213" spans="2:2" x14ac:dyDescent="0.25">
      <c r="B6213" s="11"/>
    </row>
    <row r="6214" spans="2:2" x14ac:dyDescent="0.25">
      <c r="B6214" s="11"/>
    </row>
    <row r="6215" spans="2:2" x14ac:dyDescent="0.25">
      <c r="B6215" s="11"/>
    </row>
    <row r="6216" spans="2:2" x14ac:dyDescent="0.25">
      <c r="B6216" s="11"/>
    </row>
    <row r="6217" spans="2:2" x14ac:dyDescent="0.25">
      <c r="B6217" s="11"/>
    </row>
    <row r="6218" spans="2:2" x14ac:dyDescent="0.25">
      <c r="B6218" s="11"/>
    </row>
    <row r="6219" spans="2:2" x14ac:dyDescent="0.25">
      <c r="B6219" s="11"/>
    </row>
    <row r="6220" spans="2:2" x14ac:dyDescent="0.25">
      <c r="B6220" s="11"/>
    </row>
    <row r="6221" spans="2:2" x14ac:dyDescent="0.25">
      <c r="B6221" s="11"/>
    </row>
    <row r="6222" spans="2:2" x14ac:dyDescent="0.25">
      <c r="B6222" s="11"/>
    </row>
    <row r="6223" spans="2:2" x14ac:dyDescent="0.25">
      <c r="B6223" s="11"/>
    </row>
    <row r="6224" spans="2:2" x14ac:dyDescent="0.25">
      <c r="B6224" s="11"/>
    </row>
    <row r="6225" spans="2:2" x14ac:dyDescent="0.25">
      <c r="B6225" s="11"/>
    </row>
    <row r="6226" spans="2:2" x14ac:dyDescent="0.25">
      <c r="B6226" s="11"/>
    </row>
    <row r="6227" spans="2:2" x14ac:dyDescent="0.25">
      <c r="B6227" s="11"/>
    </row>
    <row r="6228" spans="2:2" x14ac:dyDescent="0.25">
      <c r="B6228" s="11"/>
    </row>
    <row r="6229" spans="2:2" x14ac:dyDescent="0.25">
      <c r="B6229" s="11"/>
    </row>
    <row r="6230" spans="2:2" x14ac:dyDescent="0.25">
      <c r="B6230" s="11"/>
    </row>
    <row r="6231" spans="2:2" x14ac:dyDescent="0.25">
      <c r="B6231" s="11"/>
    </row>
    <row r="6232" spans="2:2" x14ac:dyDescent="0.25">
      <c r="B6232" s="11"/>
    </row>
    <row r="6233" spans="2:2" x14ac:dyDescent="0.25">
      <c r="B6233" s="11"/>
    </row>
    <row r="6234" spans="2:2" x14ac:dyDescent="0.25">
      <c r="B6234" s="11"/>
    </row>
    <row r="6235" spans="2:2" x14ac:dyDescent="0.25">
      <c r="B6235" s="11"/>
    </row>
    <row r="6236" spans="2:2" x14ac:dyDescent="0.25">
      <c r="B6236" s="11"/>
    </row>
    <row r="6237" spans="2:2" x14ac:dyDescent="0.25">
      <c r="B6237" s="11"/>
    </row>
    <row r="6238" spans="2:2" x14ac:dyDescent="0.25">
      <c r="B6238" s="11"/>
    </row>
    <row r="6239" spans="2:2" x14ac:dyDescent="0.25">
      <c r="B6239" s="11"/>
    </row>
    <row r="6240" spans="2:2" x14ac:dyDescent="0.25">
      <c r="B6240" s="11"/>
    </row>
    <row r="6241" spans="2:2" x14ac:dyDescent="0.25">
      <c r="B6241" s="11"/>
    </row>
    <row r="6242" spans="2:2" x14ac:dyDescent="0.25">
      <c r="B6242" s="11"/>
    </row>
    <row r="6243" spans="2:2" x14ac:dyDescent="0.25">
      <c r="B6243" s="11"/>
    </row>
    <row r="6244" spans="2:2" x14ac:dyDescent="0.25">
      <c r="B6244" s="11"/>
    </row>
    <row r="6245" spans="2:2" x14ac:dyDescent="0.25">
      <c r="B6245" s="11"/>
    </row>
    <row r="6246" spans="2:2" x14ac:dyDescent="0.25">
      <c r="B6246" s="11"/>
    </row>
    <row r="6247" spans="2:2" x14ac:dyDescent="0.25">
      <c r="B6247" s="11"/>
    </row>
    <row r="6248" spans="2:2" x14ac:dyDescent="0.25">
      <c r="B6248" s="11"/>
    </row>
    <row r="6249" spans="2:2" x14ac:dyDescent="0.25">
      <c r="B6249" s="11"/>
    </row>
    <row r="6250" spans="2:2" x14ac:dyDescent="0.25">
      <c r="B6250" s="11"/>
    </row>
    <row r="6251" spans="2:2" x14ac:dyDescent="0.25">
      <c r="B6251" s="11"/>
    </row>
    <row r="6252" spans="2:2" x14ac:dyDescent="0.25">
      <c r="B6252" s="11"/>
    </row>
    <row r="6253" spans="2:2" x14ac:dyDescent="0.25">
      <c r="B6253" s="11"/>
    </row>
    <row r="6254" spans="2:2" x14ac:dyDescent="0.25">
      <c r="B6254" s="11"/>
    </row>
    <row r="6255" spans="2:2" x14ac:dyDescent="0.25">
      <c r="B6255" s="11"/>
    </row>
    <row r="6256" spans="2:2" x14ac:dyDescent="0.25">
      <c r="B6256" s="11"/>
    </row>
    <row r="6257" spans="2:2" x14ac:dyDescent="0.25">
      <c r="B6257" s="11"/>
    </row>
    <row r="6258" spans="2:2" x14ac:dyDescent="0.25">
      <c r="B6258" s="11"/>
    </row>
    <row r="6259" spans="2:2" x14ac:dyDescent="0.25">
      <c r="B6259" s="11"/>
    </row>
    <row r="6260" spans="2:2" x14ac:dyDescent="0.25">
      <c r="B6260" s="11"/>
    </row>
    <row r="6261" spans="2:2" x14ac:dyDescent="0.25">
      <c r="B6261" s="11"/>
    </row>
    <row r="6262" spans="2:2" x14ac:dyDescent="0.25">
      <c r="B6262" s="11"/>
    </row>
    <row r="6263" spans="2:2" x14ac:dyDescent="0.25">
      <c r="B6263" s="11"/>
    </row>
    <row r="6264" spans="2:2" x14ac:dyDescent="0.25">
      <c r="B6264" s="11"/>
    </row>
    <row r="6265" spans="2:2" x14ac:dyDescent="0.25">
      <c r="B6265" s="11"/>
    </row>
    <row r="6266" spans="2:2" x14ac:dyDescent="0.25">
      <c r="B6266" s="11"/>
    </row>
    <row r="6267" spans="2:2" x14ac:dyDescent="0.25">
      <c r="B6267" s="11"/>
    </row>
    <row r="6268" spans="2:2" x14ac:dyDescent="0.25">
      <c r="B6268" s="11"/>
    </row>
    <row r="6269" spans="2:2" x14ac:dyDescent="0.25">
      <c r="B6269" s="11"/>
    </row>
    <row r="6270" spans="2:2" x14ac:dyDescent="0.25">
      <c r="B6270" s="11"/>
    </row>
    <row r="6271" spans="2:2" x14ac:dyDescent="0.25">
      <c r="B6271" s="11"/>
    </row>
    <row r="6272" spans="2:2" x14ac:dyDescent="0.25">
      <c r="B6272" s="11"/>
    </row>
    <row r="6273" spans="2:2" x14ac:dyDescent="0.25">
      <c r="B6273" s="11"/>
    </row>
    <row r="6274" spans="2:2" x14ac:dyDescent="0.25">
      <c r="B6274" s="11"/>
    </row>
    <row r="6275" spans="2:2" x14ac:dyDescent="0.25">
      <c r="B6275" s="11"/>
    </row>
    <row r="6276" spans="2:2" x14ac:dyDescent="0.25">
      <c r="B6276" s="11"/>
    </row>
    <row r="6277" spans="2:2" x14ac:dyDescent="0.25">
      <c r="B6277" s="11"/>
    </row>
    <row r="6278" spans="2:2" x14ac:dyDescent="0.25">
      <c r="B6278" s="11"/>
    </row>
    <row r="6279" spans="2:2" x14ac:dyDescent="0.25">
      <c r="B6279" s="11"/>
    </row>
    <row r="6280" spans="2:2" x14ac:dyDescent="0.25">
      <c r="B6280" s="11"/>
    </row>
    <row r="6281" spans="2:2" x14ac:dyDescent="0.25">
      <c r="B6281" s="11"/>
    </row>
    <row r="6282" spans="2:2" x14ac:dyDescent="0.25">
      <c r="B6282" s="11"/>
    </row>
    <row r="6283" spans="2:2" x14ac:dyDescent="0.25">
      <c r="B6283" s="11"/>
    </row>
    <row r="6284" spans="2:2" x14ac:dyDescent="0.25">
      <c r="B6284" s="11"/>
    </row>
    <row r="6285" spans="2:2" x14ac:dyDescent="0.25">
      <c r="B6285" s="11"/>
    </row>
    <row r="6286" spans="2:2" x14ac:dyDescent="0.25">
      <c r="B6286" s="11"/>
    </row>
    <row r="6287" spans="2:2" x14ac:dyDescent="0.25">
      <c r="B6287" s="11"/>
    </row>
    <row r="6288" spans="2:2" x14ac:dyDescent="0.25">
      <c r="B6288" s="11"/>
    </row>
    <row r="6289" spans="2:2" x14ac:dyDescent="0.25">
      <c r="B6289" s="11"/>
    </row>
    <row r="6290" spans="2:2" x14ac:dyDescent="0.25">
      <c r="B6290" s="11"/>
    </row>
    <row r="6291" spans="2:2" x14ac:dyDescent="0.25">
      <c r="B6291" s="11"/>
    </row>
    <row r="6292" spans="2:2" x14ac:dyDescent="0.25">
      <c r="B6292" s="11"/>
    </row>
    <row r="6293" spans="2:2" x14ac:dyDescent="0.25">
      <c r="B6293" s="11"/>
    </row>
    <row r="6294" spans="2:2" x14ac:dyDescent="0.25">
      <c r="B6294" s="11"/>
    </row>
    <row r="6295" spans="2:2" x14ac:dyDescent="0.25">
      <c r="B6295" s="11"/>
    </row>
    <row r="6296" spans="2:2" x14ac:dyDescent="0.25">
      <c r="B6296" s="11"/>
    </row>
    <row r="6297" spans="2:2" x14ac:dyDescent="0.25">
      <c r="B6297" s="11"/>
    </row>
    <row r="6298" spans="2:2" x14ac:dyDescent="0.25">
      <c r="B6298" s="11"/>
    </row>
    <row r="6299" spans="2:2" x14ac:dyDescent="0.25">
      <c r="B6299" s="11"/>
    </row>
    <row r="6300" spans="2:2" x14ac:dyDescent="0.25">
      <c r="B6300" s="11"/>
    </row>
    <row r="6301" spans="2:2" x14ac:dyDescent="0.25">
      <c r="B6301" s="11"/>
    </row>
    <row r="6302" spans="2:2" x14ac:dyDescent="0.25">
      <c r="B6302" s="11"/>
    </row>
    <row r="6303" spans="2:2" x14ac:dyDescent="0.25">
      <c r="B6303" s="11"/>
    </row>
    <row r="6304" spans="2:2" x14ac:dyDescent="0.25">
      <c r="B6304" s="11"/>
    </row>
    <row r="6305" spans="2:2" x14ac:dyDescent="0.25">
      <c r="B6305" s="11"/>
    </row>
    <row r="6306" spans="2:2" x14ac:dyDescent="0.25">
      <c r="B6306" s="11"/>
    </row>
    <row r="6307" spans="2:2" x14ac:dyDescent="0.25">
      <c r="B6307" s="11"/>
    </row>
    <row r="6308" spans="2:2" x14ac:dyDescent="0.25">
      <c r="B6308" s="11"/>
    </row>
    <row r="6309" spans="2:2" x14ac:dyDescent="0.25">
      <c r="B6309" s="11"/>
    </row>
    <row r="6310" spans="2:2" x14ac:dyDescent="0.25">
      <c r="B6310" s="11"/>
    </row>
    <row r="6311" spans="2:2" x14ac:dyDescent="0.25">
      <c r="B6311" s="11"/>
    </row>
    <row r="6312" spans="2:2" x14ac:dyDescent="0.25">
      <c r="B6312" s="11"/>
    </row>
    <row r="6313" spans="2:2" x14ac:dyDescent="0.25">
      <c r="B6313" s="11"/>
    </row>
    <row r="6314" spans="2:2" x14ac:dyDescent="0.25">
      <c r="B6314" s="11"/>
    </row>
    <row r="6315" spans="2:2" x14ac:dyDescent="0.25">
      <c r="B6315" s="11"/>
    </row>
    <row r="6316" spans="2:2" x14ac:dyDescent="0.25">
      <c r="B6316" s="11"/>
    </row>
    <row r="6317" spans="2:2" x14ac:dyDescent="0.25">
      <c r="B6317" s="11"/>
    </row>
    <row r="6318" spans="2:2" x14ac:dyDescent="0.25">
      <c r="B6318" s="11"/>
    </row>
    <row r="6319" spans="2:2" x14ac:dyDescent="0.25">
      <c r="B6319" s="11"/>
    </row>
    <row r="6320" spans="2:2" x14ac:dyDescent="0.25">
      <c r="B6320" s="11"/>
    </row>
    <row r="6321" spans="2:2" x14ac:dyDescent="0.25">
      <c r="B6321" s="11"/>
    </row>
    <row r="6322" spans="2:2" x14ac:dyDescent="0.25">
      <c r="B6322" s="11"/>
    </row>
    <row r="6323" spans="2:2" x14ac:dyDescent="0.25">
      <c r="B6323" s="11"/>
    </row>
    <row r="6324" spans="2:2" x14ac:dyDescent="0.25">
      <c r="B6324" s="11"/>
    </row>
    <row r="6325" spans="2:2" x14ac:dyDescent="0.25">
      <c r="B6325" s="11"/>
    </row>
    <row r="6326" spans="2:2" x14ac:dyDescent="0.25">
      <c r="B6326" s="11"/>
    </row>
    <row r="6327" spans="2:2" x14ac:dyDescent="0.25">
      <c r="B6327" s="11"/>
    </row>
    <row r="6328" spans="2:2" x14ac:dyDescent="0.25">
      <c r="B6328" s="11"/>
    </row>
    <row r="6329" spans="2:2" x14ac:dyDescent="0.25">
      <c r="B6329" s="11"/>
    </row>
    <row r="6330" spans="2:2" x14ac:dyDescent="0.25">
      <c r="B6330" s="11"/>
    </row>
    <row r="6331" spans="2:2" x14ac:dyDescent="0.25">
      <c r="B6331" s="11"/>
    </row>
    <row r="6332" spans="2:2" x14ac:dyDescent="0.25">
      <c r="B6332" s="11"/>
    </row>
    <row r="6333" spans="2:2" x14ac:dyDescent="0.25">
      <c r="B6333" s="11"/>
    </row>
    <row r="6334" spans="2:2" x14ac:dyDescent="0.25">
      <c r="B6334" s="11"/>
    </row>
    <row r="6335" spans="2:2" x14ac:dyDescent="0.25">
      <c r="B6335" s="11"/>
    </row>
    <row r="6336" spans="2:2" x14ac:dyDescent="0.25">
      <c r="B6336" s="11"/>
    </row>
    <row r="6337" spans="2:2" x14ac:dyDescent="0.25">
      <c r="B6337" s="11"/>
    </row>
    <row r="6338" spans="2:2" x14ac:dyDescent="0.25">
      <c r="B6338" s="11"/>
    </row>
    <row r="6339" spans="2:2" x14ac:dyDescent="0.25">
      <c r="B6339" s="11"/>
    </row>
    <row r="6340" spans="2:2" x14ac:dyDescent="0.25">
      <c r="B6340" s="11"/>
    </row>
    <row r="6341" spans="2:2" x14ac:dyDescent="0.25">
      <c r="B6341" s="11"/>
    </row>
    <row r="6342" spans="2:2" x14ac:dyDescent="0.25">
      <c r="B6342" s="11"/>
    </row>
    <row r="6343" spans="2:2" x14ac:dyDescent="0.25">
      <c r="B6343" s="11"/>
    </row>
    <row r="6344" spans="2:2" x14ac:dyDescent="0.25">
      <c r="B6344" s="11"/>
    </row>
    <row r="6345" spans="2:2" x14ac:dyDescent="0.25">
      <c r="B6345" s="11"/>
    </row>
    <row r="6346" spans="2:2" x14ac:dyDescent="0.25">
      <c r="B6346" s="11"/>
    </row>
    <row r="6347" spans="2:2" x14ac:dyDescent="0.25">
      <c r="B6347" s="11"/>
    </row>
    <row r="6348" spans="2:2" x14ac:dyDescent="0.25">
      <c r="B6348" s="11"/>
    </row>
    <row r="6349" spans="2:2" x14ac:dyDescent="0.25">
      <c r="B6349" s="11"/>
    </row>
    <row r="6350" spans="2:2" x14ac:dyDescent="0.25">
      <c r="B6350" s="11"/>
    </row>
    <row r="6351" spans="2:2" x14ac:dyDescent="0.25">
      <c r="B6351" s="11"/>
    </row>
    <row r="6352" spans="2:2" x14ac:dyDescent="0.25">
      <c r="B6352" s="11"/>
    </row>
    <row r="6353" spans="2:2" x14ac:dyDescent="0.25">
      <c r="B6353" s="11"/>
    </row>
    <row r="6354" spans="2:2" x14ac:dyDescent="0.25">
      <c r="B6354" s="11"/>
    </row>
    <row r="6355" spans="2:2" x14ac:dyDescent="0.25">
      <c r="B6355" s="11"/>
    </row>
    <row r="6356" spans="2:2" x14ac:dyDescent="0.25">
      <c r="B6356" s="11"/>
    </row>
    <row r="6357" spans="2:2" x14ac:dyDescent="0.25">
      <c r="B6357" s="11"/>
    </row>
    <row r="6358" spans="2:2" x14ac:dyDescent="0.25">
      <c r="B6358" s="11"/>
    </row>
    <row r="6359" spans="2:2" x14ac:dyDescent="0.25">
      <c r="B6359" s="11"/>
    </row>
    <row r="6360" spans="2:2" x14ac:dyDescent="0.25">
      <c r="B6360" s="11"/>
    </row>
    <row r="6361" spans="2:2" x14ac:dyDescent="0.25">
      <c r="B6361" s="11"/>
    </row>
    <row r="6362" spans="2:2" x14ac:dyDescent="0.25">
      <c r="B6362" s="11"/>
    </row>
    <row r="6363" spans="2:2" x14ac:dyDescent="0.25">
      <c r="B6363" s="11"/>
    </row>
    <row r="6364" spans="2:2" x14ac:dyDescent="0.25">
      <c r="B6364" s="11"/>
    </row>
    <row r="6365" spans="2:2" x14ac:dyDescent="0.25">
      <c r="B6365" s="11"/>
    </row>
    <row r="6366" spans="2:2" x14ac:dyDescent="0.25">
      <c r="B6366" s="11"/>
    </row>
    <row r="6367" spans="2:2" x14ac:dyDescent="0.25">
      <c r="B6367" s="11"/>
    </row>
    <row r="6368" spans="2:2" x14ac:dyDescent="0.25">
      <c r="B6368" s="11"/>
    </row>
    <row r="6369" spans="2:2" x14ac:dyDescent="0.25">
      <c r="B6369" s="11"/>
    </row>
    <row r="6370" spans="2:2" x14ac:dyDescent="0.25">
      <c r="B6370" s="11"/>
    </row>
    <row r="6371" spans="2:2" x14ac:dyDescent="0.25">
      <c r="B6371" s="11"/>
    </row>
    <row r="6372" spans="2:2" x14ac:dyDescent="0.25">
      <c r="B6372" s="11"/>
    </row>
    <row r="6373" spans="2:2" x14ac:dyDescent="0.25">
      <c r="B6373" s="11"/>
    </row>
    <row r="6374" spans="2:2" x14ac:dyDescent="0.25">
      <c r="B6374" s="11"/>
    </row>
    <row r="6375" spans="2:2" x14ac:dyDescent="0.25">
      <c r="B6375" s="11"/>
    </row>
    <row r="6376" spans="2:2" x14ac:dyDescent="0.25">
      <c r="B6376" s="11"/>
    </row>
    <row r="6377" spans="2:2" x14ac:dyDescent="0.25">
      <c r="B6377" s="11"/>
    </row>
    <row r="6378" spans="2:2" x14ac:dyDescent="0.25">
      <c r="B6378" s="11"/>
    </row>
    <row r="6379" spans="2:2" x14ac:dyDescent="0.25">
      <c r="B6379" s="11"/>
    </row>
    <row r="6380" spans="2:2" x14ac:dyDescent="0.25">
      <c r="B6380" s="11"/>
    </row>
    <row r="6381" spans="2:2" x14ac:dyDescent="0.25">
      <c r="B6381" s="11"/>
    </row>
    <row r="6382" spans="2:2" x14ac:dyDescent="0.25">
      <c r="B6382" s="11"/>
    </row>
    <row r="6383" spans="2:2" x14ac:dyDescent="0.25">
      <c r="B6383" s="11"/>
    </row>
    <row r="6384" spans="2:2" x14ac:dyDescent="0.25">
      <c r="B6384" s="11"/>
    </row>
    <row r="6385" spans="2:2" x14ac:dyDescent="0.25">
      <c r="B6385" s="11"/>
    </row>
    <row r="6386" spans="2:2" x14ac:dyDescent="0.25">
      <c r="B6386" s="11"/>
    </row>
    <row r="6387" spans="2:2" x14ac:dyDescent="0.25">
      <c r="B6387" s="11"/>
    </row>
    <row r="6388" spans="2:2" x14ac:dyDescent="0.25">
      <c r="B6388" s="11"/>
    </row>
    <row r="6389" spans="2:2" x14ac:dyDescent="0.25">
      <c r="B6389" s="11"/>
    </row>
    <row r="6390" spans="2:2" x14ac:dyDescent="0.25">
      <c r="B6390" s="11"/>
    </row>
    <row r="6391" spans="2:2" x14ac:dyDescent="0.25">
      <c r="B6391" s="11"/>
    </row>
    <row r="6392" spans="2:2" x14ac:dyDescent="0.25">
      <c r="B6392" s="11"/>
    </row>
    <row r="6393" spans="2:2" x14ac:dyDescent="0.25">
      <c r="B6393" s="11"/>
    </row>
    <row r="6394" spans="2:2" x14ac:dyDescent="0.25">
      <c r="B6394" s="11"/>
    </row>
    <row r="6395" spans="2:2" x14ac:dyDescent="0.25">
      <c r="B6395" s="11"/>
    </row>
    <row r="6396" spans="2:2" x14ac:dyDescent="0.25">
      <c r="B6396" s="11"/>
    </row>
    <row r="6397" spans="2:2" x14ac:dyDescent="0.25">
      <c r="B6397" s="11"/>
    </row>
    <row r="6398" spans="2:2" x14ac:dyDescent="0.25">
      <c r="B6398" s="11"/>
    </row>
    <row r="6399" spans="2:2" x14ac:dyDescent="0.25">
      <c r="B6399" s="11"/>
    </row>
    <row r="6400" spans="2:2" x14ac:dyDescent="0.25">
      <c r="B6400" s="11"/>
    </row>
    <row r="6401" spans="2:2" x14ac:dyDescent="0.25">
      <c r="B6401" s="11"/>
    </row>
    <row r="6402" spans="2:2" x14ac:dyDescent="0.25">
      <c r="B6402" s="11"/>
    </row>
    <row r="6403" spans="2:2" x14ac:dyDescent="0.25">
      <c r="B6403" s="11"/>
    </row>
    <row r="6404" spans="2:2" x14ac:dyDescent="0.25">
      <c r="B6404" s="11"/>
    </row>
    <row r="6405" spans="2:2" x14ac:dyDescent="0.25">
      <c r="B6405" s="11"/>
    </row>
    <row r="6406" spans="2:2" x14ac:dyDescent="0.25">
      <c r="B6406" s="11"/>
    </row>
    <row r="6407" spans="2:2" x14ac:dyDescent="0.25">
      <c r="B6407" s="11"/>
    </row>
    <row r="6408" spans="2:2" x14ac:dyDescent="0.25">
      <c r="B6408" s="11"/>
    </row>
    <row r="6409" spans="2:2" x14ac:dyDescent="0.25">
      <c r="B6409" s="11"/>
    </row>
    <row r="6410" spans="2:2" x14ac:dyDescent="0.25">
      <c r="B6410" s="11"/>
    </row>
    <row r="6411" spans="2:2" x14ac:dyDescent="0.25">
      <c r="B6411" s="11"/>
    </row>
    <row r="6412" spans="2:2" x14ac:dyDescent="0.25">
      <c r="B6412" s="11"/>
    </row>
    <row r="6413" spans="2:2" x14ac:dyDescent="0.25">
      <c r="B6413" s="11"/>
    </row>
    <row r="6414" spans="2:2" x14ac:dyDescent="0.25">
      <c r="B6414" s="11"/>
    </row>
    <row r="6415" spans="2:2" x14ac:dyDescent="0.25">
      <c r="B6415" s="11"/>
    </row>
    <row r="6416" spans="2:2" x14ac:dyDescent="0.25">
      <c r="B6416" s="11"/>
    </row>
    <row r="6417" spans="2:2" x14ac:dyDescent="0.25">
      <c r="B6417" s="11"/>
    </row>
    <row r="6418" spans="2:2" x14ac:dyDescent="0.25">
      <c r="B6418" s="11"/>
    </row>
    <row r="6419" spans="2:2" x14ac:dyDescent="0.25">
      <c r="B6419" s="11"/>
    </row>
    <row r="6420" spans="2:2" x14ac:dyDescent="0.25">
      <c r="B6420" s="11"/>
    </row>
    <row r="6421" spans="2:2" x14ac:dyDescent="0.25">
      <c r="B6421" s="11"/>
    </row>
    <row r="6422" spans="2:2" x14ac:dyDescent="0.25">
      <c r="B6422" s="11"/>
    </row>
    <row r="6423" spans="2:2" x14ac:dyDescent="0.25">
      <c r="B6423" s="11"/>
    </row>
    <row r="6424" spans="2:2" x14ac:dyDescent="0.25">
      <c r="B6424" s="11"/>
    </row>
    <row r="6425" spans="2:2" x14ac:dyDescent="0.25">
      <c r="B6425" s="11"/>
    </row>
    <row r="6426" spans="2:2" x14ac:dyDescent="0.25">
      <c r="B6426" s="11"/>
    </row>
    <row r="6427" spans="2:2" x14ac:dyDescent="0.25">
      <c r="B6427" s="11"/>
    </row>
    <row r="6428" spans="2:2" x14ac:dyDescent="0.25">
      <c r="B6428" s="11"/>
    </row>
    <row r="6429" spans="2:2" x14ac:dyDescent="0.25">
      <c r="B6429" s="11"/>
    </row>
    <row r="6430" spans="2:2" x14ac:dyDescent="0.25">
      <c r="B6430" s="11"/>
    </row>
    <row r="6431" spans="2:2" x14ac:dyDescent="0.25">
      <c r="B6431" s="11"/>
    </row>
    <row r="6432" spans="2:2" x14ac:dyDescent="0.25">
      <c r="B6432" s="11"/>
    </row>
    <row r="6433" spans="2:2" x14ac:dyDescent="0.25">
      <c r="B6433" s="11"/>
    </row>
    <row r="6434" spans="2:2" x14ac:dyDescent="0.25">
      <c r="B6434" s="11"/>
    </row>
    <row r="6435" spans="2:2" x14ac:dyDescent="0.25">
      <c r="B6435" s="11"/>
    </row>
    <row r="6436" spans="2:2" x14ac:dyDescent="0.25">
      <c r="B6436" s="11"/>
    </row>
    <row r="6437" spans="2:2" x14ac:dyDescent="0.25">
      <c r="B6437" s="11"/>
    </row>
    <row r="6438" spans="2:2" x14ac:dyDescent="0.25">
      <c r="B6438" s="11"/>
    </row>
    <row r="6439" spans="2:2" x14ac:dyDescent="0.25">
      <c r="B6439" s="11"/>
    </row>
    <row r="6440" spans="2:2" x14ac:dyDescent="0.25">
      <c r="B6440" s="11"/>
    </row>
    <row r="6441" spans="2:2" x14ac:dyDescent="0.25">
      <c r="B6441" s="11"/>
    </row>
    <row r="6442" spans="2:2" x14ac:dyDescent="0.25">
      <c r="B6442" s="11"/>
    </row>
    <row r="6443" spans="2:2" x14ac:dyDescent="0.25">
      <c r="B6443" s="11"/>
    </row>
    <row r="6444" spans="2:2" x14ac:dyDescent="0.25">
      <c r="B6444" s="11"/>
    </row>
    <row r="6445" spans="2:2" x14ac:dyDescent="0.25">
      <c r="B6445" s="11"/>
    </row>
    <row r="6446" spans="2:2" x14ac:dyDescent="0.25">
      <c r="B6446" s="11"/>
    </row>
    <row r="6447" spans="2:2" x14ac:dyDescent="0.25">
      <c r="B6447" s="11"/>
    </row>
    <row r="6448" spans="2:2" x14ac:dyDescent="0.25">
      <c r="B6448" s="11"/>
    </row>
    <row r="6449" spans="2:2" x14ac:dyDescent="0.25">
      <c r="B6449" s="11"/>
    </row>
    <row r="6450" spans="2:2" x14ac:dyDescent="0.25">
      <c r="B6450" s="11"/>
    </row>
    <row r="6451" spans="2:2" x14ac:dyDescent="0.25">
      <c r="B6451" s="11"/>
    </row>
    <row r="6452" spans="2:2" x14ac:dyDescent="0.25">
      <c r="B6452" s="11"/>
    </row>
    <row r="6453" spans="2:2" x14ac:dyDescent="0.25">
      <c r="B6453" s="11"/>
    </row>
    <row r="6454" spans="2:2" x14ac:dyDescent="0.25">
      <c r="B6454" s="11"/>
    </row>
    <row r="6455" spans="2:2" x14ac:dyDescent="0.25">
      <c r="B6455" s="11"/>
    </row>
    <row r="6456" spans="2:2" x14ac:dyDescent="0.25">
      <c r="B6456" s="11"/>
    </row>
    <row r="6457" spans="2:2" x14ac:dyDescent="0.25">
      <c r="B6457" s="11"/>
    </row>
    <row r="6458" spans="2:2" x14ac:dyDescent="0.25">
      <c r="B6458" s="11"/>
    </row>
    <row r="6459" spans="2:2" x14ac:dyDescent="0.25">
      <c r="B6459" s="11"/>
    </row>
    <row r="6460" spans="2:2" x14ac:dyDescent="0.25">
      <c r="B6460" s="11"/>
    </row>
    <row r="6461" spans="2:2" x14ac:dyDescent="0.25">
      <c r="B6461" s="11"/>
    </row>
    <row r="6462" spans="2:2" x14ac:dyDescent="0.25">
      <c r="B6462" s="11"/>
    </row>
    <row r="6463" spans="2:2" x14ac:dyDescent="0.25">
      <c r="B6463" s="11"/>
    </row>
    <row r="6464" spans="2:2" x14ac:dyDescent="0.25">
      <c r="B6464" s="11"/>
    </row>
    <row r="6465" spans="2:2" x14ac:dyDescent="0.25">
      <c r="B6465" s="11"/>
    </row>
    <row r="6466" spans="2:2" x14ac:dyDescent="0.25">
      <c r="B6466" s="11"/>
    </row>
    <row r="6467" spans="2:2" x14ac:dyDescent="0.25">
      <c r="B6467" s="11"/>
    </row>
    <row r="6468" spans="2:2" x14ac:dyDescent="0.25">
      <c r="B6468" s="11"/>
    </row>
    <row r="6469" spans="2:2" x14ac:dyDescent="0.25">
      <c r="B6469" s="11"/>
    </row>
    <row r="6470" spans="2:2" x14ac:dyDescent="0.25">
      <c r="B6470" s="11"/>
    </row>
    <row r="6471" spans="2:2" x14ac:dyDescent="0.25">
      <c r="B6471" s="11"/>
    </row>
    <row r="6472" spans="2:2" x14ac:dyDescent="0.25">
      <c r="B6472" s="11"/>
    </row>
    <row r="6473" spans="2:2" x14ac:dyDescent="0.25">
      <c r="B6473" s="11"/>
    </row>
    <row r="6474" spans="2:2" x14ac:dyDescent="0.25">
      <c r="B6474" s="11"/>
    </row>
    <row r="6475" spans="2:2" x14ac:dyDescent="0.25">
      <c r="B6475" s="11"/>
    </row>
    <row r="6476" spans="2:2" x14ac:dyDescent="0.25">
      <c r="B6476" s="11"/>
    </row>
    <row r="6477" spans="2:2" x14ac:dyDescent="0.25">
      <c r="B6477" s="11"/>
    </row>
    <row r="6478" spans="2:2" x14ac:dyDescent="0.25">
      <c r="B6478" s="11"/>
    </row>
    <row r="6479" spans="2:2" x14ac:dyDescent="0.25">
      <c r="B6479" s="11"/>
    </row>
    <row r="6480" spans="2:2" x14ac:dyDescent="0.25">
      <c r="B6480" s="11"/>
    </row>
    <row r="6481" spans="2:2" x14ac:dyDescent="0.25">
      <c r="B6481" s="11"/>
    </row>
    <row r="6482" spans="2:2" x14ac:dyDescent="0.25">
      <c r="B6482" s="11"/>
    </row>
    <row r="6483" spans="2:2" x14ac:dyDescent="0.25">
      <c r="B6483" s="11"/>
    </row>
    <row r="6484" spans="2:2" x14ac:dyDescent="0.25">
      <c r="B6484" s="11"/>
    </row>
    <row r="6485" spans="2:2" x14ac:dyDescent="0.25">
      <c r="B6485" s="11"/>
    </row>
    <row r="6486" spans="2:2" x14ac:dyDescent="0.25">
      <c r="B6486" s="11"/>
    </row>
    <row r="6487" spans="2:2" x14ac:dyDescent="0.25">
      <c r="B6487" s="11"/>
    </row>
    <row r="6488" spans="2:2" x14ac:dyDescent="0.25">
      <c r="B6488" s="11"/>
    </row>
    <row r="6489" spans="2:2" x14ac:dyDescent="0.25">
      <c r="B6489" s="11"/>
    </row>
    <row r="6490" spans="2:2" x14ac:dyDescent="0.25">
      <c r="B6490" s="11"/>
    </row>
    <row r="6491" spans="2:2" x14ac:dyDescent="0.25">
      <c r="B6491" s="11"/>
    </row>
    <row r="6492" spans="2:2" x14ac:dyDescent="0.25">
      <c r="B6492" s="11"/>
    </row>
    <row r="6493" spans="2:2" x14ac:dyDescent="0.25">
      <c r="B6493" s="11"/>
    </row>
    <row r="6494" spans="2:2" x14ac:dyDescent="0.25">
      <c r="B6494" s="11"/>
    </row>
    <row r="6495" spans="2:2" x14ac:dyDescent="0.25">
      <c r="B6495" s="11"/>
    </row>
    <row r="6496" spans="2:2" x14ac:dyDescent="0.25">
      <c r="B6496" s="11"/>
    </row>
    <row r="6497" spans="2:2" x14ac:dyDescent="0.25">
      <c r="B6497" s="11"/>
    </row>
    <row r="6498" spans="2:2" x14ac:dyDescent="0.25">
      <c r="B6498" s="11"/>
    </row>
    <row r="6499" spans="2:2" x14ac:dyDescent="0.25">
      <c r="B6499" s="11"/>
    </row>
    <row r="6500" spans="2:2" x14ac:dyDescent="0.25">
      <c r="B6500" s="11"/>
    </row>
    <row r="6501" spans="2:2" x14ac:dyDescent="0.25">
      <c r="B6501" s="11"/>
    </row>
    <row r="6502" spans="2:2" x14ac:dyDescent="0.25">
      <c r="B6502" s="11"/>
    </row>
    <row r="6503" spans="2:2" x14ac:dyDescent="0.25">
      <c r="B6503" s="11"/>
    </row>
    <row r="6504" spans="2:2" x14ac:dyDescent="0.25">
      <c r="B6504" s="11"/>
    </row>
    <row r="6505" spans="2:2" x14ac:dyDescent="0.25">
      <c r="B6505" s="11"/>
    </row>
    <row r="6506" spans="2:2" x14ac:dyDescent="0.25">
      <c r="B6506" s="11"/>
    </row>
    <row r="6507" spans="2:2" x14ac:dyDescent="0.25">
      <c r="B6507" s="11"/>
    </row>
    <row r="6508" spans="2:2" x14ac:dyDescent="0.25">
      <c r="B6508" s="11"/>
    </row>
    <row r="6509" spans="2:2" x14ac:dyDescent="0.25">
      <c r="B6509" s="11"/>
    </row>
    <row r="6510" spans="2:2" x14ac:dyDescent="0.25">
      <c r="B6510" s="11"/>
    </row>
    <row r="6511" spans="2:2" x14ac:dyDescent="0.25">
      <c r="B6511" s="11"/>
    </row>
    <row r="6512" spans="2:2" x14ac:dyDescent="0.25">
      <c r="B6512" s="11"/>
    </row>
    <row r="6513" spans="2:2" x14ac:dyDescent="0.25">
      <c r="B6513" s="11"/>
    </row>
    <row r="6514" spans="2:2" x14ac:dyDescent="0.25">
      <c r="B6514" s="11"/>
    </row>
    <row r="6515" spans="2:2" x14ac:dyDescent="0.25">
      <c r="B6515" s="11"/>
    </row>
    <row r="6516" spans="2:2" x14ac:dyDescent="0.25">
      <c r="B6516" s="11"/>
    </row>
    <row r="6517" spans="2:2" x14ac:dyDescent="0.25">
      <c r="B6517" s="11"/>
    </row>
    <row r="6518" spans="2:2" x14ac:dyDescent="0.25">
      <c r="B6518" s="11"/>
    </row>
    <row r="6519" spans="2:2" x14ac:dyDescent="0.25">
      <c r="B6519" s="11"/>
    </row>
    <row r="6520" spans="2:2" x14ac:dyDescent="0.25">
      <c r="B6520" s="11"/>
    </row>
    <row r="6521" spans="2:2" x14ac:dyDescent="0.25">
      <c r="B6521" s="11"/>
    </row>
    <row r="6522" spans="2:2" x14ac:dyDescent="0.25">
      <c r="B6522" s="11"/>
    </row>
    <row r="6523" spans="2:2" x14ac:dyDescent="0.25">
      <c r="B6523" s="11"/>
    </row>
    <row r="6524" spans="2:2" x14ac:dyDescent="0.25">
      <c r="B6524" s="11"/>
    </row>
    <row r="6525" spans="2:2" x14ac:dyDescent="0.25">
      <c r="B6525" s="11"/>
    </row>
    <row r="6526" spans="2:2" x14ac:dyDescent="0.25">
      <c r="B6526" s="11"/>
    </row>
    <row r="6527" spans="2:2" x14ac:dyDescent="0.25">
      <c r="B6527" s="11"/>
    </row>
    <row r="6528" spans="2:2" x14ac:dyDescent="0.25">
      <c r="B6528" s="11"/>
    </row>
    <row r="6529" spans="2:2" x14ac:dyDescent="0.25">
      <c r="B6529" s="11"/>
    </row>
    <row r="6530" spans="2:2" x14ac:dyDescent="0.25">
      <c r="B6530" s="11"/>
    </row>
    <row r="6531" spans="2:2" x14ac:dyDescent="0.25">
      <c r="B6531" s="11"/>
    </row>
    <row r="6532" spans="2:2" x14ac:dyDescent="0.25">
      <c r="B6532" s="11"/>
    </row>
    <row r="6533" spans="2:2" x14ac:dyDescent="0.25">
      <c r="B6533" s="11"/>
    </row>
    <row r="6534" spans="2:2" x14ac:dyDescent="0.25">
      <c r="B6534" s="11"/>
    </row>
    <row r="6535" spans="2:2" x14ac:dyDescent="0.25">
      <c r="B6535" s="11"/>
    </row>
    <row r="6536" spans="2:2" x14ac:dyDescent="0.25">
      <c r="B6536" s="11"/>
    </row>
    <row r="6537" spans="2:2" x14ac:dyDescent="0.25">
      <c r="B6537" s="11"/>
    </row>
    <row r="6538" spans="2:2" x14ac:dyDescent="0.25">
      <c r="B6538" s="11"/>
    </row>
    <row r="6539" spans="2:2" x14ac:dyDescent="0.25">
      <c r="B6539" s="11"/>
    </row>
    <row r="6540" spans="2:2" x14ac:dyDescent="0.25">
      <c r="B6540" s="11"/>
    </row>
    <row r="6541" spans="2:2" x14ac:dyDescent="0.25">
      <c r="B6541" s="11"/>
    </row>
    <row r="6542" spans="2:2" x14ac:dyDescent="0.25">
      <c r="B6542" s="11"/>
    </row>
    <row r="6543" spans="2:2" x14ac:dyDescent="0.25">
      <c r="B6543" s="11"/>
    </row>
    <row r="6544" spans="2:2" x14ac:dyDescent="0.25">
      <c r="B6544" s="11"/>
    </row>
    <row r="6545" spans="2:2" x14ac:dyDescent="0.25">
      <c r="B6545" s="11"/>
    </row>
    <row r="6546" spans="2:2" x14ac:dyDescent="0.25">
      <c r="B6546" s="11"/>
    </row>
    <row r="6547" spans="2:2" x14ac:dyDescent="0.25">
      <c r="B6547" s="11"/>
    </row>
    <row r="6548" spans="2:2" x14ac:dyDescent="0.25">
      <c r="B6548" s="11"/>
    </row>
    <row r="6549" spans="2:2" x14ac:dyDescent="0.25">
      <c r="B6549" s="11"/>
    </row>
    <row r="6550" spans="2:2" x14ac:dyDescent="0.25">
      <c r="B6550" s="11"/>
    </row>
    <row r="6551" spans="2:2" x14ac:dyDescent="0.25">
      <c r="B6551" s="11"/>
    </row>
    <row r="6552" spans="2:2" x14ac:dyDescent="0.25">
      <c r="B6552" s="11"/>
    </row>
    <row r="6553" spans="2:2" x14ac:dyDescent="0.25">
      <c r="B6553" s="11"/>
    </row>
    <row r="6554" spans="2:2" x14ac:dyDescent="0.25">
      <c r="B6554" s="11"/>
    </row>
    <row r="6555" spans="2:2" x14ac:dyDescent="0.25">
      <c r="B6555" s="11"/>
    </row>
    <row r="6556" spans="2:2" x14ac:dyDescent="0.25">
      <c r="B6556" s="11"/>
    </row>
    <row r="6557" spans="2:2" x14ac:dyDescent="0.25">
      <c r="B6557" s="11"/>
    </row>
    <row r="6558" spans="2:2" x14ac:dyDescent="0.25">
      <c r="B6558" s="11"/>
    </row>
    <row r="6559" spans="2:2" x14ac:dyDescent="0.25">
      <c r="B6559" s="11"/>
    </row>
    <row r="6560" spans="2:2" x14ac:dyDescent="0.25">
      <c r="B6560" s="11"/>
    </row>
    <row r="6561" spans="2:2" x14ac:dyDescent="0.25">
      <c r="B6561" s="11"/>
    </row>
    <row r="6562" spans="2:2" x14ac:dyDescent="0.25">
      <c r="B6562" s="11"/>
    </row>
    <row r="6563" spans="2:2" x14ac:dyDescent="0.25">
      <c r="B6563" s="11"/>
    </row>
    <row r="6564" spans="2:2" x14ac:dyDescent="0.25">
      <c r="B6564" s="11"/>
    </row>
    <row r="6565" spans="2:2" x14ac:dyDescent="0.25">
      <c r="B6565" s="11"/>
    </row>
    <row r="6566" spans="2:2" x14ac:dyDescent="0.25">
      <c r="B6566" s="11"/>
    </row>
    <row r="6567" spans="2:2" x14ac:dyDescent="0.25">
      <c r="B6567" s="11"/>
    </row>
    <row r="6568" spans="2:2" x14ac:dyDescent="0.25">
      <c r="B6568" s="11"/>
    </row>
    <row r="6569" spans="2:2" x14ac:dyDescent="0.25">
      <c r="B6569" s="11"/>
    </row>
    <row r="6570" spans="2:2" x14ac:dyDescent="0.25">
      <c r="B6570" s="11"/>
    </row>
    <row r="6571" spans="2:2" x14ac:dyDescent="0.25">
      <c r="B6571" s="11"/>
    </row>
    <row r="6572" spans="2:2" x14ac:dyDescent="0.25">
      <c r="B6572" s="11"/>
    </row>
    <row r="6573" spans="2:2" x14ac:dyDescent="0.25">
      <c r="B6573" s="11"/>
    </row>
    <row r="6574" spans="2:2" x14ac:dyDescent="0.25">
      <c r="B6574" s="11"/>
    </row>
    <row r="6575" spans="2:2" x14ac:dyDescent="0.25">
      <c r="B6575" s="11"/>
    </row>
    <row r="6576" spans="2:2" x14ac:dyDescent="0.25">
      <c r="B6576" s="11"/>
    </row>
    <row r="6577" spans="2:2" x14ac:dyDescent="0.25">
      <c r="B6577" s="11"/>
    </row>
    <row r="6578" spans="2:2" x14ac:dyDescent="0.25">
      <c r="B6578" s="11"/>
    </row>
    <row r="6579" spans="2:2" x14ac:dyDescent="0.25">
      <c r="B6579" s="11"/>
    </row>
    <row r="6580" spans="2:2" x14ac:dyDescent="0.25">
      <c r="B6580" s="11"/>
    </row>
    <row r="6581" spans="2:2" x14ac:dyDescent="0.25">
      <c r="B6581" s="11"/>
    </row>
    <row r="6582" spans="2:2" x14ac:dyDescent="0.25">
      <c r="B6582" s="11"/>
    </row>
    <row r="6583" spans="2:2" x14ac:dyDescent="0.25">
      <c r="B6583" s="11"/>
    </row>
    <row r="6584" spans="2:2" x14ac:dyDescent="0.25">
      <c r="B6584" s="11"/>
    </row>
    <row r="6585" spans="2:2" x14ac:dyDescent="0.25">
      <c r="B6585" s="11"/>
    </row>
    <row r="6586" spans="2:2" x14ac:dyDescent="0.25">
      <c r="B6586" s="11"/>
    </row>
    <row r="6587" spans="2:2" x14ac:dyDescent="0.25">
      <c r="B6587" s="11"/>
    </row>
    <row r="6588" spans="2:2" x14ac:dyDescent="0.25">
      <c r="B6588" s="11"/>
    </row>
    <row r="6589" spans="2:2" x14ac:dyDescent="0.25">
      <c r="B6589" s="11"/>
    </row>
    <row r="6590" spans="2:2" x14ac:dyDescent="0.25">
      <c r="B6590" s="11"/>
    </row>
    <row r="6591" spans="2:2" x14ac:dyDescent="0.25">
      <c r="B6591" s="11"/>
    </row>
    <row r="6592" spans="2:2" x14ac:dyDescent="0.25">
      <c r="B6592" s="11"/>
    </row>
    <row r="6593" spans="2:2" x14ac:dyDescent="0.25">
      <c r="B6593" s="11"/>
    </row>
    <row r="6594" spans="2:2" x14ac:dyDescent="0.25">
      <c r="B6594" s="11"/>
    </row>
    <row r="6595" spans="2:2" x14ac:dyDescent="0.25">
      <c r="B6595" s="11"/>
    </row>
    <row r="6596" spans="2:2" x14ac:dyDescent="0.25">
      <c r="B6596" s="11"/>
    </row>
    <row r="6597" spans="2:2" x14ac:dyDescent="0.25">
      <c r="B6597" s="11"/>
    </row>
    <row r="6598" spans="2:2" x14ac:dyDescent="0.25">
      <c r="B6598" s="11"/>
    </row>
    <row r="6599" spans="2:2" x14ac:dyDescent="0.25">
      <c r="B6599" s="11"/>
    </row>
    <row r="6600" spans="2:2" x14ac:dyDescent="0.25">
      <c r="B6600" s="11"/>
    </row>
    <row r="6601" spans="2:2" x14ac:dyDescent="0.25">
      <c r="B6601" s="11"/>
    </row>
    <row r="6602" spans="2:2" x14ac:dyDescent="0.25">
      <c r="B6602" s="11"/>
    </row>
    <row r="6603" spans="2:2" x14ac:dyDescent="0.25">
      <c r="B6603" s="11"/>
    </row>
    <row r="6604" spans="2:2" x14ac:dyDescent="0.25">
      <c r="B6604" s="11"/>
    </row>
    <row r="6605" spans="2:2" x14ac:dyDescent="0.25">
      <c r="B6605" s="11"/>
    </row>
    <row r="6606" spans="2:2" x14ac:dyDescent="0.25">
      <c r="B6606" s="11"/>
    </row>
    <row r="6607" spans="2:2" x14ac:dyDescent="0.25">
      <c r="B6607" s="11"/>
    </row>
    <row r="6608" spans="2:2" x14ac:dyDescent="0.25">
      <c r="B6608" s="11"/>
    </row>
    <row r="6609" spans="2:2" x14ac:dyDescent="0.25">
      <c r="B6609" s="11"/>
    </row>
    <row r="6610" spans="2:2" x14ac:dyDescent="0.25">
      <c r="B6610" s="11"/>
    </row>
    <row r="6611" spans="2:2" x14ac:dyDescent="0.25">
      <c r="B6611" s="11"/>
    </row>
    <row r="6612" spans="2:2" x14ac:dyDescent="0.25">
      <c r="B6612" s="11"/>
    </row>
    <row r="6613" spans="2:2" x14ac:dyDescent="0.25">
      <c r="B6613" s="11"/>
    </row>
    <row r="6614" spans="2:2" x14ac:dyDescent="0.25">
      <c r="B6614" s="11"/>
    </row>
    <row r="6615" spans="2:2" x14ac:dyDescent="0.25">
      <c r="B6615" s="11"/>
    </row>
    <row r="6616" spans="2:2" x14ac:dyDescent="0.25">
      <c r="B6616" s="11"/>
    </row>
    <row r="6617" spans="2:2" x14ac:dyDescent="0.25">
      <c r="B6617" s="11"/>
    </row>
    <row r="6618" spans="2:2" x14ac:dyDescent="0.25">
      <c r="B6618" s="11"/>
    </row>
    <row r="6619" spans="2:2" x14ac:dyDescent="0.25">
      <c r="B6619" s="11"/>
    </row>
    <row r="6620" spans="2:2" x14ac:dyDescent="0.25">
      <c r="B6620" s="11"/>
    </row>
    <row r="6621" spans="2:2" x14ac:dyDescent="0.25">
      <c r="B6621" s="11"/>
    </row>
    <row r="6622" spans="2:2" x14ac:dyDescent="0.25">
      <c r="B6622" s="11"/>
    </row>
    <row r="6623" spans="2:2" x14ac:dyDescent="0.25">
      <c r="B6623" s="11"/>
    </row>
    <row r="6624" spans="2:2" x14ac:dyDescent="0.25">
      <c r="B6624" s="11"/>
    </row>
    <row r="6625" spans="2:2" x14ac:dyDescent="0.25">
      <c r="B6625" s="11"/>
    </row>
    <row r="6626" spans="2:2" x14ac:dyDescent="0.25">
      <c r="B6626" s="11"/>
    </row>
    <row r="6627" spans="2:2" x14ac:dyDescent="0.25">
      <c r="B6627" s="11"/>
    </row>
    <row r="6628" spans="2:2" x14ac:dyDescent="0.25">
      <c r="B6628" s="11"/>
    </row>
    <row r="6629" spans="2:2" x14ac:dyDescent="0.25">
      <c r="B6629" s="11"/>
    </row>
    <row r="6630" spans="2:2" x14ac:dyDescent="0.25">
      <c r="B6630" s="11"/>
    </row>
    <row r="6631" spans="2:2" x14ac:dyDescent="0.25">
      <c r="B6631" s="11"/>
    </row>
    <row r="6632" spans="2:2" x14ac:dyDescent="0.25">
      <c r="B6632" s="11"/>
    </row>
    <row r="6633" spans="2:2" x14ac:dyDescent="0.25">
      <c r="B6633" s="11"/>
    </row>
    <row r="6634" spans="2:2" x14ac:dyDescent="0.25">
      <c r="B6634" s="11"/>
    </row>
    <row r="6635" spans="2:2" x14ac:dyDescent="0.25">
      <c r="B6635" s="11"/>
    </row>
    <row r="6636" spans="2:2" x14ac:dyDescent="0.25">
      <c r="B6636" s="11"/>
    </row>
    <row r="6637" spans="2:2" x14ac:dyDescent="0.25">
      <c r="B6637" s="11"/>
    </row>
    <row r="6638" spans="2:2" x14ac:dyDescent="0.25">
      <c r="B6638" s="11"/>
    </row>
    <row r="6639" spans="2:2" x14ac:dyDescent="0.25">
      <c r="B6639" s="11"/>
    </row>
    <row r="6640" spans="2:2" x14ac:dyDescent="0.25">
      <c r="B6640" s="11"/>
    </row>
    <row r="6641" spans="2:2" x14ac:dyDescent="0.25">
      <c r="B6641" s="11"/>
    </row>
    <row r="6642" spans="2:2" x14ac:dyDescent="0.25">
      <c r="B6642" s="11"/>
    </row>
    <row r="6643" spans="2:2" x14ac:dyDescent="0.25">
      <c r="B6643" s="11"/>
    </row>
    <row r="6644" spans="2:2" x14ac:dyDescent="0.25">
      <c r="B6644" s="11"/>
    </row>
    <row r="6645" spans="2:2" x14ac:dyDescent="0.25">
      <c r="B6645" s="11"/>
    </row>
    <row r="6646" spans="2:2" x14ac:dyDescent="0.25">
      <c r="B6646" s="11"/>
    </row>
    <row r="6647" spans="2:2" x14ac:dyDescent="0.25">
      <c r="B6647" s="11"/>
    </row>
    <row r="6648" spans="2:2" x14ac:dyDescent="0.25">
      <c r="B6648" s="11"/>
    </row>
    <row r="6649" spans="2:2" x14ac:dyDescent="0.25">
      <c r="B6649" s="11"/>
    </row>
    <row r="6650" spans="2:2" x14ac:dyDescent="0.25">
      <c r="B6650" s="11"/>
    </row>
    <row r="6651" spans="2:2" x14ac:dyDescent="0.25">
      <c r="B6651" s="11"/>
    </row>
    <row r="6652" spans="2:2" x14ac:dyDescent="0.25">
      <c r="B6652" s="11"/>
    </row>
    <row r="6653" spans="2:2" x14ac:dyDescent="0.25">
      <c r="B6653" s="11"/>
    </row>
    <row r="6654" spans="2:2" x14ac:dyDescent="0.25">
      <c r="B6654" s="11"/>
    </row>
    <row r="6655" spans="2:2" x14ac:dyDescent="0.25">
      <c r="B6655" s="11"/>
    </row>
    <row r="6656" spans="2:2" x14ac:dyDescent="0.25">
      <c r="B6656" s="11"/>
    </row>
    <row r="6657" spans="2:2" x14ac:dyDescent="0.25">
      <c r="B6657" s="11"/>
    </row>
    <row r="6658" spans="2:2" x14ac:dyDescent="0.25">
      <c r="B6658" s="11"/>
    </row>
    <row r="6659" spans="2:2" x14ac:dyDescent="0.25">
      <c r="B6659" s="11"/>
    </row>
    <row r="6660" spans="2:2" x14ac:dyDescent="0.25">
      <c r="B6660" s="11"/>
    </row>
    <row r="6661" spans="2:2" x14ac:dyDescent="0.25">
      <c r="B6661" s="11"/>
    </row>
    <row r="6662" spans="2:2" x14ac:dyDescent="0.25">
      <c r="B6662" s="11"/>
    </row>
    <row r="6663" spans="2:2" x14ac:dyDescent="0.25">
      <c r="B6663" s="11"/>
    </row>
    <row r="6664" spans="2:2" x14ac:dyDescent="0.25">
      <c r="B6664" s="11"/>
    </row>
    <row r="6665" spans="2:2" x14ac:dyDescent="0.25">
      <c r="B6665" s="11"/>
    </row>
    <row r="6666" spans="2:2" x14ac:dyDescent="0.25">
      <c r="B6666" s="11"/>
    </row>
    <row r="6667" spans="2:2" x14ac:dyDescent="0.25">
      <c r="B6667" s="11"/>
    </row>
    <row r="6668" spans="2:2" x14ac:dyDescent="0.25">
      <c r="B6668" s="11"/>
    </row>
    <row r="6669" spans="2:2" x14ac:dyDescent="0.25">
      <c r="B6669" s="11"/>
    </row>
    <row r="6670" spans="2:2" x14ac:dyDescent="0.25">
      <c r="B6670" s="11"/>
    </row>
    <row r="6671" spans="2:2" x14ac:dyDescent="0.25">
      <c r="B6671" s="11"/>
    </row>
    <row r="6672" spans="2:2" x14ac:dyDescent="0.25">
      <c r="B6672" s="11"/>
    </row>
    <row r="6673" spans="2:2" x14ac:dyDescent="0.25">
      <c r="B6673" s="11"/>
    </row>
    <row r="6674" spans="2:2" x14ac:dyDescent="0.25">
      <c r="B6674" s="11"/>
    </row>
    <row r="6675" spans="2:2" x14ac:dyDescent="0.25">
      <c r="B6675" s="11"/>
    </row>
    <row r="6676" spans="2:2" x14ac:dyDescent="0.25">
      <c r="B6676" s="11"/>
    </row>
    <row r="6677" spans="2:2" x14ac:dyDescent="0.25">
      <c r="B6677" s="11"/>
    </row>
    <row r="6678" spans="2:2" x14ac:dyDescent="0.25">
      <c r="B6678" s="11"/>
    </row>
    <row r="6679" spans="2:2" x14ac:dyDescent="0.25">
      <c r="B6679" s="11"/>
    </row>
    <row r="6680" spans="2:2" x14ac:dyDescent="0.25">
      <c r="B6680" s="11"/>
    </row>
    <row r="6681" spans="2:2" x14ac:dyDescent="0.25">
      <c r="B6681" s="11"/>
    </row>
    <row r="6682" spans="2:2" x14ac:dyDescent="0.25">
      <c r="B6682" s="11"/>
    </row>
    <row r="6683" spans="2:2" x14ac:dyDescent="0.25">
      <c r="B6683" s="11"/>
    </row>
    <row r="6684" spans="2:2" x14ac:dyDescent="0.25">
      <c r="B6684" s="11"/>
    </row>
    <row r="6685" spans="2:2" x14ac:dyDescent="0.25">
      <c r="B6685" s="11"/>
    </row>
    <row r="6686" spans="2:2" x14ac:dyDescent="0.25">
      <c r="B6686" s="11"/>
    </row>
    <row r="6687" spans="2:2" x14ac:dyDescent="0.25">
      <c r="B6687" s="11"/>
    </row>
    <row r="6688" spans="2:2" x14ac:dyDescent="0.25">
      <c r="B6688" s="11"/>
    </row>
    <row r="6689" spans="2:2" x14ac:dyDescent="0.25">
      <c r="B6689" s="11"/>
    </row>
    <row r="6690" spans="2:2" x14ac:dyDescent="0.25">
      <c r="B6690" s="11"/>
    </row>
    <row r="6691" spans="2:2" x14ac:dyDescent="0.25">
      <c r="B6691" s="11"/>
    </row>
    <row r="6692" spans="2:2" x14ac:dyDescent="0.25">
      <c r="B6692" s="11"/>
    </row>
    <row r="6693" spans="2:2" x14ac:dyDescent="0.25">
      <c r="B6693" s="11"/>
    </row>
    <row r="6694" spans="2:2" x14ac:dyDescent="0.25">
      <c r="B6694" s="11"/>
    </row>
    <row r="6695" spans="2:2" x14ac:dyDescent="0.25">
      <c r="B6695" s="11"/>
    </row>
    <row r="6696" spans="2:2" x14ac:dyDescent="0.25">
      <c r="B6696" s="11"/>
    </row>
    <row r="6697" spans="2:2" x14ac:dyDescent="0.25">
      <c r="B6697" s="11"/>
    </row>
    <row r="6698" spans="2:2" x14ac:dyDescent="0.25">
      <c r="B6698" s="11"/>
    </row>
    <row r="6699" spans="2:2" x14ac:dyDescent="0.25">
      <c r="B6699" s="11"/>
    </row>
    <row r="6700" spans="2:2" x14ac:dyDescent="0.25">
      <c r="B6700" s="11"/>
    </row>
    <row r="6701" spans="2:2" x14ac:dyDescent="0.25">
      <c r="B6701" s="11"/>
    </row>
    <row r="6702" spans="2:2" x14ac:dyDescent="0.25">
      <c r="B6702" s="11"/>
    </row>
    <row r="6703" spans="2:2" x14ac:dyDescent="0.25">
      <c r="B6703" s="11"/>
    </row>
    <row r="6704" spans="2:2" x14ac:dyDescent="0.25">
      <c r="B6704" s="11"/>
    </row>
    <row r="6705" spans="2:2" x14ac:dyDescent="0.25">
      <c r="B6705" s="11"/>
    </row>
    <row r="6706" spans="2:2" x14ac:dyDescent="0.25">
      <c r="B6706" s="11"/>
    </row>
    <row r="6707" spans="2:2" x14ac:dyDescent="0.25">
      <c r="B6707" s="11"/>
    </row>
    <row r="6708" spans="2:2" x14ac:dyDescent="0.25">
      <c r="B6708" s="11"/>
    </row>
    <row r="6709" spans="2:2" x14ac:dyDescent="0.25">
      <c r="B6709" s="11"/>
    </row>
    <row r="6710" spans="2:2" x14ac:dyDescent="0.25">
      <c r="B6710" s="11"/>
    </row>
    <row r="6711" spans="2:2" x14ac:dyDescent="0.25">
      <c r="B6711" s="11"/>
    </row>
    <row r="6712" spans="2:2" x14ac:dyDescent="0.25">
      <c r="B6712" s="11"/>
    </row>
    <row r="6713" spans="2:2" x14ac:dyDescent="0.25">
      <c r="B6713" s="11"/>
    </row>
    <row r="6714" spans="2:2" x14ac:dyDescent="0.25">
      <c r="B6714" s="11"/>
    </row>
    <row r="6715" spans="2:2" x14ac:dyDescent="0.25">
      <c r="B6715" s="11"/>
    </row>
    <row r="6716" spans="2:2" x14ac:dyDescent="0.25">
      <c r="B6716" s="11"/>
    </row>
    <row r="6717" spans="2:2" x14ac:dyDescent="0.25">
      <c r="B6717" s="11"/>
    </row>
    <row r="6718" spans="2:2" x14ac:dyDescent="0.25">
      <c r="B6718" s="11"/>
    </row>
    <row r="6719" spans="2:2" x14ac:dyDescent="0.25">
      <c r="B6719" s="11"/>
    </row>
    <row r="6720" spans="2:2" x14ac:dyDescent="0.25">
      <c r="B6720" s="11"/>
    </row>
    <row r="6721" spans="2:2" x14ac:dyDescent="0.25">
      <c r="B6721" s="11"/>
    </row>
    <row r="6722" spans="2:2" x14ac:dyDescent="0.25">
      <c r="B6722" s="11"/>
    </row>
    <row r="6723" spans="2:2" x14ac:dyDescent="0.25">
      <c r="B6723" s="11"/>
    </row>
    <row r="6724" spans="2:2" x14ac:dyDescent="0.25">
      <c r="B6724" s="11"/>
    </row>
    <row r="6725" spans="2:2" x14ac:dyDescent="0.25">
      <c r="B6725" s="11"/>
    </row>
    <row r="6726" spans="2:2" x14ac:dyDescent="0.25">
      <c r="B6726" s="11"/>
    </row>
    <row r="6727" spans="2:2" x14ac:dyDescent="0.25">
      <c r="B6727" s="11"/>
    </row>
    <row r="6728" spans="2:2" x14ac:dyDescent="0.25">
      <c r="B6728" s="11"/>
    </row>
    <row r="6729" spans="2:2" x14ac:dyDescent="0.25">
      <c r="B6729" s="11"/>
    </row>
    <row r="6730" spans="2:2" x14ac:dyDescent="0.25">
      <c r="B6730" s="11"/>
    </row>
    <row r="6731" spans="2:2" x14ac:dyDescent="0.25">
      <c r="B6731" s="11"/>
    </row>
    <row r="6732" spans="2:2" x14ac:dyDescent="0.25">
      <c r="B6732" s="11"/>
    </row>
    <row r="6733" spans="2:2" x14ac:dyDescent="0.25">
      <c r="B6733" s="11"/>
    </row>
    <row r="6734" spans="2:2" x14ac:dyDescent="0.25">
      <c r="B6734" s="11"/>
    </row>
    <row r="6735" spans="2:2" x14ac:dyDescent="0.25">
      <c r="B6735" s="11"/>
    </row>
    <row r="6736" spans="2:2" x14ac:dyDescent="0.25">
      <c r="B6736" s="11"/>
    </row>
    <row r="6737" spans="2:2" x14ac:dyDescent="0.25">
      <c r="B6737" s="11"/>
    </row>
    <row r="6738" spans="2:2" x14ac:dyDescent="0.25">
      <c r="B6738" s="11"/>
    </row>
    <row r="6739" spans="2:2" x14ac:dyDescent="0.25">
      <c r="B6739" s="11"/>
    </row>
    <row r="6740" spans="2:2" x14ac:dyDescent="0.25">
      <c r="B6740" s="11"/>
    </row>
    <row r="6741" spans="2:2" x14ac:dyDescent="0.25">
      <c r="B6741" s="11"/>
    </row>
    <row r="6742" spans="2:2" x14ac:dyDescent="0.25">
      <c r="B6742" s="11"/>
    </row>
    <row r="6743" spans="2:2" x14ac:dyDescent="0.25">
      <c r="B6743" s="11"/>
    </row>
    <row r="6744" spans="2:2" x14ac:dyDescent="0.25">
      <c r="B6744" s="11"/>
    </row>
    <row r="6745" spans="2:2" x14ac:dyDescent="0.25">
      <c r="B6745" s="11"/>
    </row>
    <row r="6746" spans="2:2" x14ac:dyDescent="0.25">
      <c r="B6746" s="11"/>
    </row>
    <row r="6747" spans="2:2" x14ac:dyDescent="0.25">
      <c r="B6747" s="11"/>
    </row>
    <row r="6748" spans="2:2" x14ac:dyDescent="0.25">
      <c r="B6748" s="11"/>
    </row>
    <row r="6749" spans="2:2" x14ac:dyDescent="0.25">
      <c r="B6749" s="11"/>
    </row>
    <row r="6750" spans="2:2" x14ac:dyDescent="0.25">
      <c r="B6750" s="11"/>
    </row>
    <row r="6751" spans="2:2" x14ac:dyDescent="0.25">
      <c r="B6751" s="11"/>
    </row>
    <row r="6752" spans="2:2" x14ac:dyDescent="0.25">
      <c r="B6752" s="11"/>
    </row>
    <row r="6753" spans="2:2" x14ac:dyDescent="0.25">
      <c r="B6753" s="11"/>
    </row>
    <row r="6754" spans="2:2" x14ac:dyDescent="0.25">
      <c r="B6754" s="11"/>
    </row>
    <row r="6755" spans="2:2" x14ac:dyDescent="0.25">
      <c r="B6755" s="11"/>
    </row>
    <row r="6756" spans="2:2" x14ac:dyDescent="0.25">
      <c r="B6756" s="11"/>
    </row>
    <row r="6757" spans="2:2" x14ac:dyDescent="0.25">
      <c r="B6757" s="11"/>
    </row>
    <row r="6758" spans="2:2" x14ac:dyDescent="0.25">
      <c r="B6758" s="11"/>
    </row>
    <row r="6759" spans="2:2" x14ac:dyDescent="0.25">
      <c r="B6759" s="11"/>
    </row>
    <row r="6760" spans="2:2" x14ac:dyDescent="0.25">
      <c r="B6760" s="11"/>
    </row>
    <row r="6761" spans="2:2" x14ac:dyDescent="0.25">
      <c r="B6761" s="11"/>
    </row>
    <row r="6762" spans="2:2" x14ac:dyDescent="0.25">
      <c r="B6762" s="11"/>
    </row>
    <row r="6763" spans="2:2" x14ac:dyDescent="0.25">
      <c r="B6763" s="11"/>
    </row>
    <row r="6764" spans="2:2" x14ac:dyDescent="0.25">
      <c r="B6764" s="11"/>
    </row>
    <row r="6765" spans="2:2" x14ac:dyDescent="0.25">
      <c r="B6765" s="11"/>
    </row>
    <row r="6766" spans="2:2" x14ac:dyDescent="0.25">
      <c r="B6766" s="11"/>
    </row>
    <row r="6767" spans="2:2" x14ac:dyDescent="0.25">
      <c r="B6767" s="11"/>
    </row>
    <row r="6768" spans="2:2" x14ac:dyDescent="0.25">
      <c r="B6768" s="11"/>
    </row>
    <row r="6769" spans="2:2" x14ac:dyDescent="0.25">
      <c r="B6769" s="11"/>
    </row>
    <row r="6770" spans="2:2" x14ac:dyDescent="0.25">
      <c r="B6770" s="11"/>
    </row>
    <row r="6771" spans="2:2" x14ac:dyDescent="0.25">
      <c r="B6771" s="11"/>
    </row>
    <row r="6772" spans="2:2" x14ac:dyDescent="0.25">
      <c r="B6772" s="11"/>
    </row>
    <row r="6773" spans="2:2" x14ac:dyDescent="0.25">
      <c r="B6773" s="11"/>
    </row>
    <row r="6774" spans="2:2" x14ac:dyDescent="0.25">
      <c r="B6774" s="11"/>
    </row>
    <row r="6775" spans="2:2" x14ac:dyDescent="0.25">
      <c r="B6775" s="11"/>
    </row>
    <row r="6776" spans="2:2" x14ac:dyDescent="0.25">
      <c r="B6776" s="11"/>
    </row>
    <row r="6777" spans="2:2" x14ac:dyDescent="0.25">
      <c r="B6777" s="11"/>
    </row>
    <row r="6778" spans="2:2" x14ac:dyDescent="0.25">
      <c r="B6778" s="11"/>
    </row>
    <row r="6779" spans="2:2" x14ac:dyDescent="0.25">
      <c r="B6779" s="11"/>
    </row>
    <row r="6780" spans="2:2" x14ac:dyDescent="0.25">
      <c r="B6780" s="11"/>
    </row>
    <row r="6781" spans="2:2" x14ac:dyDescent="0.25">
      <c r="B6781" s="11"/>
    </row>
    <row r="6782" spans="2:2" x14ac:dyDescent="0.25">
      <c r="B6782" s="11"/>
    </row>
    <row r="6783" spans="2:2" x14ac:dyDescent="0.25">
      <c r="B6783" s="11"/>
    </row>
    <row r="6784" spans="2:2" x14ac:dyDescent="0.25">
      <c r="B6784" s="11"/>
    </row>
    <row r="6785" spans="2:2" x14ac:dyDescent="0.25">
      <c r="B6785" s="11"/>
    </row>
    <row r="6786" spans="2:2" x14ac:dyDescent="0.25">
      <c r="B6786" s="11"/>
    </row>
    <row r="6787" spans="2:2" x14ac:dyDescent="0.25">
      <c r="B6787" s="11"/>
    </row>
    <row r="6788" spans="2:2" x14ac:dyDescent="0.25">
      <c r="B6788" s="11"/>
    </row>
    <row r="6789" spans="2:2" x14ac:dyDescent="0.25">
      <c r="B6789" s="11"/>
    </row>
    <row r="6790" spans="2:2" x14ac:dyDescent="0.25">
      <c r="B6790" s="11"/>
    </row>
    <row r="6791" spans="2:2" x14ac:dyDescent="0.25">
      <c r="B6791" s="11"/>
    </row>
    <row r="6792" spans="2:2" x14ac:dyDescent="0.25">
      <c r="B6792" s="11"/>
    </row>
    <row r="6793" spans="2:2" x14ac:dyDescent="0.25">
      <c r="B6793" s="11"/>
    </row>
    <row r="6794" spans="2:2" x14ac:dyDescent="0.25">
      <c r="B6794" s="11"/>
    </row>
    <row r="6795" spans="2:2" x14ac:dyDescent="0.25">
      <c r="B6795" s="11"/>
    </row>
    <row r="6796" spans="2:2" x14ac:dyDescent="0.25">
      <c r="B6796" s="11"/>
    </row>
    <row r="6797" spans="2:2" x14ac:dyDescent="0.25">
      <c r="B6797" s="11"/>
    </row>
    <row r="6798" spans="2:2" x14ac:dyDescent="0.25">
      <c r="B6798" s="11"/>
    </row>
    <row r="6799" spans="2:2" x14ac:dyDescent="0.25">
      <c r="B6799" s="11"/>
    </row>
    <row r="6800" spans="2:2" x14ac:dyDescent="0.25">
      <c r="B6800" s="11"/>
    </row>
    <row r="6801" spans="2:2" x14ac:dyDescent="0.25">
      <c r="B6801" s="11"/>
    </row>
    <row r="6802" spans="2:2" x14ac:dyDescent="0.25">
      <c r="B6802" s="11"/>
    </row>
    <row r="6803" spans="2:2" x14ac:dyDescent="0.25">
      <c r="B6803" s="11"/>
    </row>
    <row r="6804" spans="2:2" x14ac:dyDescent="0.25">
      <c r="B6804" s="11"/>
    </row>
    <row r="6805" spans="2:2" x14ac:dyDescent="0.25">
      <c r="B6805" s="11"/>
    </row>
    <row r="6806" spans="2:2" x14ac:dyDescent="0.25">
      <c r="B6806" s="11"/>
    </row>
    <row r="6807" spans="2:2" x14ac:dyDescent="0.25">
      <c r="B6807" s="11"/>
    </row>
    <row r="6808" spans="2:2" x14ac:dyDescent="0.25">
      <c r="B6808" s="11"/>
    </row>
    <row r="6809" spans="2:2" x14ac:dyDescent="0.25">
      <c r="B6809" s="11"/>
    </row>
    <row r="6810" spans="2:2" x14ac:dyDescent="0.25">
      <c r="B6810" s="11"/>
    </row>
    <row r="6811" spans="2:2" x14ac:dyDescent="0.25">
      <c r="B6811" s="11"/>
    </row>
    <row r="6812" spans="2:2" x14ac:dyDescent="0.25">
      <c r="B6812" s="11"/>
    </row>
    <row r="6813" spans="2:2" x14ac:dyDescent="0.25">
      <c r="B6813" s="11"/>
    </row>
    <row r="6814" spans="2:2" x14ac:dyDescent="0.25">
      <c r="B6814" s="11"/>
    </row>
    <row r="6815" spans="2:2" x14ac:dyDescent="0.25">
      <c r="B6815" s="11"/>
    </row>
    <row r="6816" spans="2:2" x14ac:dyDescent="0.25">
      <c r="B6816" s="11"/>
    </row>
    <row r="6817" spans="2:2" x14ac:dyDescent="0.25">
      <c r="B6817" s="11"/>
    </row>
    <row r="6818" spans="2:2" x14ac:dyDescent="0.25">
      <c r="B6818" s="11"/>
    </row>
    <row r="6819" spans="2:2" x14ac:dyDescent="0.25">
      <c r="B6819" s="11"/>
    </row>
    <row r="6820" spans="2:2" x14ac:dyDescent="0.25">
      <c r="B6820" s="11"/>
    </row>
    <row r="6821" spans="2:2" x14ac:dyDescent="0.25">
      <c r="B6821" s="11"/>
    </row>
    <row r="6822" spans="2:2" x14ac:dyDescent="0.25">
      <c r="B6822" s="11"/>
    </row>
    <row r="6823" spans="2:2" x14ac:dyDescent="0.25">
      <c r="B6823" s="11"/>
    </row>
    <row r="6824" spans="2:2" x14ac:dyDescent="0.25">
      <c r="B6824" s="11"/>
    </row>
    <row r="6825" spans="2:2" x14ac:dyDescent="0.25">
      <c r="B6825" s="11"/>
    </row>
    <row r="6826" spans="2:2" x14ac:dyDescent="0.25">
      <c r="B6826" s="11"/>
    </row>
    <row r="6827" spans="2:2" x14ac:dyDescent="0.25">
      <c r="B6827" s="11"/>
    </row>
    <row r="6828" spans="2:2" x14ac:dyDescent="0.25">
      <c r="B6828" s="11"/>
    </row>
    <row r="6829" spans="2:2" x14ac:dyDescent="0.25">
      <c r="B6829" s="11"/>
    </row>
    <row r="6830" spans="2:2" x14ac:dyDescent="0.25">
      <c r="B6830" s="11"/>
    </row>
    <row r="6831" spans="2:2" x14ac:dyDescent="0.25">
      <c r="B6831" s="11"/>
    </row>
    <row r="6832" spans="2:2" x14ac:dyDescent="0.25">
      <c r="B6832" s="11"/>
    </row>
    <row r="6833" spans="2:2" x14ac:dyDescent="0.25">
      <c r="B6833" s="11"/>
    </row>
    <row r="6834" spans="2:2" x14ac:dyDescent="0.25">
      <c r="B6834" s="11"/>
    </row>
    <row r="6835" spans="2:2" x14ac:dyDescent="0.25">
      <c r="B6835" s="11"/>
    </row>
    <row r="6836" spans="2:2" x14ac:dyDescent="0.25">
      <c r="B6836" s="11"/>
    </row>
    <row r="6837" spans="2:2" x14ac:dyDescent="0.25">
      <c r="B6837" s="11"/>
    </row>
    <row r="6838" spans="2:2" x14ac:dyDescent="0.25">
      <c r="B6838" s="11"/>
    </row>
    <row r="6839" spans="2:2" x14ac:dyDescent="0.25">
      <c r="B6839" s="11"/>
    </row>
    <row r="6840" spans="2:2" x14ac:dyDescent="0.25">
      <c r="B6840" s="11"/>
    </row>
    <row r="6841" spans="2:2" x14ac:dyDescent="0.25">
      <c r="B6841" s="11"/>
    </row>
    <row r="6842" spans="2:2" x14ac:dyDescent="0.25">
      <c r="B6842" s="11"/>
    </row>
    <row r="6843" spans="2:2" x14ac:dyDescent="0.25">
      <c r="B6843" s="11"/>
    </row>
    <row r="6844" spans="2:2" x14ac:dyDescent="0.25">
      <c r="B6844" s="11"/>
    </row>
    <row r="6845" spans="2:2" x14ac:dyDescent="0.25">
      <c r="B6845" s="11"/>
    </row>
    <row r="6846" spans="2:2" x14ac:dyDescent="0.25">
      <c r="B6846" s="11"/>
    </row>
    <row r="6847" spans="2:2" x14ac:dyDescent="0.25">
      <c r="B6847" s="11"/>
    </row>
    <row r="6848" spans="2:2" x14ac:dyDescent="0.25">
      <c r="B6848" s="11"/>
    </row>
    <row r="6849" spans="2:2" x14ac:dyDescent="0.25">
      <c r="B6849" s="11"/>
    </row>
    <row r="6850" spans="2:2" x14ac:dyDescent="0.25">
      <c r="B6850" s="11"/>
    </row>
    <row r="6851" spans="2:2" x14ac:dyDescent="0.25">
      <c r="B6851" s="11"/>
    </row>
    <row r="6852" spans="2:2" x14ac:dyDescent="0.25">
      <c r="B6852" s="11"/>
    </row>
    <row r="6853" spans="2:2" x14ac:dyDescent="0.25">
      <c r="B6853" s="11"/>
    </row>
    <row r="6854" spans="2:2" x14ac:dyDescent="0.25">
      <c r="B6854" s="11"/>
    </row>
    <row r="6855" spans="2:2" x14ac:dyDescent="0.25">
      <c r="B6855" s="11"/>
    </row>
    <row r="6856" spans="2:2" x14ac:dyDescent="0.25">
      <c r="B6856" s="11"/>
    </row>
    <row r="6857" spans="2:2" x14ac:dyDescent="0.25">
      <c r="B6857" s="11"/>
    </row>
    <row r="6858" spans="2:2" x14ac:dyDescent="0.25">
      <c r="B6858" s="11"/>
    </row>
    <row r="6859" spans="2:2" x14ac:dyDescent="0.25">
      <c r="B6859" s="11"/>
    </row>
    <row r="6860" spans="2:2" x14ac:dyDescent="0.25">
      <c r="B6860" s="11"/>
    </row>
    <row r="6861" spans="2:2" x14ac:dyDescent="0.25">
      <c r="B6861" s="11"/>
    </row>
    <row r="6862" spans="2:2" x14ac:dyDescent="0.25">
      <c r="B6862" s="11"/>
    </row>
    <row r="6863" spans="2:2" x14ac:dyDescent="0.25">
      <c r="B6863" s="11"/>
    </row>
    <row r="6864" spans="2:2" x14ac:dyDescent="0.25">
      <c r="B6864" s="11"/>
    </row>
    <row r="6865" spans="2:2" x14ac:dyDescent="0.25">
      <c r="B6865" s="11"/>
    </row>
    <row r="6866" spans="2:2" x14ac:dyDescent="0.25">
      <c r="B6866" s="11"/>
    </row>
    <row r="6867" spans="2:2" x14ac:dyDescent="0.25">
      <c r="B6867" s="11"/>
    </row>
    <row r="6868" spans="2:2" x14ac:dyDescent="0.25">
      <c r="B6868" s="11"/>
    </row>
    <row r="6869" spans="2:2" x14ac:dyDescent="0.25">
      <c r="B6869" s="11"/>
    </row>
    <row r="6870" spans="2:2" x14ac:dyDescent="0.25">
      <c r="B6870" s="11"/>
    </row>
    <row r="6871" spans="2:2" x14ac:dyDescent="0.25">
      <c r="B6871" s="11"/>
    </row>
    <row r="6872" spans="2:2" x14ac:dyDescent="0.25">
      <c r="B6872" s="11"/>
    </row>
    <row r="6873" spans="2:2" x14ac:dyDescent="0.25">
      <c r="B6873" s="11"/>
    </row>
    <row r="6874" spans="2:2" x14ac:dyDescent="0.25">
      <c r="B6874" s="11"/>
    </row>
    <row r="6875" spans="2:2" x14ac:dyDescent="0.25">
      <c r="B6875" s="11"/>
    </row>
    <row r="6876" spans="2:2" x14ac:dyDescent="0.25">
      <c r="B6876" s="11"/>
    </row>
    <row r="6877" spans="2:2" x14ac:dyDescent="0.25">
      <c r="B6877" s="11"/>
    </row>
    <row r="6878" spans="2:2" x14ac:dyDescent="0.25">
      <c r="B6878" s="11"/>
    </row>
    <row r="6879" spans="2:2" x14ac:dyDescent="0.25">
      <c r="B6879" s="11"/>
    </row>
    <row r="6880" spans="2:2" x14ac:dyDescent="0.25">
      <c r="B6880" s="11"/>
    </row>
    <row r="6881" spans="2:2" x14ac:dyDescent="0.25">
      <c r="B6881" s="11"/>
    </row>
    <row r="6882" spans="2:2" x14ac:dyDescent="0.25">
      <c r="B6882" s="11"/>
    </row>
    <row r="6883" spans="2:2" x14ac:dyDescent="0.25">
      <c r="B6883" s="11"/>
    </row>
    <row r="6884" spans="2:2" x14ac:dyDescent="0.25">
      <c r="B6884" s="11"/>
    </row>
    <row r="6885" spans="2:2" x14ac:dyDescent="0.25">
      <c r="B6885" s="11"/>
    </row>
    <row r="6886" spans="2:2" x14ac:dyDescent="0.25">
      <c r="B6886" s="11"/>
    </row>
    <row r="6887" spans="2:2" x14ac:dyDescent="0.25">
      <c r="B6887" s="11"/>
    </row>
    <row r="6888" spans="2:2" x14ac:dyDescent="0.25">
      <c r="B6888" s="11"/>
    </row>
    <row r="6889" spans="2:2" x14ac:dyDescent="0.25">
      <c r="B6889" s="11"/>
    </row>
    <row r="6890" spans="2:2" x14ac:dyDescent="0.25">
      <c r="B6890" s="11"/>
    </row>
    <row r="6891" spans="2:2" x14ac:dyDescent="0.25">
      <c r="B6891" s="11"/>
    </row>
    <row r="6892" spans="2:2" x14ac:dyDescent="0.25">
      <c r="B6892" s="11"/>
    </row>
    <row r="6893" spans="2:2" x14ac:dyDescent="0.25">
      <c r="B6893" s="11"/>
    </row>
    <row r="6894" spans="2:2" x14ac:dyDescent="0.25">
      <c r="B6894" s="11"/>
    </row>
    <row r="6895" spans="2:2" x14ac:dyDescent="0.25">
      <c r="B6895" s="11"/>
    </row>
    <row r="6896" spans="2:2" x14ac:dyDescent="0.25">
      <c r="B6896" s="11"/>
    </row>
    <row r="6897" spans="2:2" x14ac:dyDescent="0.25">
      <c r="B6897" s="11"/>
    </row>
    <row r="6898" spans="2:2" x14ac:dyDescent="0.25">
      <c r="B6898" s="11"/>
    </row>
    <row r="6899" spans="2:2" x14ac:dyDescent="0.25">
      <c r="B6899" s="11"/>
    </row>
    <row r="6900" spans="2:2" x14ac:dyDescent="0.25">
      <c r="B6900" s="11"/>
    </row>
    <row r="6901" spans="2:2" x14ac:dyDescent="0.25">
      <c r="B6901" s="11"/>
    </row>
    <row r="6902" spans="2:2" x14ac:dyDescent="0.25">
      <c r="B6902" s="11"/>
    </row>
    <row r="6903" spans="2:2" x14ac:dyDescent="0.25">
      <c r="B6903" s="11"/>
    </row>
    <row r="6904" spans="2:2" x14ac:dyDescent="0.25">
      <c r="B6904" s="11"/>
    </row>
    <row r="6905" spans="2:2" x14ac:dyDescent="0.25">
      <c r="B6905" s="11"/>
    </row>
    <row r="6906" spans="2:2" x14ac:dyDescent="0.25">
      <c r="B6906" s="11"/>
    </row>
    <row r="6907" spans="2:2" x14ac:dyDescent="0.25">
      <c r="B6907" s="11"/>
    </row>
    <row r="6908" spans="2:2" x14ac:dyDescent="0.25">
      <c r="B6908" s="11"/>
    </row>
    <row r="6909" spans="2:2" x14ac:dyDescent="0.25">
      <c r="B6909" s="11"/>
    </row>
    <row r="6910" spans="2:2" x14ac:dyDescent="0.25">
      <c r="B6910" s="11"/>
    </row>
    <row r="6911" spans="2:2" x14ac:dyDescent="0.25">
      <c r="B6911" s="11"/>
    </row>
    <row r="6912" spans="2:2" x14ac:dyDescent="0.25">
      <c r="B6912" s="11"/>
    </row>
    <row r="6913" spans="2:2" x14ac:dyDescent="0.25">
      <c r="B6913" s="11"/>
    </row>
    <row r="6914" spans="2:2" x14ac:dyDescent="0.25">
      <c r="B6914" s="11"/>
    </row>
    <row r="6915" spans="2:2" x14ac:dyDescent="0.25">
      <c r="B6915" s="11"/>
    </row>
    <row r="6916" spans="2:2" x14ac:dyDescent="0.25">
      <c r="B6916" s="11"/>
    </row>
    <row r="6917" spans="2:2" x14ac:dyDescent="0.25">
      <c r="B6917" s="11"/>
    </row>
    <row r="6918" spans="2:2" x14ac:dyDescent="0.25">
      <c r="B6918" s="11"/>
    </row>
    <row r="6919" spans="2:2" x14ac:dyDescent="0.25">
      <c r="B6919" s="11"/>
    </row>
    <row r="6920" spans="2:2" x14ac:dyDescent="0.25">
      <c r="B6920" s="11"/>
    </row>
    <row r="6921" spans="2:2" x14ac:dyDescent="0.25">
      <c r="B6921" s="11"/>
    </row>
    <row r="6922" spans="2:2" x14ac:dyDescent="0.25">
      <c r="B6922" s="11"/>
    </row>
    <row r="6923" spans="2:2" x14ac:dyDescent="0.25">
      <c r="B6923" s="11"/>
    </row>
    <row r="6924" spans="2:2" x14ac:dyDescent="0.25">
      <c r="B6924" s="11"/>
    </row>
    <row r="6925" spans="2:2" x14ac:dyDescent="0.25">
      <c r="B6925" s="11"/>
    </row>
    <row r="6926" spans="2:2" x14ac:dyDescent="0.25">
      <c r="B6926" s="11"/>
    </row>
    <row r="6927" spans="2:2" x14ac:dyDescent="0.25">
      <c r="B6927" s="11"/>
    </row>
    <row r="6928" spans="2:2" x14ac:dyDescent="0.25">
      <c r="B6928" s="11"/>
    </row>
    <row r="6929" spans="2:2" x14ac:dyDescent="0.25">
      <c r="B6929" s="11"/>
    </row>
    <row r="6930" spans="2:2" x14ac:dyDescent="0.25">
      <c r="B6930" s="11"/>
    </row>
    <row r="6931" spans="2:2" x14ac:dyDescent="0.25">
      <c r="B6931" s="11"/>
    </row>
    <row r="6932" spans="2:2" x14ac:dyDescent="0.25">
      <c r="B6932" s="11"/>
    </row>
    <row r="6933" spans="2:2" x14ac:dyDescent="0.25">
      <c r="B6933" s="11"/>
    </row>
    <row r="6934" spans="2:2" x14ac:dyDescent="0.25">
      <c r="B6934" s="11"/>
    </row>
    <row r="6935" spans="2:2" x14ac:dyDescent="0.25">
      <c r="B6935" s="11"/>
    </row>
    <row r="6936" spans="2:2" x14ac:dyDescent="0.25">
      <c r="B6936" s="11"/>
    </row>
    <row r="6937" spans="2:2" x14ac:dyDescent="0.25">
      <c r="B6937" s="11"/>
    </row>
    <row r="6938" spans="2:2" x14ac:dyDescent="0.25">
      <c r="B6938" s="11"/>
    </row>
    <row r="6939" spans="2:2" x14ac:dyDescent="0.25">
      <c r="B6939" s="11"/>
    </row>
    <row r="6940" spans="2:2" x14ac:dyDescent="0.25">
      <c r="B6940" s="11"/>
    </row>
    <row r="6941" spans="2:2" x14ac:dyDescent="0.25">
      <c r="B6941" s="11"/>
    </row>
    <row r="6942" spans="2:2" x14ac:dyDescent="0.25">
      <c r="B6942" s="11"/>
    </row>
    <row r="6943" spans="2:2" x14ac:dyDescent="0.25">
      <c r="B6943" s="11"/>
    </row>
    <row r="6944" spans="2:2" x14ac:dyDescent="0.25">
      <c r="B6944" s="11"/>
    </row>
    <row r="6945" spans="2:2" x14ac:dyDescent="0.25">
      <c r="B6945" s="11"/>
    </row>
    <row r="6946" spans="2:2" x14ac:dyDescent="0.25">
      <c r="B6946" s="11"/>
    </row>
    <row r="6947" spans="2:2" x14ac:dyDescent="0.25">
      <c r="B6947" s="11"/>
    </row>
    <row r="6948" spans="2:2" x14ac:dyDescent="0.25">
      <c r="B6948" s="11"/>
    </row>
    <row r="6949" spans="2:2" x14ac:dyDescent="0.25">
      <c r="B6949" s="11"/>
    </row>
    <row r="6950" spans="2:2" x14ac:dyDescent="0.25">
      <c r="B6950" s="11"/>
    </row>
    <row r="6951" spans="2:2" x14ac:dyDescent="0.25">
      <c r="B6951" s="11"/>
    </row>
    <row r="6952" spans="2:2" x14ac:dyDescent="0.25">
      <c r="B6952" s="11"/>
    </row>
    <row r="6953" spans="2:2" x14ac:dyDescent="0.25">
      <c r="B6953" s="11"/>
    </row>
    <row r="6954" spans="2:2" x14ac:dyDescent="0.25">
      <c r="B6954" s="11"/>
    </row>
    <row r="6955" spans="2:2" x14ac:dyDescent="0.25">
      <c r="B6955" s="11"/>
    </row>
    <row r="6956" spans="2:2" x14ac:dyDescent="0.25">
      <c r="B6956" s="11"/>
    </row>
    <row r="6957" spans="2:2" x14ac:dyDescent="0.25">
      <c r="B6957" s="11"/>
    </row>
    <row r="6958" spans="2:2" x14ac:dyDescent="0.25">
      <c r="B6958" s="11"/>
    </row>
    <row r="6959" spans="2:2" x14ac:dyDescent="0.25">
      <c r="B6959" s="11"/>
    </row>
    <row r="6960" spans="2:2" x14ac:dyDescent="0.25">
      <c r="B6960" s="11"/>
    </row>
    <row r="6961" spans="2:2" x14ac:dyDescent="0.25">
      <c r="B6961" s="11"/>
    </row>
    <row r="6962" spans="2:2" x14ac:dyDescent="0.25">
      <c r="B6962" s="11"/>
    </row>
    <row r="6963" spans="2:2" x14ac:dyDescent="0.25">
      <c r="B6963" s="11"/>
    </row>
    <row r="6964" spans="2:2" x14ac:dyDescent="0.25">
      <c r="B6964" s="11"/>
    </row>
    <row r="6965" spans="2:2" x14ac:dyDescent="0.25">
      <c r="B6965" s="11"/>
    </row>
    <row r="6966" spans="2:2" x14ac:dyDescent="0.25">
      <c r="B6966" s="11"/>
    </row>
    <row r="6967" spans="2:2" x14ac:dyDescent="0.25">
      <c r="B6967" s="11"/>
    </row>
    <row r="6968" spans="2:2" x14ac:dyDescent="0.25">
      <c r="B6968" s="11"/>
    </row>
    <row r="6969" spans="2:2" x14ac:dyDescent="0.25">
      <c r="B6969" s="11"/>
    </row>
    <row r="6970" spans="2:2" x14ac:dyDescent="0.25">
      <c r="B6970" s="11"/>
    </row>
    <row r="6971" spans="2:2" x14ac:dyDescent="0.25">
      <c r="B6971" s="11"/>
    </row>
    <row r="6972" spans="2:2" x14ac:dyDescent="0.25">
      <c r="B6972" s="11"/>
    </row>
    <row r="6973" spans="2:2" x14ac:dyDescent="0.25">
      <c r="B6973" s="11"/>
    </row>
    <row r="6974" spans="2:2" x14ac:dyDescent="0.25">
      <c r="B6974" s="11"/>
    </row>
    <row r="6975" spans="2:2" x14ac:dyDescent="0.25">
      <c r="B6975" s="11"/>
    </row>
    <row r="6976" spans="2:2" x14ac:dyDescent="0.25">
      <c r="B6976" s="11"/>
    </row>
    <row r="6977" spans="2:2" x14ac:dyDescent="0.25">
      <c r="B6977" s="11"/>
    </row>
    <row r="6978" spans="2:2" x14ac:dyDescent="0.25">
      <c r="B6978" s="11"/>
    </row>
    <row r="6979" spans="2:2" x14ac:dyDescent="0.25">
      <c r="B6979" s="11"/>
    </row>
    <row r="6980" spans="2:2" x14ac:dyDescent="0.25">
      <c r="B6980" s="11"/>
    </row>
    <row r="6981" spans="2:2" x14ac:dyDescent="0.25">
      <c r="B6981" s="11"/>
    </row>
    <row r="6982" spans="2:2" x14ac:dyDescent="0.25">
      <c r="B6982" s="11"/>
    </row>
    <row r="6983" spans="2:2" x14ac:dyDescent="0.25">
      <c r="B6983" s="11"/>
    </row>
    <row r="6984" spans="2:2" x14ac:dyDescent="0.25">
      <c r="B6984" s="11"/>
    </row>
    <row r="6985" spans="2:2" x14ac:dyDescent="0.25">
      <c r="B6985" s="11"/>
    </row>
    <row r="6986" spans="2:2" x14ac:dyDescent="0.25">
      <c r="B6986" s="11"/>
    </row>
    <row r="6987" spans="2:2" x14ac:dyDescent="0.25">
      <c r="B6987" s="11"/>
    </row>
    <row r="6988" spans="2:2" x14ac:dyDescent="0.25">
      <c r="B6988" s="11"/>
    </row>
    <row r="6989" spans="2:2" x14ac:dyDescent="0.25">
      <c r="B6989" s="11"/>
    </row>
    <row r="6990" spans="2:2" x14ac:dyDescent="0.25">
      <c r="B6990" s="11"/>
    </row>
    <row r="6991" spans="2:2" x14ac:dyDescent="0.25">
      <c r="B6991" s="11"/>
    </row>
    <row r="6992" spans="2:2" x14ac:dyDescent="0.25">
      <c r="B6992" s="11"/>
    </row>
    <row r="6993" spans="2:2" x14ac:dyDescent="0.25">
      <c r="B6993" s="11"/>
    </row>
    <row r="6994" spans="2:2" x14ac:dyDescent="0.25">
      <c r="B6994" s="11"/>
    </row>
    <row r="6995" spans="2:2" x14ac:dyDescent="0.25">
      <c r="B6995" s="11"/>
    </row>
    <row r="6996" spans="2:2" x14ac:dyDescent="0.25">
      <c r="B6996" s="11"/>
    </row>
    <row r="6997" spans="2:2" x14ac:dyDescent="0.25">
      <c r="B6997" s="11"/>
    </row>
    <row r="6998" spans="2:2" x14ac:dyDescent="0.25">
      <c r="B6998" s="11"/>
    </row>
    <row r="6999" spans="2:2" x14ac:dyDescent="0.25">
      <c r="B6999" s="11"/>
    </row>
    <row r="7000" spans="2:2" x14ac:dyDescent="0.25">
      <c r="B7000" s="11"/>
    </row>
    <row r="7001" spans="2:2" x14ac:dyDescent="0.25">
      <c r="B7001" s="11"/>
    </row>
    <row r="7002" spans="2:2" x14ac:dyDescent="0.25">
      <c r="B7002" s="11"/>
    </row>
    <row r="7003" spans="2:2" x14ac:dyDescent="0.25">
      <c r="B7003" s="11"/>
    </row>
    <row r="7004" spans="2:2" x14ac:dyDescent="0.25">
      <c r="B7004" s="11"/>
    </row>
    <row r="7005" spans="2:2" x14ac:dyDescent="0.25">
      <c r="B7005" s="11"/>
    </row>
    <row r="7006" spans="2:2" x14ac:dyDescent="0.25">
      <c r="B7006" s="11"/>
    </row>
    <row r="7007" spans="2:2" x14ac:dyDescent="0.25">
      <c r="B7007" s="11"/>
    </row>
    <row r="7008" spans="2:2" x14ac:dyDescent="0.25">
      <c r="B7008" s="11"/>
    </row>
    <row r="7009" spans="2:2" x14ac:dyDescent="0.25">
      <c r="B7009" s="11"/>
    </row>
    <row r="7010" spans="2:2" x14ac:dyDescent="0.25">
      <c r="B7010" s="11"/>
    </row>
    <row r="7011" spans="2:2" x14ac:dyDescent="0.25">
      <c r="B7011" s="11"/>
    </row>
    <row r="7012" spans="2:2" x14ac:dyDescent="0.25">
      <c r="B7012" s="11"/>
    </row>
    <row r="7013" spans="2:2" x14ac:dyDescent="0.25">
      <c r="B7013" s="11"/>
    </row>
    <row r="7014" spans="2:2" x14ac:dyDescent="0.25">
      <c r="B7014" s="11"/>
    </row>
    <row r="7015" spans="2:2" x14ac:dyDescent="0.25">
      <c r="B7015" s="11"/>
    </row>
    <row r="7016" spans="2:2" x14ac:dyDescent="0.25">
      <c r="B7016" s="11"/>
    </row>
    <row r="7017" spans="2:2" x14ac:dyDescent="0.25">
      <c r="B7017" s="11"/>
    </row>
    <row r="7018" spans="2:2" x14ac:dyDescent="0.25">
      <c r="B7018" s="11"/>
    </row>
    <row r="7019" spans="2:2" x14ac:dyDescent="0.25">
      <c r="B7019" s="11"/>
    </row>
    <row r="7020" spans="2:2" x14ac:dyDescent="0.25">
      <c r="B7020" s="11"/>
    </row>
    <row r="7021" spans="2:2" x14ac:dyDescent="0.25">
      <c r="B7021" s="11"/>
    </row>
    <row r="7022" spans="2:2" x14ac:dyDescent="0.25">
      <c r="B7022" s="11"/>
    </row>
    <row r="7023" spans="2:2" x14ac:dyDescent="0.25">
      <c r="B7023" s="11"/>
    </row>
    <row r="7024" spans="2:2" x14ac:dyDescent="0.25">
      <c r="B7024" s="11"/>
    </row>
    <row r="7025" spans="2:2" x14ac:dyDescent="0.25">
      <c r="B7025" s="11"/>
    </row>
    <row r="7026" spans="2:2" x14ac:dyDescent="0.25">
      <c r="B7026" s="11"/>
    </row>
    <row r="7027" spans="2:2" x14ac:dyDescent="0.25">
      <c r="B7027" s="11"/>
    </row>
    <row r="7028" spans="2:2" x14ac:dyDescent="0.25">
      <c r="B7028" s="11"/>
    </row>
    <row r="7029" spans="2:2" x14ac:dyDescent="0.25">
      <c r="B7029" s="11"/>
    </row>
    <row r="7030" spans="2:2" x14ac:dyDescent="0.25">
      <c r="B7030" s="11"/>
    </row>
    <row r="7031" spans="2:2" x14ac:dyDescent="0.25">
      <c r="B7031" s="11"/>
    </row>
    <row r="7032" spans="2:2" x14ac:dyDescent="0.25">
      <c r="B7032" s="11"/>
    </row>
    <row r="7033" spans="2:2" x14ac:dyDescent="0.25">
      <c r="B7033" s="11"/>
    </row>
    <row r="7034" spans="2:2" x14ac:dyDescent="0.25">
      <c r="B7034" s="11"/>
    </row>
    <row r="7035" spans="2:2" x14ac:dyDescent="0.25">
      <c r="B7035" s="11"/>
    </row>
    <row r="7036" spans="2:2" x14ac:dyDescent="0.25">
      <c r="B7036" s="11"/>
    </row>
    <row r="7037" spans="2:2" x14ac:dyDescent="0.25">
      <c r="B7037" s="11"/>
    </row>
    <row r="7038" spans="2:2" x14ac:dyDescent="0.25">
      <c r="B7038" s="11"/>
    </row>
    <row r="7039" spans="2:2" x14ac:dyDescent="0.25">
      <c r="B7039" s="11"/>
    </row>
    <row r="7040" spans="2:2" x14ac:dyDescent="0.25">
      <c r="B7040" s="11"/>
    </row>
    <row r="7041" spans="2:2" x14ac:dyDescent="0.25">
      <c r="B7041" s="11"/>
    </row>
    <row r="7042" spans="2:2" x14ac:dyDescent="0.25">
      <c r="B7042" s="11"/>
    </row>
    <row r="7043" spans="2:2" x14ac:dyDescent="0.25">
      <c r="B7043" s="11"/>
    </row>
    <row r="7044" spans="2:2" x14ac:dyDescent="0.25">
      <c r="B7044" s="11"/>
    </row>
    <row r="7045" spans="2:2" x14ac:dyDescent="0.25">
      <c r="B7045" s="11"/>
    </row>
    <row r="7046" spans="2:2" x14ac:dyDescent="0.25">
      <c r="B7046" s="11"/>
    </row>
    <row r="7047" spans="2:2" x14ac:dyDescent="0.25">
      <c r="B7047" s="11"/>
    </row>
    <row r="7048" spans="2:2" x14ac:dyDescent="0.25">
      <c r="B7048" s="11"/>
    </row>
    <row r="7049" spans="2:2" x14ac:dyDescent="0.25">
      <c r="B7049" s="11"/>
    </row>
    <row r="7050" spans="2:2" x14ac:dyDescent="0.25">
      <c r="B7050" s="11"/>
    </row>
    <row r="7051" spans="2:2" x14ac:dyDescent="0.25">
      <c r="B7051" s="11"/>
    </row>
    <row r="7052" spans="2:2" x14ac:dyDescent="0.25">
      <c r="B7052" s="11"/>
    </row>
    <row r="7053" spans="2:2" x14ac:dyDescent="0.25">
      <c r="B7053" s="11"/>
    </row>
    <row r="7054" spans="2:2" x14ac:dyDescent="0.25">
      <c r="B7054" s="11"/>
    </row>
    <row r="7055" spans="2:2" x14ac:dyDescent="0.25">
      <c r="B7055" s="11"/>
    </row>
    <row r="7056" spans="2:2" x14ac:dyDescent="0.25">
      <c r="B7056" s="11"/>
    </row>
    <row r="7057" spans="2:2" x14ac:dyDescent="0.25">
      <c r="B7057" s="11"/>
    </row>
    <row r="7058" spans="2:2" x14ac:dyDescent="0.25">
      <c r="B7058" s="11"/>
    </row>
    <row r="7059" spans="2:2" x14ac:dyDescent="0.25">
      <c r="B7059" s="11"/>
    </row>
    <row r="7060" spans="2:2" x14ac:dyDescent="0.25">
      <c r="B7060" s="11"/>
    </row>
    <row r="7061" spans="2:2" x14ac:dyDescent="0.25">
      <c r="B7061" s="11"/>
    </row>
    <row r="7062" spans="2:2" x14ac:dyDescent="0.25">
      <c r="B7062" s="11"/>
    </row>
    <row r="7063" spans="2:2" x14ac:dyDescent="0.25">
      <c r="B7063" s="11"/>
    </row>
    <row r="7064" spans="2:2" x14ac:dyDescent="0.25">
      <c r="B7064" s="11"/>
    </row>
    <row r="7065" spans="2:2" x14ac:dyDescent="0.25">
      <c r="B7065" s="11"/>
    </row>
    <row r="7066" spans="2:2" x14ac:dyDescent="0.25">
      <c r="B7066" s="11"/>
    </row>
    <row r="7067" spans="2:2" x14ac:dyDescent="0.25">
      <c r="B7067" s="11"/>
    </row>
    <row r="7068" spans="2:2" x14ac:dyDescent="0.25">
      <c r="B7068" s="11"/>
    </row>
    <row r="7069" spans="2:2" x14ac:dyDescent="0.25">
      <c r="B7069" s="11"/>
    </row>
    <row r="7070" spans="2:2" x14ac:dyDescent="0.25">
      <c r="B7070" s="11"/>
    </row>
    <row r="7071" spans="2:2" x14ac:dyDescent="0.25">
      <c r="B7071" s="11"/>
    </row>
    <row r="7072" spans="2:2" x14ac:dyDescent="0.25">
      <c r="B7072" s="11"/>
    </row>
    <row r="7073" spans="2:2" x14ac:dyDescent="0.25">
      <c r="B7073" s="11"/>
    </row>
    <row r="7074" spans="2:2" x14ac:dyDescent="0.25">
      <c r="B7074" s="11"/>
    </row>
    <row r="7075" spans="2:2" x14ac:dyDescent="0.25">
      <c r="B7075" s="11"/>
    </row>
    <row r="7076" spans="2:2" x14ac:dyDescent="0.25">
      <c r="B7076" s="11"/>
    </row>
    <row r="7077" spans="2:2" x14ac:dyDescent="0.25">
      <c r="B7077" s="11"/>
    </row>
    <row r="7078" spans="2:2" x14ac:dyDescent="0.25">
      <c r="B7078" s="11"/>
    </row>
    <row r="7079" spans="2:2" x14ac:dyDescent="0.25">
      <c r="B7079" s="11"/>
    </row>
    <row r="7080" spans="2:2" x14ac:dyDescent="0.25">
      <c r="B7080" s="11"/>
    </row>
    <row r="7081" spans="2:2" x14ac:dyDescent="0.25">
      <c r="B7081" s="11"/>
    </row>
    <row r="7082" spans="2:2" x14ac:dyDescent="0.25">
      <c r="B7082" s="11"/>
    </row>
    <row r="7083" spans="2:2" x14ac:dyDescent="0.25">
      <c r="B7083" s="11"/>
    </row>
    <row r="7084" spans="2:2" x14ac:dyDescent="0.25">
      <c r="B7084" s="11"/>
    </row>
    <row r="7085" spans="2:2" x14ac:dyDescent="0.25">
      <c r="B7085" s="11"/>
    </row>
    <row r="7086" spans="2:2" x14ac:dyDescent="0.25">
      <c r="B7086" s="11"/>
    </row>
    <row r="7087" spans="2:2" x14ac:dyDescent="0.25">
      <c r="B7087" s="11"/>
    </row>
    <row r="7088" spans="2:2" x14ac:dyDescent="0.25">
      <c r="B7088" s="11"/>
    </row>
    <row r="7089" spans="2:2" x14ac:dyDescent="0.25">
      <c r="B7089" s="11"/>
    </row>
    <row r="7090" spans="2:2" x14ac:dyDescent="0.25">
      <c r="B7090" s="11"/>
    </row>
    <row r="7091" spans="2:2" x14ac:dyDescent="0.25">
      <c r="B7091" s="11"/>
    </row>
    <row r="7092" spans="2:2" x14ac:dyDescent="0.25">
      <c r="B7092" s="11"/>
    </row>
    <row r="7093" spans="2:2" x14ac:dyDescent="0.25">
      <c r="B7093" s="11"/>
    </row>
    <row r="7094" spans="2:2" x14ac:dyDescent="0.25">
      <c r="B7094" s="11"/>
    </row>
    <row r="7095" spans="2:2" x14ac:dyDescent="0.25">
      <c r="B7095" s="11"/>
    </row>
    <row r="7096" spans="2:2" x14ac:dyDescent="0.25">
      <c r="B7096" s="11"/>
    </row>
    <row r="7097" spans="2:2" x14ac:dyDescent="0.25">
      <c r="B7097" s="11"/>
    </row>
    <row r="7098" spans="2:2" x14ac:dyDescent="0.25">
      <c r="B7098" s="11"/>
    </row>
    <row r="7099" spans="2:2" x14ac:dyDescent="0.25">
      <c r="B7099" s="11"/>
    </row>
    <row r="7100" spans="2:2" x14ac:dyDescent="0.25">
      <c r="B7100" s="11"/>
    </row>
    <row r="7101" spans="2:2" x14ac:dyDescent="0.25">
      <c r="B7101" s="11"/>
    </row>
    <row r="7102" spans="2:2" x14ac:dyDescent="0.25">
      <c r="B7102" s="11"/>
    </row>
    <row r="7103" spans="2:2" x14ac:dyDescent="0.25">
      <c r="B7103" s="11"/>
    </row>
    <row r="7104" spans="2:2" x14ac:dyDescent="0.25">
      <c r="B7104" s="11"/>
    </row>
    <row r="7105" spans="2:2" x14ac:dyDescent="0.25">
      <c r="B7105" s="11"/>
    </row>
    <row r="7106" spans="2:2" x14ac:dyDescent="0.25">
      <c r="B7106" s="11"/>
    </row>
    <row r="7107" spans="2:2" x14ac:dyDescent="0.25">
      <c r="B7107" s="11"/>
    </row>
    <row r="7108" spans="2:2" x14ac:dyDescent="0.25">
      <c r="B7108" s="11"/>
    </row>
    <row r="7109" spans="2:2" x14ac:dyDescent="0.25">
      <c r="B7109" s="11"/>
    </row>
    <row r="7110" spans="2:2" x14ac:dyDescent="0.25">
      <c r="B7110" s="11"/>
    </row>
    <row r="7111" spans="2:2" x14ac:dyDescent="0.25">
      <c r="B7111" s="11"/>
    </row>
    <row r="7112" spans="2:2" x14ac:dyDescent="0.25">
      <c r="B7112" s="11"/>
    </row>
    <row r="7113" spans="2:2" x14ac:dyDescent="0.25">
      <c r="B7113" s="11"/>
    </row>
    <row r="7114" spans="2:2" x14ac:dyDescent="0.25">
      <c r="B7114" s="11"/>
    </row>
    <row r="7115" spans="2:2" x14ac:dyDescent="0.25">
      <c r="B7115" s="11"/>
    </row>
    <row r="7116" spans="2:2" x14ac:dyDescent="0.25">
      <c r="B7116" s="11"/>
    </row>
    <row r="7117" spans="2:2" x14ac:dyDescent="0.25">
      <c r="B7117" s="11"/>
    </row>
    <row r="7118" spans="2:2" x14ac:dyDescent="0.25">
      <c r="B7118" s="11"/>
    </row>
    <row r="7119" spans="2:2" x14ac:dyDescent="0.25">
      <c r="B7119" s="11"/>
    </row>
    <row r="7120" spans="2:2" x14ac:dyDescent="0.25">
      <c r="B7120" s="11"/>
    </row>
    <row r="7121" spans="2:2" x14ac:dyDescent="0.25">
      <c r="B7121" s="11"/>
    </row>
    <row r="7122" spans="2:2" x14ac:dyDescent="0.25">
      <c r="B7122" s="11"/>
    </row>
    <row r="7123" spans="2:2" x14ac:dyDescent="0.25">
      <c r="B7123" s="11"/>
    </row>
    <row r="7124" spans="2:2" x14ac:dyDescent="0.25">
      <c r="B7124" s="11"/>
    </row>
    <row r="7125" spans="2:2" x14ac:dyDescent="0.25">
      <c r="B7125" s="11"/>
    </row>
    <row r="7126" spans="2:2" x14ac:dyDescent="0.25">
      <c r="B7126" s="11"/>
    </row>
    <row r="7127" spans="2:2" x14ac:dyDescent="0.25">
      <c r="B7127" s="11"/>
    </row>
    <row r="7128" spans="2:2" x14ac:dyDescent="0.25">
      <c r="B7128" s="11"/>
    </row>
    <row r="7129" spans="2:2" x14ac:dyDescent="0.25">
      <c r="B7129" s="11"/>
    </row>
    <row r="7130" spans="2:2" x14ac:dyDescent="0.25">
      <c r="B7130" s="11"/>
    </row>
    <row r="7131" spans="2:2" x14ac:dyDescent="0.25">
      <c r="B7131" s="11"/>
    </row>
    <row r="7132" spans="2:2" x14ac:dyDescent="0.25">
      <c r="B7132" s="11"/>
    </row>
    <row r="7133" spans="2:2" x14ac:dyDescent="0.25">
      <c r="B7133" s="11"/>
    </row>
    <row r="7134" spans="2:2" x14ac:dyDescent="0.25">
      <c r="B7134" s="11"/>
    </row>
    <row r="7135" spans="2:2" x14ac:dyDescent="0.25">
      <c r="B7135" s="11"/>
    </row>
    <row r="7136" spans="2:2" x14ac:dyDescent="0.25">
      <c r="B7136" s="11"/>
    </row>
    <row r="7137" spans="2:2" x14ac:dyDescent="0.25">
      <c r="B7137" s="11"/>
    </row>
    <row r="7138" spans="2:2" x14ac:dyDescent="0.25">
      <c r="B7138" s="11"/>
    </row>
    <row r="7139" spans="2:2" x14ac:dyDescent="0.25">
      <c r="B7139" s="11"/>
    </row>
    <row r="7140" spans="2:2" x14ac:dyDescent="0.25">
      <c r="B7140" s="11"/>
    </row>
    <row r="7141" spans="2:2" x14ac:dyDescent="0.25">
      <c r="B7141" s="11"/>
    </row>
    <row r="7142" spans="2:2" x14ac:dyDescent="0.25">
      <c r="B7142" s="11"/>
    </row>
    <row r="7143" spans="2:2" x14ac:dyDescent="0.25">
      <c r="B7143" s="11"/>
    </row>
    <row r="7144" spans="2:2" x14ac:dyDescent="0.25">
      <c r="B7144" s="11"/>
    </row>
    <row r="7145" spans="2:2" x14ac:dyDescent="0.25">
      <c r="B7145" s="11"/>
    </row>
    <row r="7146" spans="2:2" x14ac:dyDescent="0.25">
      <c r="B7146" s="11"/>
    </row>
    <row r="7147" spans="2:2" x14ac:dyDescent="0.25">
      <c r="B7147" s="11"/>
    </row>
    <row r="7148" spans="2:2" x14ac:dyDescent="0.25">
      <c r="B7148" s="11"/>
    </row>
    <row r="7149" spans="2:2" x14ac:dyDescent="0.25">
      <c r="B7149" s="11"/>
    </row>
    <row r="7150" spans="2:2" x14ac:dyDescent="0.25">
      <c r="B7150" s="11"/>
    </row>
    <row r="7151" spans="2:2" x14ac:dyDescent="0.25">
      <c r="B7151" s="11"/>
    </row>
    <row r="7152" spans="2:2" x14ac:dyDescent="0.25">
      <c r="B7152" s="11"/>
    </row>
    <row r="7153" spans="2:2" x14ac:dyDescent="0.25">
      <c r="B7153" s="11"/>
    </row>
    <row r="7154" spans="2:2" x14ac:dyDescent="0.25">
      <c r="B7154" s="11"/>
    </row>
    <row r="7155" spans="2:2" x14ac:dyDescent="0.25">
      <c r="B7155" s="11"/>
    </row>
    <row r="7156" spans="2:2" x14ac:dyDescent="0.25">
      <c r="B7156" s="11"/>
    </row>
    <row r="7157" spans="2:2" x14ac:dyDescent="0.25">
      <c r="B7157" s="11"/>
    </row>
    <row r="7158" spans="2:2" x14ac:dyDescent="0.25">
      <c r="B7158" s="11"/>
    </row>
    <row r="7159" spans="2:2" x14ac:dyDescent="0.25">
      <c r="B7159" s="11"/>
    </row>
    <row r="7160" spans="2:2" x14ac:dyDescent="0.25">
      <c r="B7160" s="11"/>
    </row>
    <row r="7161" spans="2:2" x14ac:dyDescent="0.25">
      <c r="B7161" s="11"/>
    </row>
    <row r="7162" spans="2:2" x14ac:dyDescent="0.25">
      <c r="B7162" s="11"/>
    </row>
    <row r="7163" spans="2:2" x14ac:dyDescent="0.25">
      <c r="B7163" s="11"/>
    </row>
    <row r="7164" spans="2:2" x14ac:dyDescent="0.25">
      <c r="B7164" s="11"/>
    </row>
    <row r="7165" spans="2:2" x14ac:dyDescent="0.25">
      <c r="B7165" s="11"/>
    </row>
    <row r="7166" spans="2:2" x14ac:dyDescent="0.25">
      <c r="B7166" s="11"/>
    </row>
    <row r="7167" spans="2:2" x14ac:dyDescent="0.25">
      <c r="B7167" s="11"/>
    </row>
    <row r="7168" spans="2:2" x14ac:dyDescent="0.25">
      <c r="B7168" s="11"/>
    </row>
    <row r="7169" spans="2:2" x14ac:dyDescent="0.25">
      <c r="B7169" s="11"/>
    </row>
    <row r="7170" spans="2:2" x14ac:dyDescent="0.25">
      <c r="B7170" s="11"/>
    </row>
    <row r="7171" spans="2:2" x14ac:dyDescent="0.25">
      <c r="B7171" s="11"/>
    </row>
    <row r="7172" spans="2:2" x14ac:dyDescent="0.25">
      <c r="B7172" s="11"/>
    </row>
    <row r="7173" spans="2:2" x14ac:dyDescent="0.25">
      <c r="B7173" s="11"/>
    </row>
    <row r="7174" spans="2:2" x14ac:dyDescent="0.25">
      <c r="B7174" s="11"/>
    </row>
    <row r="7175" spans="2:2" x14ac:dyDescent="0.25">
      <c r="B7175" s="11"/>
    </row>
    <row r="7176" spans="2:2" x14ac:dyDescent="0.25">
      <c r="B7176" s="11"/>
    </row>
    <row r="7177" spans="2:2" x14ac:dyDescent="0.25">
      <c r="B7177" s="11"/>
    </row>
    <row r="7178" spans="2:2" x14ac:dyDescent="0.25">
      <c r="B7178" s="11"/>
    </row>
    <row r="7179" spans="2:2" x14ac:dyDescent="0.25">
      <c r="B7179" s="11"/>
    </row>
    <row r="7180" spans="2:2" x14ac:dyDescent="0.25">
      <c r="B7180" s="11"/>
    </row>
    <row r="7181" spans="2:2" x14ac:dyDescent="0.25">
      <c r="B7181" s="11"/>
    </row>
    <row r="7182" spans="2:2" x14ac:dyDescent="0.25">
      <c r="B7182" s="11"/>
    </row>
    <row r="7183" spans="2:2" x14ac:dyDescent="0.25">
      <c r="B7183" s="11"/>
    </row>
    <row r="7184" spans="2:2" x14ac:dyDescent="0.25">
      <c r="B7184" s="11"/>
    </row>
    <row r="7185" spans="2:2" x14ac:dyDescent="0.25">
      <c r="B7185" s="11"/>
    </row>
    <row r="7186" spans="2:2" x14ac:dyDescent="0.25">
      <c r="B7186" s="11"/>
    </row>
    <row r="7187" spans="2:2" x14ac:dyDescent="0.25">
      <c r="B7187" s="11"/>
    </row>
    <row r="7188" spans="2:2" x14ac:dyDescent="0.25">
      <c r="B7188" s="11"/>
    </row>
    <row r="7189" spans="2:2" x14ac:dyDescent="0.25">
      <c r="B7189" s="11"/>
    </row>
    <row r="7190" spans="2:2" x14ac:dyDescent="0.25">
      <c r="B7190" s="11"/>
    </row>
    <row r="7191" spans="2:2" x14ac:dyDescent="0.25">
      <c r="B7191" s="11"/>
    </row>
    <row r="7192" spans="2:2" x14ac:dyDescent="0.25">
      <c r="B7192" s="11"/>
    </row>
    <row r="7193" spans="2:2" x14ac:dyDescent="0.25">
      <c r="B7193" s="11"/>
    </row>
    <row r="7194" spans="2:2" x14ac:dyDescent="0.25">
      <c r="B7194" s="11"/>
    </row>
    <row r="7195" spans="2:2" x14ac:dyDescent="0.25">
      <c r="B7195" s="11"/>
    </row>
    <row r="7196" spans="2:2" x14ac:dyDescent="0.25">
      <c r="B7196" s="11"/>
    </row>
    <row r="7197" spans="2:2" x14ac:dyDescent="0.25">
      <c r="B7197" s="11"/>
    </row>
    <row r="7198" spans="2:2" x14ac:dyDescent="0.25">
      <c r="B7198" s="11"/>
    </row>
    <row r="7199" spans="2:2" x14ac:dyDescent="0.25">
      <c r="B7199" s="11"/>
    </row>
    <row r="7200" spans="2:2" x14ac:dyDescent="0.25">
      <c r="B7200" s="11"/>
    </row>
    <row r="7201" spans="2:2" x14ac:dyDescent="0.25">
      <c r="B7201" s="11"/>
    </row>
    <row r="7202" spans="2:2" x14ac:dyDescent="0.25">
      <c r="B7202" s="11"/>
    </row>
    <row r="7203" spans="2:2" x14ac:dyDescent="0.25">
      <c r="B7203" s="11"/>
    </row>
    <row r="7204" spans="2:2" x14ac:dyDescent="0.25">
      <c r="B7204" s="11"/>
    </row>
    <row r="7205" spans="2:2" x14ac:dyDescent="0.25">
      <c r="B7205" s="11"/>
    </row>
    <row r="7206" spans="2:2" x14ac:dyDescent="0.25">
      <c r="B7206" s="11"/>
    </row>
    <row r="7207" spans="2:2" x14ac:dyDescent="0.25">
      <c r="B7207" s="11"/>
    </row>
    <row r="7208" spans="2:2" x14ac:dyDescent="0.25">
      <c r="B7208" s="11"/>
    </row>
    <row r="7209" spans="2:2" x14ac:dyDescent="0.25">
      <c r="B7209" s="11"/>
    </row>
    <row r="7210" spans="2:2" x14ac:dyDescent="0.25">
      <c r="B7210" s="11"/>
    </row>
    <row r="7211" spans="2:2" x14ac:dyDescent="0.25">
      <c r="B7211" s="11"/>
    </row>
    <row r="7212" spans="2:2" x14ac:dyDescent="0.25">
      <c r="B7212" s="11"/>
    </row>
    <row r="7213" spans="2:2" x14ac:dyDescent="0.25">
      <c r="B7213" s="11"/>
    </row>
    <row r="7214" spans="2:2" x14ac:dyDescent="0.25">
      <c r="B7214" s="11"/>
    </row>
    <row r="7215" spans="2:2" x14ac:dyDescent="0.25">
      <c r="B7215" s="11"/>
    </row>
    <row r="7216" spans="2:2" x14ac:dyDescent="0.25">
      <c r="B7216" s="11"/>
    </row>
    <row r="7217" spans="2:2" x14ac:dyDescent="0.25">
      <c r="B7217" s="11"/>
    </row>
    <row r="7218" spans="2:2" x14ac:dyDescent="0.25">
      <c r="B7218" s="11"/>
    </row>
    <row r="7219" spans="2:2" x14ac:dyDescent="0.25">
      <c r="B7219" s="11"/>
    </row>
    <row r="7220" spans="2:2" x14ac:dyDescent="0.25">
      <c r="B7220" s="11"/>
    </row>
    <row r="7221" spans="2:2" x14ac:dyDescent="0.25">
      <c r="B7221" s="11"/>
    </row>
    <row r="7222" spans="2:2" x14ac:dyDescent="0.25">
      <c r="B7222" s="11"/>
    </row>
    <row r="7223" spans="2:2" x14ac:dyDescent="0.25">
      <c r="B7223" s="11"/>
    </row>
    <row r="7224" spans="2:2" x14ac:dyDescent="0.25">
      <c r="B7224" s="11"/>
    </row>
    <row r="7225" spans="2:2" x14ac:dyDescent="0.25">
      <c r="B7225" s="11"/>
    </row>
    <row r="7226" spans="2:2" x14ac:dyDescent="0.25">
      <c r="B7226" s="11"/>
    </row>
    <row r="7227" spans="2:2" x14ac:dyDescent="0.25">
      <c r="B7227" s="11"/>
    </row>
    <row r="7228" spans="2:2" x14ac:dyDescent="0.25">
      <c r="B7228" s="11"/>
    </row>
    <row r="7229" spans="2:2" x14ac:dyDescent="0.25">
      <c r="B7229" s="11"/>
    </row>
    <row r="7230" spans="2:2" x14ac:dyDescent="0.25">
      <c r="B7230" s="11"/>
    </row>
    <row r="7231" spans="2:2" x14ac:dyDescent="0.25">
      <c r="B7231" s="11"/>
    </row>
    <row r="7232" spans="2:2" x14ac:dyDescent="0.25">
      <c r="B7232" s="11"/>
    </row>
    <row r="7233" spans="2:2" x14ac:dyDescent="0.25">
      <c r="B7233" s="11"/>
    </row>
    <row r="7234" spans="2:2" x14ac:dyDescent="0.25">
      <c r="B7234" s="11"/>
    </row>
    <row r="7235" spans="2:2" x14ac:dyDescent="0.25">
      <c r="B7235" s="11"/>
    </row>
    <row r="7236" spans="2:2" x14ac:dyDescent="0.25">
      <c r="B7236" s="11"/>
    </row>
    <row r="7237" spans="2:2" x14ac:dyDescent="0.25">
      <c r="B7237" s="11"/>
    </row>
    <row r="7238" spans="2:2" x14ac:dyDescent="0.25">
      <c r="B7238" s="11"/>
    </row>
    <row r="7239" spans="2:2" x14ac:dyDescent="0.25">
      <c r="B7239" s="11"/>
    </row>
    <row r="7240" spans="2:2" x14ac:dyDescent="0.25">
      <c r="B7240" s="11"/>
    </row>
    <row r="7241" spans="2:2" x14ac:dyDescent="0.25">
      <c r="B7241" s="11"/>
    </row>
    <row r="7242" spans="2:2" x14ac:dyDescent="0.25">
      <c r="B7242" s="11"/>
    </row>
    <row r="7243" spans="2:2" x14ac:dyDescent="0.25">
      <c r="B7243" s="11"/>
    </row>
    <row r="7244" spans="2:2" x14ac:dyDescent="0.25">
      <c r="B7244" s="11"/>
    </row>
    <row r="7245" spans="2:2" x14ac:dyDescent="0.25">
      <c r="B7245" s="11"/>
    </row>
    <row r="7246" spans="2:2" x14ac:dyDescent="0.25">
      <c r="B7246" s="11"/>
    </row>
    <row r="7247" spans="2:2" x14ac:dyDescent="0.25">
      <c r="B7247" s="11"/>
    </row>
    <row r="7248" spans="2:2" x14ac:dyDescent="0.25">
      <c r="B7248" s="11"/>
    </row>
    <row r="7249" spans="2:2" x14ac:dyDescent="0.25">
      <c r="B7249" s="11"/>
    </row>
    <row r="7250" spans="2:2" x14ac:dyDescent="0.25">
      <c r="B7250" s="11"/>
    </row>
    <row r="7251" spans="2:2" x14ac:dyDescent="0.25">
      <c r="B7251" s="11"/>
    </row>
    <row r="7252" spans="2:2" x14ac:dyDescent="0.25">
      <c r="B7252" s="11"/>
    </row>
    <row r="7253" spans="2:2" x14ac:dyDescent="0.25">
      <c r="B7253" s="11"/>
    </row>
    <row r="7254" spans="2:2" x14ac:dyDescent="0.25">
      <c r="B7254" s="11"/>
    </row>
    <row r="7255" spans="2:2" x14ac:dyDescent="0.25">
      <c r="B7255" s="11"/>
    </row>
    <row r="7256" spans="2:2" x14ac:dyDescent="0.25">
      <c r="B7256" s="11"/>
    </row>
    <row r="7257" spans="2:2" x14ac:dyDescent="0.25">
      <c r="B7257" s="11"/>
    </row>
    <row r="7258" spans="2:2" x14ac:dyDescent="0.25">
      <c r="B7258" s="11"/>
    </row>
    <row r="7259" spans="2:2" x14ac:dyDescent="0.25">
      <c r="B7259" s="11"/>
    </row>
    <row r="7260" spans="2:2" x14ac:dyDescent="0.25">
      <c r="B7260" s="11"/>
    </row>
    <row r="7261" spans="2:2" x14ac:dyDescent="0.25">
      <c r="B7261" s="11"/>
    </row>
    <row r="7262" spans="2:2" x14ac:dyDescent="0.25">
      <c r="B7262" s="11"/>
    </row>
    <row r="7263" spans="2:2" x14ac:dyDescent="0.25">
      <c r="B7263" s="11"/>
    </row>
    <row r="7264" spans="2:2" x14ac:dyDescent="0.25">
      <c r="B7264" s="11"/>
    </row>
    <row r="7265" spans="2:2" x14ac:dyDescent="0.25">
      <c r="B7265" s="11"/>
    </row>
    <row r="7266" spans="2:2" x14ac:dyDescent="0.25">
      <c r="B7266" s="11"/>
    </row>
    <row r="7267" spans="2:2" x14ac:dyDescent="0.25">
      <c r="B7267" s="11"/>
    </row>
    <row r="7268" spans="2:2" x14ac:dyDescent="0.25">
      <c r="B7268" s="11"/>
    </row>
    <row r="7269" spans="2:2" x14ac:dyDescent="0.25">
      <c r="B7269" s="11"/>
    </row>
    <row r="7270" spans="2:2" x14ac:dyDescent="0.25">
      <c r="B7270" s="11"/>
    </row>
    <row r="7271" spans="2:2" x14ac:dyDescent="0.25">
      <c r="B7271" s="11"/>
    </row>
    <row r="7272" spans="2:2" x14ac:dyDescent="0.25">
      <c r="B7272" s="11"/>
    </row>
    <row r="7273" spans="2:2" x14ac:dyDescent="0.25">
      <c r="B7273" s="11"/>
    </row>
    <row r="7274" spans="2:2" x14ac:dyDescent="0.25">
      <c r="B7274" s="11"/>
    </row>
    <row r="7275" spans="2:2" x14ac:dyDescent="0.25">
      <c r="B7275" s="11"/>
    </row>
    <row r="7276" spans="2:2" x14ac:dyDescent="0.25">
      <c r="B7276" s="11"/>
    </row>
    <row r="7277" spans="2:2" x14ac:dyDescent="0.25">
      <c r="B7277" s="11"/>
    </row>
    <row r="7278" spans="2:2" x14ac:dyDescent="0.25">
      <c r="B7278" s="11"/>
    </row>
    <row r="7279" spans="2:2" x14ac:dyDescent="0.25">
      <c r="B7279" s="11"/>
    </row>
    <row r="7280" spans="2:2" x14ac:dyDescent="0.25">
      <c r="B7280" s="11"/>
    </row>
    <row r="7281" spans="2:2" x14ac:dyDescent="0.25">
      <c r="B7281" s="11"/>
    </row>
    <row r="7282" spans="2:2" x14ac:dyDescent="0.25">
      <c r="B7282" s="11"/>
    </row>
    <row r="7283" spans="2:2" x14ac:dyDescent="0.25">
      <c r="B7283" s="11"/>
    </row>
    <row r="7284" spans="2:2" x14ac:dyDescent="0.25">
      <c r="B7284" s="11"/>
    </row>
    <row r="7285" spans="2:2" x14ac:dyDescent="0.25">
      <c r="B7285" s="11"/>
    </row>
    <row r="7286" spans="2:2" x14ac:dyDescent="0.25">
      <c r="B7286" s="11"/>
    </row>
    <row r="7287" spans="2:2" x14ac:dyDescent="0.25">
      <c r="B7287" s="11"/>
    </row>
    <row r="7288" spans="2:2" x14ac:dyDescent="0.25">
      <c r="B7288" s="11"/>
    </row>
    <row r="7289" spans="2:2" x14ac:dyDescent="0.25">
      <c r="B7289" s="11"/>
    </row>
    <row r="7290" spans="2:2" x14ac:dyDescent="0.25">
      <c r="B7290" s="11"/>
    </row>
    <row r="7291" spans="2:2" x14ac:dyDescent="0.25">
      <c r="B7291" s="11"/>
    </row>
    <row r="7292" spans="2:2" x14ac:dyDescent="0.25">
      <c r="B7292" s="11"/>
    </row>
    <row r="7293" spans="2:2" x14ac:dyDescent="0.25">
      <c r="B7293" s="11"/>
    </row>
    <row r="7294" spans="2:2" x14ac:dyDescent="0.25">
      <c r="B7294" s="11"/>
    </row>
    <row r="7295" spans="2:2" x14ac:dyDescent="0.25">
      <c r="B7295" s="11"/>
    </row>
    <row r="7296" spans="2:2" x14ac:dyDescent="0.25">
      <c r="B7296" s="11"/>
    </row>
    <row r="7297" spans="2:2" x14ac:dyDescent="0.25">
      <c r="B7297" s="11"/>
    </row>
    <row r="7298" spans="2:2" x14ac:dyDescent="0.25">
      <c r="B7298" s="11"/>
    </row>
    <row r="7299" spans="2:2" x14ac:dyDescent="0.25">
      <c r="B7299" s="11"/>
    </row>
    <row r="7300" spans="2:2" x14ac:dyDescent="0.25">
      <c r="B7300" s="11"/>
    </row>
    <row r="7301" spans="2:2" x14ac:dyDescent="0.25">
      <c r="B7301" s="11"/>
    </row>
    <row r="7302" spans="2:2" x14ac:dyDescent="0.25">
      <c r="B7302" s="11"/>
    </row>
    <row r="7303" spans="2:2" x14ac:dyDescent="0.25">
      <c r="B7303" s="11"/>
    </row>
    <row r="7304" spans="2:2" x14ac:dyDescent="0.25">
      <c r="B7304" s="11"/>
    </row>
    <row r="7305" spans="2:2" x14ac:dyDescent="0.25">
      <c r="B7305" s="11"/>
    </row>
    <row r="7306" spans="2:2" x14ac:dyDescent="0.25">
      <c r="B7306" s="11"/>
    </row>
    <row r="7307" spans="2:2" x14ac:dyDescent="0.25">
      <c r="B7307" s="11"/>
    </row>
    <row r="7308" spans="2:2" x14ac:dyDescent="0.25">
      <c r="B7308" s="11"/>
    </row>
    <row r="7309" spans="2:2" x14ac:dyDescent="0.25">
      <c r="B7309" s="11"/>
    </row>
    <row r="7310" spans="2:2" x14ac:dyDescent="0.25">
      <c r="B7310" s="11"/>
    </row>
    <row r="7311" spans="2:2" x14ac:dyDescent="0.25">
      <c r="B7311" s="11"/>
    </row>
    <row r="7312" spans="2:2" x14ac:dyDescent="0.25">
      <c r="B7312" s="11"/>
    </row>
    <row r="7313" spans="2:2" x14ac:dyDescent="0.25">
      <c r="B7313" s="11"/>
    </row>
    <row r="7314" spans="2:2" x14ac:dyDescent="0.25">
      <c r="B7314" s="11"/>
    </row>
    <row r="7315" spans="2:2" x14ac:dyDescent="0.25">
      <c r="B7315" s="11"/>
    </row>
    <row r="7316" spans="2:2" x14ac:dyDescent="0.25">
      <c r="B7316" s="11"/>
    </row>
    <row r="7317" spans="2:2" x14ac:dyDescent="0.25">
      <c r="B7317" s="11"/>
    </row>
    <row r="7318" spans="2:2" x14ac:dyDescent="0.25">
      <c r="B7318" s="11"/>
    </row>
    <row r="7319" spans="2:2" x14ac:dyDescent="0.25">
      <c r="B7319" s="11"/>
    </row>
    <row r="7320" spans="2:2" x14ac:dyDescent="0.25">
      <c r="B7320" s="11"/>
    </row>
    <row r="7321" spans="2:2" x14ac:dyDescent="0.25">
      <c r="B7321" s="11"/>
    </row>
    <row r="7322" spans="2:2" x14ac:dyDescent="0.25">
      <c r="B7322" s="11"/>
    </row>
    <row r="7323" spans="2:2" x14ac:dyDescent="0.25">
      <c r="B7323" s="11"/>
    </row>
    <row r="7324" spans="2:2" x14ac:dyDescent="0.25">
      <c r="B7324" s="11"/>
    </row>
    <row r="7325" spans="2:2" x14ac:dyDescent="0.25">
      <c r="B7325" s="11"/>
    </row>
    <row r="7326" spans="2:2" x14ac:dyDescent="0.25">
      <c r="B7326" s="11"/>
    </row>
    <row r="7327" spans="2:2" x14ac:dyDescent="0.25">
      <c r="B7327" s="11"/>
    </row>
    <row r="7328" spans="2:2" x14ac:dyDescent="0.25">
      <c r="B7328" s="11"/>
    </row>
    <row r="7329" spans="2:2" x14ac:dyDescent="0.25">
      <c r="B7329" s="11"/>
    </row>
    <row r="7330" spans="2:2" x14ac:dyDescent="0.25">
      <c r="B7330" s="11"/>
    </row>
    <row r="7331" spans="2:2" x14ac:dyDescent="0.25">
      <c r="B7331" s="11"/>
    </row>
    <row r="7332" spans="2:2" x14ac:dyDescent="0.25">
      <c r="B7332" s="11"/>
    </row>
    <row r="7333" spans="2:2" x14ac:dyDescent="0.25">
      <c r="B7333" s="11"/>
    </row>
    <row r="7334" spans="2:2" x14ac:dyDescent="0.25">
      <c r="B7334" s="11"/>
    </row>
    <row r="7335" spans="2:2" x14ac:dyDescent="0.25">
      <c r="B7335" s="11"/>
    </row>
    <row r="7336" spans="2:2" x14ac:dyDescent="0.25">
      <c r="B7336" s="11"/>
    </row>
    <row r="7337" spans="2:2" x14ac:dyDescent="0.25">
      <c r="B7337" s="11"/>
    </row>
    <row r="7338" spans="2:2" x14ac:dyDescent="0.25">
      <c r="B7338" s="11"/>
    </row>
    <row r="7339" spans="2:2" x14ac:dyDescent="0.25">
      <c r="B7339" s="11"/>
    </row>
    <row r="7340" spans="2:2" x14ac:dyDescent="0.25">
      <c r="B7340" s="11"/>
    </row>
    <row r="7341" spans="2:2" x14ac:dyDescent="0.25">
      <c r="B7341" s="11"/>
    </row>
    <row r="7342" spans="2:2" x14ac:dyDescent="0.25">
      <c r="B7342" s="11"/>
    </row>
    <row r="7343" spans="2:2" x14ac:dyDescent="0.25">
      <c r="B7343" s="11"/>
    </row>
    <row r="7344" spans="2:2" x14ac:dyDescent="0.25">
      <c r="B7344" s="11"/>
    </row>
    <row r="7345" spans="2:2" x14ac:dyDescent="0.25">
      <c r="B7345" s="11"/>
    </row>
    <row r="7346" spans="2:2" x14ac:dyDescent="0.25">
      <c r="B7346" s="11"/>
    </row>
    <row r="7347" spans="2:2" x14ac:dyDescent="0.25">
      <c r="B7347" s="11"/>
    </row>
    <row r="7348" spans="2:2" x14ac:dyDescent="0.25">
      <c r="B7348" s="11"/>
    </row>
    <row r="7349" spans="2:2" x14ac:dyDescent="0.25">
      <c r="B7349" s="11"/>
    </row>
    <row r="7350" spans="2:2" x14ac:dyDescent="0.25">
      <c r="B7350" s="11"/>
    </row>
    <row r="7351" spans="2:2" x14ac:dyDescent="0.25">
      <c r="B7351" s="11"/>
    </row>
    <row r="7352" spans="2:2" x14ac:dyDescent="0.25">
      <c r="B7352" s="11"/>
    </row>
    <row r="7353" spans="2:2" x14ac:dyDescent="0.25">
      <c r="B7353" s="11"/>
    </row>
    <row r="7354" spans="2:2" x14ac:dyDescent="0.25">
      <c r="B7354" s="11"/>
    </row>
    <row r="7355" spans="2:2" x14ac:dyDescent="0.25">
      <c r="B7355" s="11"/>
    </row>
    <row r="7356" spans="2:2" x14ac:dyDescent="0.25">
      <c r="B7356" s="11"/>
    </row>
    <row r="7357" spans="2:2" x14ac:dyDescent="0.25">
      <c r="B7357" s="11"/>
    </row>
    <row r="7358" spans="2:2" x14ac:dyDescent="0.25">
      <c r="B7358" s="11"/>
    </row>
    <row r="7359" spans="2:2" x14ac:dyDescent="0.25">
      <c r="B7359" s="11"/>
    </row>
    <row r="7360" spans="2:2" x14ac:dyDescent="0.25">
      <c r="B7360" s="11"/>
    </row>
    <row r="7361" spans="2:2" x14ac:dyDescent="0.25">
      <c r="B7361" s="11"/>
    </row>
    <row r="7362" spans="2:2" x14ac:dyDescent="0.25">
      <c r="B7362" s="11"/>
    </row>
    <row r="7363" spans="2:2" x14ac:dyDescent="0.25">
      <c r="B7363" s="11"/>
    </row>
    <row r="7364" spans="2:2" x14ac:dyDescent="0.25">
      <c r="B7364" s="11"/>
    </row>
    <row r="7365" spans="2:2" x14ac:dyDescent="0.25">
      <c r="B7365" s="11"/>
    </row>
    <row r="7366" spans="2:2" x14ac:dyDescent="0.25">
      <c r="B7366" s="11"/>
    </row>
    <row r="7367" spans="2:2" x14ac:dyDescent="0.25">
      <c r="B7367" s="11"/>
    </row>
    <row r="7368" spans="2:2" x14ac:dyDescent="0.25">
      <c r="B7368" s="11"/>
    </row>
    <row r="7369" spans="2:2" x14ac:dyDescent="0.25">
      <c r="B7369" s="11"/>
    </row>
    <row r="7370" spans="2:2" x14ac:dyDescent="0.25">
      <c r="B7370" s="11"/>
    </row>
    <row r="7371" spans="2:2" x14ac:dyDescent="0.25">
      <c r="B7371" s="11"/>
    </row>
    <row r="7372" spans="2:2" x14ac:dyDescent="0.25">
      <c r="B7372" s="11"/>
    </row>
    <row r="7373" spans="2:2" x14ac:dyDescent="0.25">
      <c r="B7373" s="11"/>
    </row>
    <row r="7374" spans="2:2" x14ac:dyDescent="0.25">
      <c r="B7374" s="11"/>
    </row>
    <row r="7375" spans="2:2" x14ac:dyDescent="0.25">
      <c r="B7375" s="11"/>
    </row>
    <row r="7376" spans="2:2" x14ac:dyDescent="0.25">
      <c r="B7376" s="11"/>
    </row>
    <row r="7377" spans="2:2" x14ac:dyDescent="0.25">
      <c r="B7377" s="11"/>
    </row>
    <row r="7378" spans="2:2" x14ac:dyDescent="0.25">
      <c r="B7378" s="11"/>
    </row>
    <row r="7379" spans="2:2" x14ac:dyDescent="0.25">
      <c r="B7379" s="11"/>
    </row>
    <row r="7380" spans="2:2" x14ac:dyDescent="0.25">
      <c r="B7380" s="11"/>
    </row>
    <row r="7381" spans="2:2" x14ac:dyDescent="0.25">
      <c r="B7381" s="11"/>
    </row>
    <row r="7382" spans="2:2" x14ac:dyDescent="0.25">
      <c r="B7382" s="11"/>
    </row>
    <row r="7383" spans="2:2" x14ac:dyDescent="0.25">
      <c r="B7383" s="11"/>
    </row>
    <row r="7384" spans="2:2" x14ac:dyDescent="0.25">
      <c r="B7384" s="11"/>
    </row>
    <row r="7385" spans="2:2" x14ac:dyDescent="0.25">
      <c r="B7385" s="11"/>
    </row>
    <row r="7386" spans="2:2" x14ac:dyDescent="0.25">
      <c r="B7386" s="11"/>
    </row>
    <row r="7387" spans="2:2" x14ac:dyDescent="0.25">
      <c r="B7387" s="11"/>
    </row>
    <row r="7388" spans="2:2" x14ac:dyDescent="0.25">
      <c r="B7388" s="11"/>
    </row>
    <row r="7389" spans="2:2" x14ac:dyDescent="0.25">
      <c r="B7389" s="11"/>
    </row>
    <row r="7390" spans="2:2" x14ac:dyDescent="0.25">
      <c r="B7390" s="11"/>
    </row>
    <row r="7391" spans="2:2" x14ac:dyDescent="0.25">
      <c r="B7391" s="11"/>
    </row>
    <row r="7392" spans="2:2" x14ac:dyDescent="0.25">
      <c r="B7392" s="11"/>
    </row>
    <row r="7393" spans="2:2" x14ac:dyDescent="0.25">
      <c r="B7393" s="11"/>
    </row>
    <row r="7394" spans="2:2" x14ac:dyDescent="0.25">
      <c r="B7394" s="11"/>
    </row>
    <row r="7395" spans="2:2" x14ac:dyDescent="0.25">
      <c r="B7395" s="11"/>
    </row>
    <row r="7396" spans="2:2" x14ac:dyDescent="0.25">
      <c r="B7396" s="11"/>
    </row>
    <row r="7397" spans="2:2" x14ac:dyDescent="0.25">
      <c r="B7397" s="11"/>
    </row>
    <row r="7398" spans="2:2" x14ac:dyDescent="0.25">
      <c r="B7398" s="11"/>
    </row>
    <row r="7399" spans="2:2" x14ac:dyDescent="0.25">
      <c r="B7399" s="11"/>
    </row>
    <row r="7400" spans="2:2" x14ac:dyDescent="0.25">
      <c r="B7400" s="11"/>
    </row>
    <row r="7401" spans="2:2" x14ac:dyDescent="0.25">
      <c r="B7401" s="11"/>
    </row>
    <row r="7402" spans="2:2" x14ac:dyDescent="0.25">
      <c r="B7402" s="11"/>
    </row>
    <row r="7403" spans="2:2" x14ac:dyDescent="0.25">
      <c r="B7403" s="11"/>
    </row>
    <row r="7404" spans="2:2" x14ac:dyDescent="0.25">
      <c r="B7404" s="11"/>
    </row>
    <row r="7405" spans="2:2" x14ac:dyDescent="0.25">
      <c r="B7405" s="11"/>
    </row>
    <row r="7406" spans="2:2" x14ac:dyDescent="0.25">
      <c r="B7406" s="11"/>
    </row>
    <row r="7407" spans="2:2" x14ac:dyDescent="0.25">
      <c r="B7407" s="11"/>
    </row>
    <row r="7408" spans="2:2" x14ac:dyDescent="0.25">
      <c r="B7408" s="11"/>
    </row>
    <row r="7409" spans="2:2" x14ac:dyDescent="0.25">
      <c r="B7409" s="11"/>
    </row>
    <row r="7410" spans="2:2" x14ac:dyDescent="0.25">
      <c r="B7410" s="11"/>
    </row>
    <row r="7411" spans="2:2" x14ac:dyDescent="0.25">
      <c r="B7411" s="11"/>
    </row>
    <row r="7412" spans="2:2" x14ac:dyDescent="0.25">
      <c r="B7412" s="11"/>
    </row>
    <row r="7413" spans="2:2" x14ac:dyDescent="0.25">
      <c r="B7413" s="11"/>
    </row>
    <row r="7414" spans="2:2" x14ac:dyDescent="0.25">
      <c r="B7414" s="11"/>
    </row>
    <row r="7415" spans="2:2" x14ac:dyDescent="0.25">
      <c r="B7415" s="11"/>
    </row>
    <row r="7416" spans="2:2" x14ac:dyDescent="0.25">
      <c r="B7416" s="11"/>
    </row>
    <row r="7417" spans="2:2" x14ac:dyDescent="0.25">
      <c r="B7417" s="11"/>
    </row>
    <row r="7418" spans="2:2" x14ac:dyDescent="0.25">
      <c r="B7418" s="11"/>
    </row>
    <row r="7419" spans="2:2" x14ac:dyDescent="0.25">
      <c r="B7419" s="11"/>
    </row>
    <row r="7420" spans="2:2" x14ac:dyDescent="0.25">
      <c r="B7420" s="11"/>
    </row>
    <row r="7421" spans="2:2" x14ac:dyDescent="0.25">
      <c r="B7421" s="11"/>
    </row>
    <row r="7422" spans="2:2" x14ac:dyDescent="0.25">
      <c r="B7422" s="11"/>
    </row>
    <row r="7423" spans="2:2" x14ac:dyDescent="0.25">
      <c r="B7423" s="11"/>
    </row>
    <row r="7424" spans="2:2" x14ac:dyDescent="0.25">
      <c r="B7424" s="11"/>
    </row>
    <row r="7425" spans="2:2" x14ac:dyDescent="0.25">
      <c r="B7425" s="11"/>
    </row>
    <row r="7426" spans="2:2" x14ac:dyDescent="0.25">
      <c r="B7426" s="11"/>
    </row>
    <row r="7427" spans="2:2" x14ac:dyDescent="0.25">
      <c r="B7427" s="11"/>
    </row>
    <row r="7428" spans="2:2" x14ac:dyDescent="0.25">
      <c r="B7428" s="11"/>
    </row>
    <row r="7429" spans="2:2" x14ac:dyDescent="0.25">
      <c r="B7429" s="11"/>
    </row>
    <row r="7430" spans="2:2" x14ac:dyDescent="0.25">
      <c r="B7430" s="11"/>
    </row>
    <row r="7431" spans="2:2" x14ac:dyDescent="0.25">
      <c r="B7431" s="11"/>
    </row>
    <row r="7432" spans="2:2" x14ac:dyDescent="0.25">
      <c r="B7432" s="11"/>
    </row>
    <row r="7433" spans="2:2" x14ac:dyDescent="0.25">
      <c r="B7433" s="11"/>
    </row>
    <row r="7434" spans="2:2" x14ac:dyDescent="0.25">
      <c r="B7434" s="11"/>
    </row>
    <row r="7435" spans="2:2" x14ac:dyDescent="0.25">
      <c r="B7435" s="11"/>
    </row>
    <row r="7436" spans="2:2" x14ac:dyDescent="0.25">
      <c r="B7436" s="11"/>
    </row>
    <row r="7437" spans="2:2" x14ac:dyDescent="0.25">
      <c r="B7437" s="11"/>
    </row>
    <row r="7438" spans="2:2" x14ac:dyDescent="0.25">
      <c r="B7438" s="11"/>
    </row>
    <row r="7439" spans="2:2" x14ac:dyDescent="0.25">
      <c r="B7439" s="11"/>
    </row>
    <row r="7440" spans="2:2" x14ac:dyDescent="0.25">
      <c r="B7440" s="11"/>
    </row>
    <row r="7441" spans="2:2" x14ac:dyDescent="0.25">
      <c r="B7441" s="11"/>
    </row>
    <row r="7442" spans="2:2" x14ac:dyDescent="0.25">
      <c r="B7442" s="11"/>
    </row>
    <row r="7443" spans="2:2" x14ac:dyDescent="0.25">
      <c r="B7443" s="11"/>
    </row>
    <row r="7444" spans="2:2" x14ac:dyDescent="0.25">
      <c r="B7444" s="11"/>
    </row>
    <row r="7445" spans="2:2" x14ac:dyDescent="0.25">
      <c r="B7445" s="11"/>
    </row>
    <row r="7446" spans="2:2" x14ac:dyDescent="0.25">
      <c r="B7446" s="11"/>
    </row>
    <row r="7447" spans="2:2" x14ac:dyDescent="0.25">
      <c r="B7447" s="11"/>
    </row>
    <row r="7448" spans="2:2" x14ac:dyDescent="0.25">
      <c r="B7448" s="11"/>
    </row>
    <row r="7449" spans="2:2" x14ac:dyDescent="0.25">
      <c r="B7449" s="11"/>
    </row>
    <row r="7450" spans="2:2" x14ac:dyDescent="0.25">
      <c r="B7450" s="11"/>
    </row>
    <row r="7451" spans="2:2" x14ac:dyDescent="0.25">
      <c r="B7451" s="11"/>
    </row>
    <row r="7452" spans="2:2" x14ac:dyDescent="0.25">
      <c r="B7452" s="11"/>
    </row>
    <row r="7453" spans="2:2" x14ac:dyDescent="0.25">
      <c r="B7453" s="11"/>
    </row>
    <row r="7454" spans="2:2" x14ac:dyDescent="0.25">
      <c r="B7454" s="11"/>
    </row>
    <row r="7455" spans="2:2" x14ac:dyDescent="0.25">
      <c r="B7455" s="11"/>
    </row>
    <row r="7456" spans="2:2" x14ac:dyDescent="0.25">
      <c r="B7456" s="11"/>
    </row>
    <row r="7457" spans="2:2" x14ac:dyDescent="0.25">
      <c r="B7457" s="11"/>
    </row>
    <row r="7458" spans="2:2" x14ac:dyDescent="0.25">
      <c r="B7458" s="11"/>
    </row>
    <row r="7459" spans="2:2" x14ac:dyDescent="0.25">
      <c r="B7459" s="11"/>
    </row>
    <row r="7460" spans="2:2" x14ac:dyDescent="0.25">
      <c r="B7460" s="11"/>
    </row>
    <row r="7461" spans="2:2" x14ac:dyDescent="0.25">
      <c r="B7461" s="11"/>
    </row>
    <row r="7462" spans="2:2" x14ac:dyDescent="0.25">
      <c r="B7462" s="11"/>
    </row>
    <row r="7463" spans="2:2" x14ac:dyDescent="0.25">
      <c r="B7463" s="11"/>
    </row>
    <row r="7464" spans="2:2" x14ac:dyDescent="0.25">
      <c r="B7464" s="11"/>
    </row>
    <row r="7465" spans="2:2" x14ac:dyDescent="0.25">
      <c r="B7465" s="11"/>
    </row>
    <row r="7466" spans="2:2" x14ac:dyDescent="0.25">
      <c r="B7466" s="11"/>
    </row>
    <row r="7467" spans="2:2" x14ac:dyDescent="0.25">
      <c r="B7467" s="11"/>
    </row>
    <row r="7468" spans="2:2" x14ac:dyDescent="0.25">
      <c r="B7468" s="11"/>
    </row>
    <row r="7469" spans="2:2" x14ac:dyDescent="0.25">
      <c r="B7469" s="11"/>
    </row>
    <row r="7470" spans="2:2" x14ac:dyDescent="0.25">
      <c r="B7470" s="11"/>
    </row>
    <row r="7471" spans="2:2" x14ac:dyDescent="0.25">
      <c r="B7471" s="11"/>
    </row>
    <row r="7472" spans="2:2" x14ac:dyDescent="0.25">
      <c r="B7472" s="11"/>
    </row>
    <row r="7473" spans="2:2" x14ac:dyDescent="0.25">
      <c r="B7473" s="11"/>
    </row>
    <row r="7474" spans="2:2" x14ac:dyDescent="0.25">
      <c r="B7474" s="11"/>
    </row>
    <row r="7475" spans="2:2" x14ac:dyDescent="0.25">
      <c r="B7475" s="11"/>
    </row>
    <row r="7476" spans="2:2" x14ac:dyDescent="0.25">
      <c r="B7476" s="11"/>
    </row>
    <row r="7477" spans="2:2" x14ac:dyDescent="0.25">
      <c r="B7477" s="11"/>
    </row>
    <row r="7478" spans="2:2" x14ac:dyDescent="0.25">
      <c r="B7478" s="11"/>
    </row>
    <row r="7479" spans="2:2" x14ac:dyDescent="0.25">
      <c r="B7479" s="11"/>
    </row>
    <row r="7480" spans="2:2" x14ac:dyDescent="0.25">
      <c r="B7480" s="11"/>
    </row>
    <row r="7481" spans="2:2" x14ac:dyDescent="0.25">
      <c r="B7481" s="11"/>
    </row>
    <row r="7482" spans="2:2" x14ac:dyDescent="0.25">
      <c r="B7482" s="11"/>
    </row>
    <row r="7483" spans="2:2" x14ac:dyDescent="0.25">
      <c r="B7483" s="11"/>
    </row>
    <row r="7484" spans="2:2" x14ac:dyDescent="0.25">
      <c r="B7484" s="11"/>
    </row>
    <row r="7485" spans="2:2" x14ac:dyDescent="0.25">
      <c r="B7485" s="11"/>
    </row>
    <row r="7486" spans="2:2" x14ac:dyDescent="0.25">
      <c r="B7486" s="11"/>
    </row>
    <row r="7487" spans="2:2" x14ac:dyDescent="0.25">
      <c r="B7487" s="11"/>
    </row>
    <row r="7488" spans="2:2" x14ac:dyDescent="0.25">
      <c r="B7488" s="11"/>
    </row>
    <row r="7489" spans="2:2" x14ac:dyDescent="0.25">
      <c r="B7489" s="11"/>
    </row>
    <row r="7490" spans="2:2" x14ac:dyDescent="0.25">
      <c r="B7490" s="11"/>
    </row>
    <row r="7491" spans="2:2" x14ac:dyDescent="0.25">
      <c r="B7491" s="11"/>
    </row>
    <row r="7492" spans="2:2" x14ac:dyDescent="0.25">
      <c r="B7492" s="11"/>
    </row>
    <row r="7493" spans="2:2" x14ac:dyDescent="0.25">
      <c r="B7493" s="11"/>
    </row>
    <row r="7494" spans="2:2" x14ac:dyDescent="0.25">
      <c r="B7494" s="11"/>
    </row>
    <row r="7495" spans="2:2" x14ac:dyDescent="0.25">
      <c r="B7495" s="11"/>
    </row>
    <row r="7496" spans="2:2" x14ac:dyDescent="0.25">
      <c r="B7496" s="11"/>
    </row>
    <row r="7497" spans="2:2" x14ac:dyDescent="0.25">
      <c r="B7497" s="11"/>
    </row>
    <row r="7498" spans="2:2" x14ac:dyDescent="0.25">
      <c r="B7498" s="11"/>
    </row>
    <row r="7499" spans="2:2" x14ac:dyDescent="0.25">
      <c r="B7499" s="11"/>
    </row>
    <row r="7500" spans="2:2" x14ac:dyDescent="0.25">
      <c r="B7500" s="11"/>
    </row>
    <row r="7501" spans="2:2" x14ac:dyDescent="0.25">
      <c r="B7501" s="11"/>
    </row>
    <row r="7502" spans="2:2" x14ac:dyDescent="0.25">
      <c r="B7502" s="11"/>
    </row>
    <row r="7503" spans="2:2" x14ac:dyDescent="0.25">
      <c r="B7503" s="11"/>
    </row>
    <row r="7504" spans="2:2" x14ac:dyDescent="0.25">
      <c r="B7504" s="11"/>
    </row>
    <row r="7505" spans="2:2" x14ac:dyDescent="0.25">
      <c r="B7505" s="11"/>
    </row>
    <row r="7506" spans="2:2" x14ac:dyDescent="0.25">
      <c r="B7506" s="11"/>
    </row>
    <row r="7507" spans="2:2" x14ac:dyDescent="0.25">
      <c r="B7507" s="11"/>
    </row>
    <row r="7508" spans="2:2" x14ac:dyDescent="0.25">
      <c r="B7508" s="11"/>
    </row>
    <row r="7509" spans="2:2" x14ac:dyDescent="0.25">
      <c r="B7509" s="11"/>
    </row>
    <row r="7510" spans="2:2" x14ac:dyDescent="0.25">
      <c r="B7510" s="11"/>
    </row>
    <row r="7511" spans="2:2" x14ac:dyDescent="0.25">
      <c r="B7511" s="11"/>
    </row>
    <row r="7512" spans="2:2" x14ac:dyDescent="0.25">
      <c r="B7512" s="11"/>
    </row>
    <row r="7513" spans="2:2" x14ac:dyDescent="0.25">
      <c r="B7513" s="11"/>
    </row>
    <row r="7514" spans="2:2" x14ac:dyDescent="0.25">
      <c r="B7514" s="11"/>
    </row>
    <row r="7515" spans="2:2" x14ac:dyDescent="0.25">
      <c r="B7515" s="11"/>
    </row>
    <row r="7516" spans="2:2" x14ac:dyDescent="0.25">
      <c r="B7516" s="11"/>
    </row>
    <row r="7517" spans="2:2" x14ac:dyDescent="0.25">
      <c r="B7517" s="11"/>
    </row>
    <row r="7518" spans="2:2" x14ac:dyDescent="0.25">
      <c r="B7518" s="11"/>
    </row>
    <row r="7519" spans="2:2" x14ac:dyDescent="0.25">
      <c r="B7519" s="11"/>
    </row>
    <row r="7520" spans="2:2" x14ac:dyDescent="0.25">
      <c r="B7520" s="11"/>
    </row>
    <row r="7521" spans="2:2" x14ac:dyDescent="0.25">
      <c r="B7521" s="11"/>
    </row>
    <row r="7522" spans="2:2" x14ac:dyDescent="0.25">
      <c r="B7522" s="11"/>
    </row>
    <row r="7523" spans="2:2" x14ac:dyDescent="0.25">
      <c r="B7523" s="11"/>
    </row>
    <row r="7524" spans="2:2" x14ac:dyDescent="0.25">
      <c r="B7524" s="11"/>
    </row>
    <row r="7525" spans="2:2" x14ac:dyDescent="0.25">
      <c r="B7525" s="11"/>
    </row>
    <row r="7526" spans="2:2" x14ac:dyDescent="0.25">
      <c r="B7526" s="11"/>
    </row>
    <row r="7527" spans="2:2" x14ac:dyDescent="0.25">
      <c r="B7527" s="11"/>
    </row>
    <row r="7528" spans="2:2" x14ac:dyDescent="0.25">
      <c r="B7528" s="11"/>
    </row>
    <row r="7529" spans="2:2" x14ac:dyDescent="0.25">
      <c r="B7529" s="11"/>
    </row>
    <row r="7530" spans="2:2" x14ac:dyDescent="0.25">
      <c r="B7530" s="11"/>
    </row>
    <row r="7531" spans="2:2" x14ac:dyDescent="0.25">
      <c r="B7531" s="11"/>
    </row>
    <row r="7532" spans="2:2" x14ac:dyDescent="0.25">
      <c r="B7532" s="11"/>
    </row>
    <row r="7533" spans="2:2" x14ac:dyDescent="0.25">
      <c r="B7533" s="11"/>
    </row>
    <row r="7534" spans="2:2" x14ac:dyDescent="0.25">
      <c r="B7534" s="11"/>
    </row>
    <row r="7535" spans="2:2" x14ac:dyDescent="0.25">
      <c r="B7535" s="11"/>
    </row>
    <row r="7536" spans="2:2" x14ac:dyDescent="0.25">
      <c r="B7536" s="11"/>
    </row>
    <row r="7537" spans="2:2" x14ac:dyDescent="0.25">
      <c r="B7537" s="11"/>
    </row>
    <row r="7538" spans="2:2" x14ac:dyDescent="0.25">
      <c r="B7538" s="11"/>
    </row>
    <row r="7539" spans="2:2" x14ac:dyDescent="0.25">
      <c r="B7539" s="11"/>
    </row>
    <row r="7540" spans="2:2" x14ac:dyDescent="0.25">
      <c r="B7540" s="11"/>
    </row>
    <row r="7541" spans="2:2" x14ac:dyDescent="0.25">
      <c r="B7541" s="11"/>
    </row>
    <row r="7542" spans="2:2" x14ac:dyDescent="0.25">
      <c r="B7542" s="11"/>
    </row>
    <row r="7543" spans="2:2" x14ac:dyDescent="0.25">
      <c r="B7543" s="11"/>
    </row>
    <row r="7544" spans="2:2" x14ac:dyDescent="0.25">
      <c r="B7544" s="11"/>
    </row>
    <row r="7545" spans="2:2" x14ac:dyDescent="0.25">
      <c r="B7545" s="11"/>
    </row>
    <row r="7546" spans="2:2" x14ac:dyDescent="0.25">
      <c r="B7546" s="11"/>
    </row>
    <row r="7547" spans="2:2" x14ac:dyDescent="0.25">
      <c r="B7547" s="11"/>
    </row>
    <row r="7548" spans="2:2" x14ac:dyDescent="0.25">
      <c r="B7548" s="11"/>
    </row>
    <row r="7549" spans="2:2" x14ac:dyDescent="0.25">
      <c r="B7549" s="11"/>
    </row>
    <row r="7550" spans="2:2" x14ac:dyDescent="0.25">
      <c r="B7550" s="11"/>
    </row>
    <row r="7551" spans="2:2" x14ac:dyDescent="0.25">
      <c r="B7551" s="11"/>
    </row>
    <row r="7552" spans="2:2" x14ac:dyDescent="0.25">
      <c r="B7552" s="11"/>
    </row>
    <row r="7553" spans="2:2" x14ac:dyDescent="0.25">
      <c r="B7553" s="11"/>
    </row>
    <row r="7554" spans="2:2" x14ac:dyDescent="0.25">
      <c r="B7554" s="11"/>
    </row>
    <row r="7555" spans="2:2" x14ac:dyDescent="0.25">
      <c r="B7555" s="11"/>
    </row>
    <row r="7556" spans="2:2" x14ac:dyDescent="0.25">
      <c r="B7556" s="11"/>
    </row>
    <row r="7557" spans="2:2" x14ac:dyDescent="0.25">
      <c r="B7557" s="11"/>
    </row>
    <row r="7558" spans="2:2" x14ac:dyDescent="0.25">
      <c r="B7558" s="11"/>
    </row>
    <row r="7559" spans="2:2" x14ac:dyDescent="0.25">
      <c r="B7559" s="11"/>
    </row>
    <row r="7560" spans="2:2" x14ac:dyDescent="0.25">
      <c r="B7560" s="11"/>
    </row>
    <row r="7561" spans="2:2" x14ac:dyDescent="0.25">
      <c r="B7561" s="11"/>
    </row>
    <row r="7562" spans="2:2" x14ac:dyDescent="0.25">
      <c r="B7562" s="11"/>
    </row>
    <row r="7563" spans="2:2" x14ac:dyDescent="0.25">
      <c r="B7563" s="11"/>
    </row>
    <row r="7564" spans="2:2" x14ac:dyDescent="0.25">
      <c r="B7564" s="11"/>
    </row>
    <row r="7565" spans="2:2" x14ac:dyDescent="0.25">
      <c r="B7565" s="11"/>
    </row>
    <row r="7566" spans="2:2" x14ac:dyDescent="0.25">
      <c r="B7566" s="11"/>
    </row>
    <row r="7567" spans="2:2" x14ac:dyDescent="0.25">
      <c r="B7567" s="11"/>
    </row>
    <row r="7568" spans="2:2" x14ac:dyDescent="0.25">
      <c r="B7568" s="11"/>
    </row>
    <row r="7569" spans="2:2" x14ac:dyDescent="0.25">
      <c r="B7569" s="11"/>
    </row>
    <row r="7570" spans="2:2" x14ac:dyDescent="0.25">
      <c r="B7570" s="11"/>
    </row>
    <row r="7571" spans="2:2" x14ac:dyDescent="0.25">
      <c r="B7571" s="11"/>
    </row>
    <row r="7572" spans="2:2" x14ac:dyDescent="0.25">
      <c r="B7572" s="11"/>
    </row>
    <row r="7573" spans="2:2" x14ac:dyDescent="0.25">
      <c r="B7573" s="11"/>
    </row>
    <row r="7574" spans="2:2" x14ac:dyDescent="0.25">
      <c r="B7574" s="11"/>
    </row>
    <row r="7575" spans="2:2" x14ac:dyDescent="0.25">
      <c r="B7575" s="11"/>
    </row>
    <row r="7576" spans="2:2" x14ac:dyDescent="0.25">
      <c r="B7576" s="11"/>
    </row>
    <row r="7577" spans="2:2" x14ac:dyDescent="0.25">
      <c r="B7577" s="11"/>
    </row>
    <row r="7578" spans="2:2" x14ac:dyDescent="0.25">
      <c r="B7578" s="11"/>
    </row>
    <row r="7579" spans="2:2" x14ac:dyDescent="0.25">
      <c r="B7579" s="11"/>
    </row>
    <row r="7580" spans="2:2" x14ac:dyDescent="0.25">
      <c r="B7580" s="11"/>
    </row>
    <row r="7581" spans="2:2" x14ac:dyDescent="0.25">
      <c r="B7581" s="11"/>
    </row>
    <row r="7582" spans="2:2" x14ac:dyDescent="0.25">
      <c r="B7582" s="11"/>
    </row>
    <row r="7583" spans="2:2" x14ac:dyDescent="0.25">
      <c r="B7583" s="11"/>
    </row>
    <row r="7584" spans="2:2" x14ac:dyDescent="0.25">
      <c r="B7584" s="11"/>
    </row>
    <row r="7585" spans="2:2" x14ac:dyDescent="0.25">
      <c r="B7585" s="11"/>
    </row>
    <row r="7586" spans="2:2" x14ac:dyDescent="0.25">
      <c r="B7586" s="11"/>
    </row>
    <row r="7587" spans="2:2" x14ac:dyDescent="0.25">
      <c r="B7587" s="11"/>
    </row>
    <row r="7588" spans="2:2" x14ac:dyDescent="0.25">
      <c r="B7588" s="11"/>
    </row>
    <row r="7589" spans="2:2" x14ac:dyDescent="0.25">
      <c r="B7589" s="11"/>
    </row>
    <row r="7590" spans="2:2" x14ac:dyDescent="0.25">
      <c r="B7590" s="11"/>
    </row>
    <row r="7591" spans="2:2" x14ac:dyDescent="0.25">
      <c r="B7591" s="11"/>
    </row>
    <row r="7592" spans="2:2" x14ac:dyDescent="0.25">
      <c r="B7592" s="11"/>
    </row>
    <row r="7593" spans="2:2" x14ac:dyDescent="0.25">
      <c r="B7593" s="11"/>
    </row>
    <row r="7594" spans="2:2" x14ac:dyDescent="0.25">
      <c r="B7594" s="11"/>
    </row>
    <row r="7595" spans="2:2" x14ac:dyDescent="0.25">
      <c r="B7595" s="11"/>
    </row>
    <row r="7596" spans="2:2" x14ac:dyDescent="0.25">
      <c r="B7596" s="11"/>
    </row>
    <row r="7597" spans="2:2" x14ac:dyDescent="0.25">
      <c r="B7597" s="11"/>
    </row>
    <row r="7598" spans="2:2" x14ac:dyDescent="0.25">
      <c r="B7598" s="11"/>
    </row>
    <row r="7599" spans="2:2" x14ac:dyDescent="0.25">
      <c r="B7599" s="11"/>
    </row>
    <row r="7600" spans="2:2" x14ac:dyDescent="0.25">
      <c r="B7600" s="11"/>
    </row>
    <row r="7601" spans="2:2" x14ac:dyDescent="0.25">
      <c r="B7601" s="11"/>
    </row>
    <row r="7602" spans="2:2" x14ac:dyDescent="0.25">
      <c r="B7602" s="11"/>
    </row>
    <row r="7603" spans="2:2" x14ac:dyDescent="0.25">
      <c r="B7603" s="11"/>
    </row>
    <row r="7604" spans="2:2" x14ac:dyDescent="0.25">
      <c r="B7604" s="11"/>
    </row>
    <row r="7605" spans="2:2" x14ac:dyDescent="0.25">
      <c r="B7605" s="11"/>
    </row>
    <row r="7606" spans="2:2" x14ac:dyDescent="0.25">
      <c r="B7606" s="11"/>
    </row>
    <row r="7607" spans="2:2" x14ac:dyDescent="0.25">
      <c r="B7607" s="11"/>
    </row>
    <row r="7608" spans="2:2" x14ac:dyDescent="0.25">
      <c r="B7608" s="11"/>
    </row>
    <row r="7609" spans="2:2" x14ac:dyDescent="0.25">
      <c r="B7609" s="11"/>
    </row>
    <row r="7610" spans="2:2" x14ac:dyDescent="0.25">
      <c r="B7610" s="11"/>
    </row>
    <row r="7611" spans="2:2" x14ac:dyDescent="0.25">
      <c r="B7611" s="11"/>
    </row>
    <row r="7612" spans="2:2" x14ac:dyDescent="0.25">
      <c r="B7612" s="11"/>
    </row>
    <row r="7613" spans="2:2" x14ac:dyDescent="0.25">
      <c r="B7613" s="11"/>
    </row>
    <row r="7614" spans="2:2" x14ac:dyDescent="0.25">
      <c r="B7614" s="11"/>
    </row>
    <row r="7615" spans="2:2" x14ac:dyDescent="0.25">
      <c r="B7615" s="11"/>
    </row>
    <row r="7616" spans="2:2" x14ac:dyDescent="0.25">
      <c r="B7616" s="11"/>
    </row>
    <row r="7617" spans="2:2" x14ac:dyDescent="0.25">
      <c r="B7617" s="11"/>
    </row>
    <row r="7618" spans="2:2" x14ac:dyDescent="0.25">
      <c r="B7618" s="11"/>
    </row>
    <row r="7619" spans="2:2" x14ac:dyDescent="0.25">
      <c r="B7619" s="11"/>
    </row>
    <row r="7620" spans="2:2" x14ac:dyDescent="0.25">
      <c r="B7620" s="11"/>
    </row>
    <row r="7621" spans="2:2" x14ac:dyDescent="0.25">
      <c r="B7621" s="11"/>
    </row>
    <row r="7622" spans="2:2" x14ac:dyDescent="0.25">
      <c r="B7622" s="11"/>
    </row>
    <row r="7623" spans="2:2" x14ac:dyDescent="0.25">
      <c r="B7623" s="11"/>
    </row>
    <row r="7624" spans="2:2" x14ac:dyDescent="0.25">
      <c r="B7624" s="11"/>
    </row>
    <row r="7625" spans="2:2" x14ac:dyDescent="0.25">
      <c r="B7625" s="11"/>
    </row>
    <row r="7626" spans="2:2" x14ac:dyDescent="0.25">
      <c r="B7626" s="11"/>
    </row>
    <row r="7627" spans="2:2" x14ac:dyDescent="0.25">
      <c r="B7627" s="11"/>
    </row>
    <row r="7628" spans="2:2" x14ac:dyDescent="0.25">
      <c r="B7628" s="11"/>
    </row>
    <row r="7629" spans="2:2" x14ac:dyDescent="0.25">
      <c r="B7629" s="11"/>
    </row>
    <row r="7630" spans="2:2" x14ac:dyDescent="0.25">
      <c r="B7630" s="11"/>
    </row>
    <row r="7631" spans="2:2" x14ac:dyDescent="0.25">
      <c r="B7631" s="11"/>
    </row>
    <row r="7632" spans="2:2" x14ac:dyDescent="0.25">
      <c r="B7632" s="11"/>
    </row>
    <row r="7633" spans="2:2" x14ac:dyDescent="0.25">
      <c r="B7633" s="11"/>
    </row>
    <row r="7634" spans="2:2" x14ac:dyDescent="0.25">
      <c r="B7634" s="11"/>
    </row>
    <row r="7635" spans="2:2" x14ac:dyDescent="0.25">
      <c r="B7635" s="11"/>
    </row>
    <row r="7636" spans="2:2" x14ac:dyDescent="0.25">
      <c r="B7636" s="11"/>
    </row>
    <row r="7637" spans="2:2" x14ac:dyDescent="0.25">
      <c r="B7637" s="11"/>
    </row>
    <row r="7638" spans="2:2" x14ac:dyDescent="0.25">
      <c r="B7638" s="11"/>
    </row>
    <row r="7639" spans="2:2" x14ac:dyDescent="0.25">
      <c r="B7639" s="11"/>
    </row>
    <row r="7640" spans="2:2" x14ac:dyDescent="0.25">
      <c r="B7640" s="11"/>
    </row>
    <row r="7641" spans="2:2" x14ac:dyDescent="0.25">
      <c r="B7641" s="11"/>
    </row>
    <row r="7642" spans="2:2" x14ac:dyDescent="0.25">
      <c r="B7642" s="11"/>
    </row>
    <row r="7643" spans="2:2" x14ac:dyDescent="0.25">
      <c r="B7643" s="11"/>
    </row>
    <row r="7644" spans="2:2" x14ac:dyDescent="0.25">
      <c r="B7644" s="11"/>
    </row>
    <row r="7645" spans="2:2" x14ac:dyDescent="0.25">
      <c r="B7645" s="11"/>
    </row>
    <row r="7646" spans="2:2" x14ac:dyDescent="0.25">
      <c r="B7646" s="11"/>
    </row>
    <row r="7647" spans="2:2" x14ac:dyDescent="0.25">
      <c r="B7647" s="11"/>
    </row>
    <row r="7648" spans="2:2" x14ac:dyDescent="0.25">
      <c r="B7648" s="11"/>
    </row>
    <row r="7649" spans="2:2" x14ac:dyDescent="0.25">
      <c r="B7649" s="11"/>
    </row>
    <row r="7650" spans="2:2" x14ac:dyDescent="0.25">
      <c r="B7650" s="11"/>
    </row>
    <row r="7651" spans="2:2" x14ac:dyDescent="0.25">
      <c r="B7651" s="11"/>
    </row>
    <row r="7652" spans="2:2" x14ac:dyDescent="0.25">
      <c r="B7652" s="11"/>
    </row>
    <row r="7653" spans="2:2" x14ac:dyDescent="0.25">
      <c r="B7653" s="11"/>
    </row>
    <row r="7654" spans="2:2" x14ac:dyDescent="0.25">
      <c r="B7654" s="11"/>
    </row>
    <row r="7655" spans="2:2" x14ac:dyDescent="0.25">
      <c r="B7655" s="11"/>
    </row>
    <row r="7656" spans="2:2" x14ac:dyDescent="0.25">
      <c r="B7656" s="11"/>
    </row>
    <row r="7657" spans="2:2" x14ac:dyDescent="0.25">
      <c r="B7657" s="11"/>
    </row>
    <row r="7658" spans="2:2" x14ac:dyDescent="0.25">
      <c r="B7658" s="11"/>
    </row>
    <row r="7659" spans="2:2" x14ac:dyDescent="0.25">
      <c r="B7659" s="11"/>
    </row>
    <row r="7660" spans="2:2" x14ac:dyDescent="0.25">
      <c r="B7660" s="11"/>
    </row>
    <row r="7661" spans="2:2" x14ac:dyDescent="0.25">
      <c r="B7661" s="11"/>
    </row>
    <row r="7662" spans="2:2" x14ac:dyDescent="0.25">
      <c r="B7662" s="11"/>
    </row>
    <row r="7663" spans="2:2" x14ac:dyDescent="0.25">
      <c r="B7663" s="11"/>
    </row>
    <row r="7664" spans="2:2" x14ac:dyDescent="0.25">
      <c r="B7664" s="11"/>
    </row>
    <row r="7665" spans="2:2" x14ac:dyDescent="0.25">
      <c r="B7665" s="11"/>
    </row>
    <row r="7666" spans="2:2" x14ac:dyDescent="0.25">
      <c r="B7666" s="11"/>
    </row>
    <row r="7667" spans="2:2" x14ac:dyDescent="0.25">
      <c r="B7667" s="11"/>
    </row>
    <row r="7668" spans="2:2" x14ac:dyDescent="0.25">
      <c r="B7668" s="11"/>
    </row>
    <row r="7669" spans="2:2" x14ac:dyDescent="0.25">
      <c r="B7669" s="11"/>
    </row>
    <row r="7670" spans="2:2" x14ac:dyDescent="0.25">
      <c r="B7670" s="11"/>
    </row>
    <row r="7671" spans="2:2" x14ac:dyDescent="0.25">
      <c r="B7671" s="11"/>
    </row>
    <row r="7672" spans="2:2" x14ac:dyDescent="0.25">
      <c r="B7672" s="11"/>
    </row>
    <row r="7673" spans="2:2" x14ac:dyDescent="0.25">
      <c r="B7673" s="11"/>
    </row>
    <row r="7674" spans="2:2" x14ac:dyDescent="0.25">
      <c r="B7674" s="11"/>
    </row>
    <row r="7675" spans="2:2" x14ac:dyDescent="0.25">
      <c r="B7675" s="11"/>
    </row>
    <row r="7676" spans="2:2" x14ac:dyDescent="0.25">
      <c r="B7676" s="11"/>
    </row>
    <row r="7677" spans="2:2" x14ac:dyDescent="0.25">
      <c r="B7677" s="11"/>
    </row>
    <row r="7678" spans="2:2" x14ac:dyDescent="0.25">
      <c r="B7678" s="11"/>
    </row>
    <row r="7679" spans="2:2" x14ac:dyDescent="0.25">
      <c r="B7679" s="11"/>
    </row>
    <row r="7680" spans="2:2" x14ac:dyDescent="0.25">
      <c r="B7680" s="11"/>
    </row>
    <row r="7681" spans="2:2" x14ac:dyDescent="0.25">
      <c r="B7681" s="11"/>
    </row>
    <row r="7682" spans="2:2" x14ac:dyDescent="0.25">
      <c r="B7682" s="11"/>
    </row>
    <row r="7683" spans="2:2" x14ac:dyDescent="0.25">
      <c r="B7683" s="11"/>
    </row>
    <row r="7684" spans="2:2" x14ac:dyDescent="0.25">
      <c r="B7684" s="11"/>
    </row>
    <row r="7685" spans="2:2" x14ac:dyDescent="0.25">
      <c r="B7685" s="11"/>
    </row>
    <row r="7686" spans="2:2" x14ac:dyDescent="0.25">
      <c r="B7686" s="11"/>
    </row>
    <row r="7687" spans="2:2" x14ac:dyDescent="0.25">
      <c r="B7687" s="11"/>
    </row>
    <row r="7688" spans="2:2" x14ac:dyDescent="0.25">
      <c r="B7688" s="11"/>
    </row>
    <row r="7689" spans="2:2" x14ac:dyDescent="0.25">
      <c r="B7689" s="11"/>
    </row>
    <row r="7690" spans="2:2" x14ac:dyDescent="0.25">
      <c r="B7690" s="11"/>
    </row>
    <row r="7691" spans="2:2" x14ac:dyDescent="0.25">
      <c r="B7691" s="11"/>
    </row>
    <row r="7692" spans="2:2" x14ac:dyDescent="0.25">
      <c r="B7692" s="11"/>
    </row>
    <row r="7693" spans="2:2" x14ac:dyDescent="0.25">
      <c r="B7693" s="11"/>
    </row>
    <row r="7694" spans="2:2" x14ac:dyDescent="0.25">
      <c r="B7694" s="11"/>
    </row>
    <row r="7695" spans="2:2" x14ac:dyDescent="0.25">
      <c r="B7695" s="11"/>
    </row>
    <row r="7696" spans="2:2" x14ac:dyDescent="0.25">
      <c r="B7696" s="11"/>
    </row>
    <row r="7697" spans="2:2" x14ac:dyDescent="0.25">
      <c r="B7697" s="11"/>
    </row>
    <row r="7698" spans="2:2" x14ac:dyDescent="0.25">
      <c r="B7698" s="11"/>
    </row>
    <row r="7699" spans="2:2" x14ac:dyDescent="0.25">
      <c r="B7699" s="11"/>
    </row>
    <row r="7700" spans="2:2" x14ac:dyDescent="0.25">
      <c r="B7700" s="11"/>
    </row>
    <row r="7701" spans="2:2" x14ac:dyDescent="0.25">
      <c r="B7701" s="11"/>
    </row>
    <row r="7702" spans="2:2" x14ac:dyDescent="0.25">
      <c r="B7702" s="11"/>
    </row>
    <row r="7703" spans="2:2" x14ac:dyDescent="0.25">
      <c r="B7703" s="11"/>
    </row>
    <row r="7704" spans="2:2" x14ac:dyDescent="0.25">
      <c r="B7704" s="11"/>
    </row>
    <row r="7705" spans="2:2" x14ac:dyDescent="0.25">
      <c r="B7705" s="11"/>
    </row>
    <row r="7706" spans="2:2" x14ac:dyDescent="0.25">
      <c r="B7706" s="11"/>
    </row>
    <row r="7707" spans="2:2" x14ac:dyDescent="0.25">
      <c r="B7707" s="11"/>
    </row>
    <row r="7708" spans="2:2" x14ac:dyDescent="0.25">
      <c r="B7708" s="11"/>
    </row>
    <row r="7709" spans="2:2" x14ac:dyDescent="0.25">
      <c r="B7709" s="11"/>
    </row>
    <row r="7710" spans="2:2" x14ac:dyDescent="0.25">
      <c r="B7710" s="11"/>
    </row>
    <row r="7711" spans="2:2" x14ac:dyDescent="0.25">
      <c r="B7711" s="11"/>
    </row>
    <row r="7712" spans="2:2" x14ac:dyDescent="0.25">
      <c r="B7712" s="11"/>
    </row>
    <row r="7713" spans="2:2" x14ac:dyDescent="0.25">
      <c r="B7713" s="11"/>
    </row>
    <row r="7714" spans="2:2" x14ac:dyDescent="0.25">
      <c r="B7714" s="11"/>
    </row>
    <row r="7715" spans="2:2" x14ac:dyDescent="0.25">
      <c r="B7715" s="11"/>
    </row>
    <row r="7716" spans="2:2" x14ac:dyDescent="0.25">
      <c r="B7716" s="11"/>
    </row>
    <row r="7717" spans="2:2" x14ac:dyDescent="0.25">
      <c r="B7717" s="11"/>
    </row>
    <row r="7718" spans="2:2" x14ac:dyDescent="0.25">
      <c r="B7718" s="11"/>
    </row>
    <row r="7719" spans="2:2" x14ac:dyDescent="0.25">
      <c r="B7719" s="11"/>
    </row>
    <row r="7720" spans="2:2" x14ac:dyDescent="0.25">
      <c r="B7720" s="11"/>
    </row>
    <row r="7721" spans="2:2" x14ac:dyDescent="0.25">
      <c r="B7721" s="11"/>
    </row>
    <row r="7722" spans="2:2" x14ac:dyDescent="0.25">
      <c r="B7722" s="11"/>
    </row>
    <row r="7723" spans="2:2" x14ac:dyDescent="0.25">
      <c r="B7723" s="11"/>
    </row>
    <row r="7724" spans="2:2" x14ac:dyDescent="0.25">
      <c r="B7724" s="11"/>
    </row>
    <row r="7725" spans="2:2" x14ac:dyDescent="0.25">
      <c r="B7725" s="11"/>
    </row>
    <row r="7726" spans="2:2" x14ac:dyDescent="0.25">
      <c r="B7726" s="11"/>
    </row>
    <row r="7727" spans="2:2" x14ac:dyDescent="0.25">
      <c r="B7727" s="11"/>
    </row>
    <row r="7728" spans="2:2" x14ac:dyDescent="0.25">
      <c r="B7728" s="11"/>
    </row>
    <row r="7729" spans="2:2" x14ac:dyDescent="0.25">
      <c r="B7729" s="11"/>
    </row>
    <row r="7730" spans="2:2" x14ac:dyDescent="0.25">
      <c r="B7730" s="11"/>
    </row>
    <row r="7731" spans="2:2" x14ac:dyDescent="0.25">
      <c r="B7731" s="11"/>
    </row>
    <row r="7732" spans="2:2" x14ac:dyDescent="0.25">
      <c r="B7732" s="11"/>
    </row>
    <row r="7733" spans="2:2" x14ac:dyDescent="0.25">
      <c r="B7733" s="11"/>
    </row>
    <row r="7734" spans="2:2" x14ac:dyDescent="0.25">
      <c r="B7734" s="11"/>
    </row>
    <row r="7735" spans="2:2" x14ac:dyDescent="0.25">
      <c r="B7735" s="11"/>
    </row>
    <row r="7736" spans="2:2" x14ac:dyDescent="0.25">
      <c r="B7736" s="11"/>
    </row>
    <row r="7737" spans="2:2" x14ac:dyDescent="0.25">
      <c r="B7737" s="11"/>
    </row>
    <row r="7738" spans="2:2" x14ac:dyDescent="0.25">
      <c r="B7738" s="11"/>
    </row>
    <row r="7739" spans="2:2" x14ac:dyDescent="0.25">
      <c r="B7739" s="11"/>
    </row>
    <row r="7740" spans="2:2" x14ac:dyDescent="0.25">
      <c r="B7740" s="11"/>
    </row>
    <row r="7741" spans="2:2" x14ac:dyDescent="0.25">
      <c r="B7741" s="11"/>
    </row>
    <row r="7742" spans="2:2" x14ac:dyDescent="0.25">
      <c r="B7742" s="11"/>
    </row>
    <row r="7743" spans="2:2" x14ac:dyDescent="0.25">
      <c r="B7743" s="11"/>
    </row>
    <row r="7744" spans="2:2" x14ac:dyDescent="0.25">
      <c r="B7744" s="11"/>
    </row>
    <row r="7745" spans="2:2" x14ac:dyDescent="0.25">
      <c r="B7745" s="11"/>
    </row>
    <row r="7746" spans="2:2" x14ac:dyDescent="0.25">
      <c r="B7746" s="11"/>
    </row>
    <row r="7747" spans="2:2" x14ac:dyDescent="0.25">
      <c r="B7747" s="11"/>
    </row>
    <row r="7748" spans="2:2" x14ac:dyDescent="0.25">
      <c r="B7748" s="11"/>
    </row>
    <row r="7749" spans="2:2" x14ac:dyDescent="0.25">
      <c r="B7749" s="11"/>
    </row>
    <row r="7750" spans="2:2" x14ac:dyDescent="0.25">
      <c r="B7750" s="11"/>
    </row>
    <row r="7751" spans="2:2" x14ac:dyDescent="0.25">
      <c r="B7751" s="11"/>
    </row>
    <row r="7752" spans="2:2" x14ac:dyDescent="0.25">
      <c r="B7752" s="11"/>
    </row>
    <row r="7753" spans="2:2" x14ac:dyDescent="0.25">
      <c r="B7753" s="11"/>
    </row>
    <row r="7754" spans="2:2" x14ac:dyDescent="0.25">
      <c r="B7754" s="11"/>
    </row>
    <row r="7755" spans="2:2" x14ac:dyDescent="0.25">
      <c r="B7755" s="11"/>
    </row>
    <row r="7756" spans="2:2" x14ac:dyDescent="0.25">
      <c r="B7756" s="11"/>
    </row>
    <row r="7757" spans="2:2" x14ac:dyDescent="0.25">
      <c r="B7757" s="11"/>
    </row>
    <row r="7758" spans="2:2" x14ac:dyDescent="0.25">
      <c r="B7758" s="11"/>
    </row>
    <row r="7759" spans="2:2" x14ac:dyDescent="0.25">
      <c r="B7759" s="11"/>
    </row>
    <row r="7760" spans="2:2" x14ac:dyDescent="0.25">
      <c r="B7760" s="11"/>
    </row>
    <row r="7761" spans="2:2" x14ac:dyDescent="0.25">
      <c r="B7761" s="11"/>
    </row>
    <row r="7762" spans="2:2" x14ac:dyDescent="0.25">
      <c r="B7762" s="11"/>
    </row>
    <row r="7763" spans="2:2" x14ac:dyDescent="0.25">
      <c r="B7763" s="11"/>
    </row>
    <row r="7764" spans="2:2" x14ac:dyDescent="0.25">
      <c r="B7764" s="11"/>
    </row>
    <row r="7765" spans="2:2" x14ac:dyDescent="0.25">
      <c r="B7765" s="11"/>
    </row>
    <row r="7766" spans="2:2" x14ac:dyDescent="0.25">
      <c r="B7766" s="11"/>
    </row>
    <row r="7767" spans="2:2" x14ac:dyDescent="0.25">
      <c r="B7767" s="11"/>
    </row>
    <row r="7768" spans="2:2" x14ac:dyDescent="0.25">
      <c r="B7768" s="11"/>
    </row>
    <row r="7769" spans="2:2" x14ac:dyDescent="0.25">
      <c r="B7769" s="11"/>
    </row>
    <row r="7770" spans="2:2" x14ac:dyDescent="0.25">
      <c r="B7770" s="11"/>
    </row>
    <row r="7771" spans="2:2" x14ac:dyDescent="0.25">
      <c r="B7771" s="11"/>
    </row>
    <row r="7772" spans="2:2" x14ac:dyDescent="0.25">
      <c r="B7772" s="11"/>
    </row>
    <row r="7773" spans="2:2" x14ac:dyDescent="0.25">
      <c r="B7773" s="11"/>
    </row>
    <row r="7774" spans="2:2" x14ac:dyDescent="0.25">
      <c r="B7774" s="11"/>
    </row>
    <row r="7775" spans="2:2" x14ac:dyDescent="0.25">
      <c r="B7775" s="11"/>
    </row>
    <row r="7776" spans="2:2" x14ac:dyDescent="0.25">
      <c r="B7776" s="11"/>
    </row>
    <row r="7777" spans="2:2" x14ac:dyDescent="0.25">
      <c r="B7777" s="11"/>
    </row>
    <row r="7778" spans="2:2" x14ac:dyDescent="0.25">
      <c r="B7778" s="11"/>
    </row>
    <row r="7779" spans="2:2" x14ac:dyDescent="0.25">
      <c r="B7779" s="11"/>
    </row>
    <row r="7780" spans="2:2" x14ac:dyDescent="0.25">
      <c r="B7780" s="11"/>
    </row>
    <row r="7781" spans="2:2" x14ac:dyDescent="0.25">
      <c r="B7781" s="11"/>
    </row>
    <row r="7782" spans="2:2" x14ac:dyDescent="0.25">
      <c r="B7782" s="11"/>
    </row>
    <row r="7783" spans="2:2" x14ac:dyDescent="0.25">
      <c r="B7783" s="11"/>
    </row>
    <row r="7784" spans="2:2" x14ac:dyDescent="0.25">
      <c r="B7784" s="11"/>
    </row>
    <row r="7785" spans="2:2" x14ac:dyDescent="0.25">
      <c r="B7785" s="11"/>
    </row>
    <row r="7786" spans="2:2" x14ac:dyDescent="0.25">
      <c r="B7786" s="11"/>
    </row>
    <row r="7787" spans="2:2" x14ac:dyDescent="0.25">
      <c r="B7787" s="11"/>
    </row>
    <row r="7788" spans="2:2" x14ac:dyDescent="0.25">
      <c r="B7788" s="11"/>
    </row>
    <row r="7789" spans="2:2" x14ac:dyDescent="0.25">
      <c r="B7789" s="11"/>
    </row>
    <row r="7790" spans="2:2" x14ac:dyDescent="0.25">
      <c r="B7790" s="11"/>
    </row>
    <row r="7791" spans="2:2" x14ac:dyDescent="0.25">
      <c r="B7791" s="11"/>
    </row>
    <row r="7792" spans="2:2" x14ac:dyDescent="0.25">
      <c r="B7792" s="11"/>
    </row>
    <row r="7793" spans="2:2" x14ac:dyDescent="0.25">
      <c r="B7793" s="11"/>
    </row>
    <row r="7794" spans="2:2" x14ac:dyDescent="0.25">
      <c r="B7794" s="11"/>
    </row>
    <row r="7795" spans="2:2" x14ac:dyDescent="0.25">
      <c r="B7795" s="11"/>
    </row>
    <row r="7796" spans="2:2" x14ac:dyDescent="0.25">
      <c r="B7796" s="11"/>
    </row>
    <row r="7797" spans="2:2" x14ac:dyDescent="0.25">
      <c r="B7797" s="11"/>
    </row>
    <row r="7798" spans="2:2" x14ac:dyDescent="0.25">
      <c r="B7798" s="11"/>
    </row>
    <row r="7799" spans="2:2" x14ac:dyDescent="0.25">
      <c r="B7799" s="11"/>
    </row>
    <row r="7800" spans="2:2" x14ac:dyDescent="0.25">
      <c r="B7800" s="11"/>
    </row>
    <row r="7801" spans="2:2" x14ac:dyDescent="0.25">
      <c r="B7801" s="11"/>
    </row>
    <row r="7802" spans="2:2" x14ac:dyDescent="0.25">
      <c r="B7802" s="11"/>
    </row>
    <row r="7803" spans="2:2" x14ac:dyDescent="0.25">
      <c r="B7803" s="11"/>
    </row>
    <row r="7804" spans="2:2" x14ac:dyDescent="0.25">
      <c r="B7804" s="11"/>
    </row>
    <row r="7805" spans="2:2" x14ac:dyDescent="0.25">
      <c r="B7805" s="11"/>
    </row>
    <row r="7806" spans="2:2" x14ac:dyDescent="0.25">
      <c r="B7806" s="11"/>
    </row>
    <row r="7807" spans="2:2" x14ac:dyDescent="0.25">
      <c r="B7807" s="11"/>
    </row>
    <row r="7808" spans="2:2" x14ac:dyDescent="0.25">
      <c r="B7808" s="11"/>
    </row>
    <row r="7809" spans="2:2" x14ac:dyDescent="0.25">
      <c r="B7809" s="11"/>
    </row>
    <row r="7810" spans="2:2" x14ac:dyDescent="0.25">
      <c r="B7810" s="11"/>
    </row>
    <row r="7811" spans="2:2" x14ac:dyDescent="0.25">
      <c r="B7811" s="11"/>
    </row>
    <row r="7812" spans="2:2" x14ac:dyDescent="0.25">
      <c r="B7812" s="11"/>
    </row>
    <row r="7813" spans="2:2" x14ac:dyDescent="0.25">
      <c r="B7813" s="11"/>
    </row>
    <row r="7814" spans="2:2" x14ac:dyDescent="0.25">
      <c r="B7814" s="11"/>
    </row>
    <row r="7815" spans="2:2" x14ac:dyDescent="0.25">
      <c r="B7815" s="11"/>
    </row>
    <row r="7816" spans="2:2" x14ac:dyDescent="0.25">
      <c r="B7816" s="11"/>
    </row>
    <row r="7817" spans="2:2" x14ac:dyDescent="0.25">
      <c r="B7817" s="11"/>
    </row>
    <row r="7818" spans="2:2" x14ac:dyDescent="0.25">
      <c r="B7818" s="11"/>
    </row>
    <row r="7819" spans="2:2" x14ac:dyDescent="0.25">
      <c r="B7819" s="11"/>
    </row>
    <row r="7820" spans="2:2" x14ac:dyDescent="0.25">
      <c r="B7820" s="11"/>
    </row>
    <row r="7821" spans="2:2" x14ac:dyDescent="0.25">
      <c r="B7821" s="11"/>
    </row>
    <row r="7822" spans="2:2" x14ac:dyDescent="0.25">
      <c r="B7822" s="11"/>
    </row>
    <row r="7823" spans="2:2" x14ac:dyDescent="0.25">
      <c r="B7823" s="11"/>
    </row>
    <row r="7824" spans="2:2" x14ac:dyDescent="0.25">
      <c r="B7824" s="11"/>
    </row>
    <row r="7825" spans="2:2" x14ac:dyDescent="0.25">
      <c r="B7825" s="11"/>
    </row>
    <row r="7826" spans="2:2" x14ac:dyDescent="0.25">
      <c r="B7826" s="11"/>
    </row>
    <row r="7827" spans="2:2" x14ac:dyDescent="0.25">
      <c r="B7827" s="11"/>
    </row>
    <row r="7828" spans="2:2" x14ac:dyDescent="0.25">
      <c r="B7828" s="11"/>
    </row>
    <row r="7829" spans="2:2" x14ac:dyDescent="0.25">
      <c r="B7829" s="11"/>
    </row>
    <row r="7830" spans="2:2" x14ac:dyDescent="0.25">
      <c r="B7830" s="11"/>
    </row>
    <row r="7831" spans="2:2" x14ac:dyDescent="0.25">
      <c r="B7831" s="11"/>
    </row>
    <row r="7832" spans="2:2" x14ac:dyDescent="0.25">
      <c r="B7832" s="11"/>
    </row>
    <row r="7833" spans="2:2" x14ac:dyDescent="0.25">
      <c r="B7833" s="11"/>
    </row>
    <row r="7834" spans="2:2" x14ac:dyDescent="0.25">
      <c r="B7834" s="11"/>
    </row>
    <row r="7835" spans="2:2" x14ac:dyDescent="0.25">
      <c r="B7835" s="11"/>
    </row>
    <row r="7836" spans="2:2" x14ac:dyDescent="0.25">
      <c r="B7836" s="11"/>
    </row>
    <row r="7837" spans="2:2" x14ac:dyDescent="0.25">
      <c r="B7837" s="11"/>
    </row>
    <row r="7838" spans="2:2" x14ac:dyDescent="0.25">
      <c r="B7838" s="11"/>
    </row>
    <row r="7839" spans="2:2" x14ac:dyDescent="0.25">
      <c r="B7839" s="11"/>
    </row>
    <row r="7840" spans="2:2" x14ac:dyDescent="0.25">
      <c r="B7840" s="11"/>
    </row>
    <row r="7841" spans="2:2" x14ac:dyDescent="0.25">
      <c r="B7841" s="11"/>
    </row>
    <row r="7842" spans="2:2" x14ac:dyDescent="0.25">
      <c r="B7842" s="11"/>
    </row>
    <row r="7843" spans="2:2" x14ac:dyDescent="0.25">
      <c r="B7843" s="11"/>
    </row>
    <row r="7844" spans="2:2" x14ac:dyDescent="0.25">
      <c r="B7844" s="11"/>
    </row>
    <row r="7845" spans="2:2" x14ac:dyDescent="0.25">
      <c r="B7845" s="11"/>
    </row>
    <row r="7846" spans="2:2" x14ac:dyDescent="0.25">
      <c r="B7846" s="11"/>
    </row>
    <row r="7847" spans="2:2" x14ac:dyDescent="0.25">
      <c r="B7847" s="11"/>
    </row>
    <row r="7848" spans="2:2" x14ac:dyDescent="0.25">
      <c r="B7848" s="11"/>
    </row>
    <row r="7849" spans="2:2" x14ac:dyDescent="0.25">
      <c r="B7849" s="11"/>
    </row>
    <row r="7850" spans="2:2" x14ac:dyDescent="0.25">
      <c r="B7850" s="11"/>
    </row>
    <row r="7851" spans="2:2" x14ac:dyDescent="0.25">
      <c r="B7851" s="11"/>
    </row>
    <row r="7852" spans="2:2" x14ac:dyDescent="0.25">
      <c r="B7852" s="11"/>
    </row>
    <row r="7853" spans="2:2" x14ac:dyDescent="0.25">
      <c r="B7853" s="11"/>
    </row>
    <row r="7854" spans="2:2" x14ac:dyDescent="0.25">
      <c r="B7854" s="11"/>
    </row>
    <row r="7855" spans="2:2" x14ac:dyDescent="0.25">
      <c r="B7855" s="11"/>
    </row>
    <row r="7856" spans="2:2" x14ac:dyDescent="0.25">
      <c r="B7856" s="11"/>
    </row>
    <row r="7857" spans="2:2" x14ac:dyDescent="0.25">
      <c r="B7857" s="11"/>
    </row>
    <row r="7858" spans="2:2" x14ac:dyDescent="0.25">
      <c r="B7858" s="11"/>
    </row>
    <row r="7859" spans="2:2" x14ac:dyDescent="0.25">
      <c r="B7859" s="11"/>
    </row>
    <row r="7860" spans="2:2" x14ac:dyDescent="0.25">
      <c r="B7860" s="11"/>
    </row>
    <row r="7861" spans="2:2" x14ac:dyDescent="0.25">
      <c r="B7861" s="11"/>
    </row>
    <row r="7862" spans="2:2" x14ac:dyDescent="0.25">
      <c r="B7862" s="11"/>
    </row>
    <row r="7863" spans="2:2" x14ac:dyDescent="0.25">
      <c r="B7863" s="11"/>
    </row>
    <row r="7864" spans="2:2" x14ac:dyDescent="0.25">
      <c r="B7864" s="11"/>
    </row>
    <row r="7865" spans="2:2" x14ac:dyDescent="0.25">
      <c r="B7865" s="11"/>
    </row>
    <row r="7866" spans="2:2" x14ac:dyDescent="0.25">
      <c r="B7866" s="11"/>
    </row>
    <row r="7867" spans="2:2" x14ac:dyDescent="0.25">
      <c r="B7867" s="11"/>
    </row>
    <row r="7868" spans="2:2" x14ac:dyDescent="0.25">
      <c r="B7868" s="11"/>
    </row>
    <row r="7869" spans="2:2" x14ac:dyDescent="0.25">
      <c r="B7869" s="11"/>
    </row>
    <row r="7870" spans="2:2" x14ac:dyDescent="0.25">
      <c r="B7870" s="11"/>
    </row>
    <row r="7871" spans="2:2" x14ac:dyDescent="0.25">
      <c r="B7871" s="11"/>
    </row>
    <row r="7872" spans="2:2" x14ac:dyDescent="0.25">
      <c r="B7872" s="11"/>
    </row>
    <row r="7873" spans="2:2" x14ac:dyDescent="0.25">
      <c r="B7873" s="11"/>
    </row>
    <row r="7874" spans="2:2" x14ac:dyDescent="0.25">
      <c r="B7874" s="11"/>
    </row>
    <row r="7875" spans="2:2" x14ac:dyDescent="0.25">
      <c r="B7875" s="11"/>
    </row>
    <row r="7876" spans="2:2" x14ac:dyDescent="0.25">
      <c r="B7876" s="11"/>
    </row>
    <row r="7877" spans="2:2" x14ac:dyDescent="0.25">
      <c r="B7877" s="11"/>
    </row>
    <row r="7878" spans="2:2" x14ac:dyDescent="0.25">
      <c r="B7878" s="11"/>
    </row>
    <row r="7879" spans="2:2" x14ac:dyDescent="0.25">
      <c r="B7879" s="11"/>
    </row>
    <row r="7880" spans="2:2" x14ac:dyDescent="0.25">
      <c r="B7880" s="11"/>
    </row>
    <row r="7881" spans="2:2" x14ac:dyDescent="0.25">
      <c r="B7881" s="11"/>
    </row>
    <row r="7882" spans="2:2" x14ac:dyDescent="0.25">
      <c r="B7882" s="11"/>
    </row>
    <row r="7883" spans="2:2" x14ac:dyDescent="0.25">
      <c r="B7883" s="11"/>
    </row>
    <row r="7884" spans="2:2" x14ac:dyDescent="0.25">
      <c r="B7884" s="11"/>
    </row>
    <row r="7885" spans="2:2" x14ac:dyDescent="0.25">
      <c r="B7885" s="11"/>
    </row>
    <row r="7886" spans="2:2" x14ac:dyDescent="0.25">
      <c r="B7886" s="11"/>
    </row>
    <row r="7887" spans="2:2" x14ac:dyDescent="0.25">
      <c r="B7887" s="11"/>
    </row>
    <row r="7888" spans="2:2" x14ac:dyDescent="0.25">
      <c r="B7888" s="11"/>
    </row>
    <row r="7889" spans="2:2" x14ac:dyDescent="0.25">
      <c r="B7889" s="11"/>
    </row>
    <row r="7890" spans="2:2" x14ac:dyDescent="0.25">
      <c r="B7890" s="11"/>
    </row>
    <row r="7891" spans="2:2" x14ac:dyDescent="0.25">
      <c r="B7891" s="11"/>
    </row>
    <row r="7892" spans="2:2" x14ac:dyDescent="0.25">
      <c r="B7892" s="11"/>
    </row>
    <row r="7893" spans="2:2" x14ac:dyDescent="0.25">
      <c r="B7893" s="11"/>
    </row>
    <row r="7894" spans="2:2" x14ac:dyDescent="0.25">
      <c r="B7894" s="11"/>
    </row>
    <row r="7895" spans="2:2" x14ac:dyDescent="0.25">
      <c r="B7895" s="11"/>
    </row>
    <row r="7896" spans="2:2" x14ac:dyDescent="0.25">
      <c r="B7896" s="11"/>
    </row>
    <row r="7897" spans="2:2" x14ac:dyDescent="0.25">
      <c r="B7897" s="11"/>
    </row>
    <row r="7898" spans="2:2" x14ac:dyDescent="0.25">
      <c r="B7898" s="11"/>
    </row>
    <row r="7899" spans="2:2" x14ac:dyDescent="0.25">
      <c r="B7899" s="11"/>
    </row>
    <row r="7900" spans="2:2" x14ac:dyDescent="0.25">
      <c r="B7900" s="11"/>
    </row>
    <row r="7901" spans="2:2" x14ac:dyDescent="0.25">
      <c r="B7901" s="11"/>
    </row>
    <row r="7902" spans="2:2" x14ac:dyDescent="0.25">
      <c r="B7902" s="11"/>
    </row>
    <row r="7903" spans="2:2" x14ac:dyDescent="0.25">
      <c r="B7903" s="11"/>
    </row>
    <row r="7904" spans="2:2" x14ac:dyDescent="0.25">
      <c r="B7904" s="11"/>
    </row>
    <row r="7905" spans="2:2" x14ac:dyDescent="0.25">
      <c r="B7905" s="11"/>
    </row>
    <row r="7906" spans="2:2" x14ac:dyDescent="0.25">
      <c r="B7906" s="11"/>
    </row>
    <row r="7907" spans="2:2" x14ac:dyDescent="0.25">
      <c r="B7907" s="11"/>
    </row>
    <row r="7908" spans="2:2" x14ac:dyDescent="0.25">
      <c r="B7908" s="11"/>
    </row>
    <row r="7909" spans="2:2" x14ac:dyDescent="0.25">
      <c r="B7909" s="11"/>
    </row>
    <row r="7910" spans="2:2" x14ac:dyDescent="0.25">
      <c r="B7910" s="11"/>
    </row>
    <row r="7911" spans="2:2" x14ac:dyDescent="0.25">
      <c r="B7911" s="11"/>
    </row>
    <row r="7912" spans="2:2" x14ac:dyDescent="0.25">
      <c r="B7912" s="11"/>
    </row>
    <row r="7913" spans="2:2" x14ac:dyDescent="0.25">
      <c r="B7913" s="11"/>
    </row>
    <row r="7914" spans="2:2" x14ac:dyDescent="0.25">
      <c r="B7914" s="11"/>
    </row>
    <row r="7915" spans="2:2" x14ac:dyDescent="0.25">
      <c r="B7915" s="11"/>
    </row>
    <row r="7916" spans="2:2" x14ac:dyDescent="0.25">
      <c r="B7916" s="11"/>
    </row>
    <row r="7917" spans="2:2" x14ac:dyDescent="0.25">
      <c r="B7917" s="11"/>
    </row>
    <row r="7918" spans="2:2" x14ac:dyDescent="0.25">
      <c r="B7918" s="11"/>
    </row>
    <row r="7919" spans="2:2" x14ac:dyDescent="0.25">
      <c r="B7919" s="11"/>
    </row>
    <row r="7920" spans="2:2" x14ac:dyDescent="0.25">
      <c r="B7920" s="11"/>
    </row>
    <row r="7921" spans="2:2" x14ac:dyDescent="0.25">
      <c r="B7921" s="11"/>
    </row>
    <row r="7922" spans="2:2" x14ac:dyDescent="0.25">
      <c r="B7922" s="11"/>
    </row>
    <row r="7923" spans="2:2" x14ac:dyDescent="0.25">
      <c r="B7923" s="11"/>
    </row>
    <row r="7924" spans="2:2" x14ac:dyDescent="0.25">
      <c r="B7924" s="11"/>
    </row>
    <row r="7925" spans="2:2" x14ac:dyDescent="0.25">
      <c r="B7925" s="11"/>
    </row>
    <row r="7926" spans="2:2" x14ac:dyDescent="0.25">
      <c r="B7926" s="11"/>
    </row>
    <row r="7927" spans="2:2" x14ac:dyDescent="0.25">
      <c r="B7927" s="11"/>
    </row>
    <row r="7928" spans="2:2" x14ac:dyDescent="0.25">
      <c r="B7928" s="11"/>
    </row>
    <row r="7929" spans="2:2" x14ac:dyDescent="0.25">
      <c r="B7929" s="11"/>
    </row>
    <row r="7930" spans="2:2" x14ac:dyDescent="0.25">
      <c r="B7930" s="11"/>
    </row>
    <row r="7931" spans="2:2" x14ac:dyDescent="0.25">
      <c r="B7931" s="11"/>
    </row>
    <row r="7932" spans="2:2" x14ac:dyDescent="0.25">
      <c r="B7932" s="11"/>
    </row>
    <row r="7933" spans="2:2" x14ac:dyDescent="0.25">
      <c r="B7933" s="11"/>
    </row>
    <row r="7934" spans="2:2" x14ac:dyDescent="0.25">
      <c r="B7934" s="11"/>
    </row>
    <row r="7935" spans="2:2" x14ac:dyDescent="0.25">
      <c r="B7935" s="11"/>
    </row>
    <row r="7936" spans="2:2" x14ac:dyDescent="0.25">
      <c r="B7936" s="11"/>
    </row>
    <row r="7937" spans="2:2" x14ac:dyDescent="0.25">
      <c r="B7937" s="11"/>
    </row>
    <row r="7938" spans="2:2" x14ac:dyDescent="0.25">
      <c r="B7938" s="11"/>
    </row>
    <row r="7939" spans="2:2" x14ac:dyDescent="0.25">
      <c r="B7939" s="11"/>
    </row>
    <row r="7940" spans="2:2" x14ac:dyDescent="0.25">
      <c r="B7940" s="11"/>
    </row>
    <row r="7941" spans="2:2" x14ac:dyDescent="0.25">
      <c r="B7941" s="11"/>
    </row>
    <row r="7942" spans="2:2" x14ac:dyDescent="0.25">
      <c r="B7942" s="11"/>
    </row>
    <row r="7943" spans="2:2" x14ac:dyDescent="0.25">
      <c r="B7943" s="11"/>
    </row>
    <row r="7944" spans="2:2" x14ac:dyDescent="0.25">
      <c r="B7944" s="11"/>
    </row>
    <row r="7945" spans="2:2" x14ac:dyDescent="0.25">
      <c r="B7945" s="11"/>
    </row>
    <row r="7946" spans="2:2" x14ac:dyDescent="0.25">
      <c r="B7946" s="11"/>
    </row>
    <row r="7947" spans="2:2" x14ac:dyDescent="0.25">
      <c r="B7947" s="11"/>
    </row>
    <row r="7948" spans="2:2" x14ac:dyDescent="0.25">
      <c r="B7948" s="11"/>
    </row>
    <row r="7949" spans="2:2" x14ac:dyDescent="0.25">
      <c r="B7949" s="11"/>
    </row>
    <row r="7950" spans="2:2" x14ac:dyDescent="0.25">
      <c r="B7950" s="11"/>
    </row>
    <row r="7951" spans="2:2" x14ac:dyDescent="0.25">
      <c r="B7951" s="11"/>
    </row>
    <row r="7952" spans="2:2" x14ac:dyDescent="0.25">
      <c r="B7952" s="11"/>
    </row>
    <row r="7953" spans="2:2" x14ac:dyDescent="0.25">
      <c r="B7953" s="11"/>
    </row>
    <row r="7954" spans="2:2" x14ac:dyDescent="0.25">
      <c r="B7954" s="11"/>
    </row>
    <row r="7955" spans="2:2" x14ac:dyDescent="0.25">
      <c r="B7955" s="11"/>
    </row>
    <row r="7956" spans="2:2" x14ac:dyDescent="0.25">
      <c r="B7956" s="11"/>
    </row>
    <row r="7957" spans="2:2" x14ac:dyDescent="0.25">
      <c r="B7957" s="11"/>
    </row>
    <row r="7958" spans="2:2" x14ac:dyDescent="0.25">
      <c r="B7958" s="11"/>
    </row>
    <row r="7959" spans="2:2" x14ac:dyDescent="0.25">
      <c r="B7959" s="11"/>
    </row>
    <row r="7960" spans="2:2" x14ac:dyDescent="0.25">
      <c r="B7960" s="11"/>
    </row>
    <row r="7961" spans="2:2" x14ac:dyDescent="0.25">
      <c r="B7961" s="11"/>
    </row>
    <row r="7962" spans="2:2" x14ac:dyDescent="0.25">
      <c r="B7962" s="11"/>
    </row>
    <row r="7963" spans="2:2" x14ac:dyDescent="0.25">
      <c r="B7963" s="11"/>
    </row>
    <row r="7964" spans="2:2" x14ac:dyDescent="0.25">
      <c r="B7964" s="11"/>
    </row>
    <row r="7965" spans="2:2" x14ac:dyDescent="0.25">
      <c r="B7965" s="11"/>
    </row>
    <row r="7966" spans="2:2" x14ac:dyDescent="0.25">
      <c r="B7966" s="11"/>
    </row>
    <row r="7967" spans="2:2" x14ac:dyDescent="0.25">
      <c r="B7967" s="11"/>
    </row>
    <row r="7968" spans="2:2" x14ac:dyDescent="0.25">
      <c r="B7968" s="11"/>
    </row>
    <row r="7969" spans="2:2" x14ac:dyDescent="0.25">
      <c r="B7969" s="11"/>
    </row>
    <row r="7970" spans="2:2" x14ac:dyDescent="0.25">
      <c r="B7970" s="11"/>
    </row>
    <row r="7971" spans="2:2" x14ac:dyDescent="0.25">
      <c r="B7971" s="11"/>
    </row>
    <row r="7972" spans="2:2" x14ac:dyDescent="0.25">
      <c r="B7972" s="11"/>
    </row>
    <row r="7973" spans="2:2" x14ac:dyDescent="0.25">
      <c r="B7973" s="11"/>
    </row>
    <row r="7974" spans="2:2" x14ac:dyDescent="0.25">
      <c r="B7974" s="11"/>
    </row>
    <row r="7975" spans="2:2" x14ac:dyDescent="0.25">
      <c r="B7975" s="11"/>
    </row>
    <row r="7976" spans="2:2" x14ac:dyDescent="0.25">
      <c r="B7976" s="11"/>
    </row>
    <row r="7977" spans="2:2" x14ac:dyDescent="0.25">
      <c r="B7977" s="11"/>
    </row>
    <row r="7978" spans="2:2" x14ac:dyDescent="0.25">
      <c r="B7978" s="11"/>
    </row>
    <row r="7979" spans="2:2" x14ac:dyDescent="0.25">
      <c r="B7979" s="11"/>
    </row>
    <row r="7980" spans="2:2" x14ac:dyDescent="0.25">
      <c r="B7980" s="11"/>
    </row>
    <row r="7981" spans="2:2" x14ac:dyDescent="0.25">
      <c r="B7981" s="11"/>
    </row>
    <row r="7982" spans="2:2" x14ac:dyDescent="0.25">
      <c r="B7982" s="11"/>
    </row>
    <row r="7983" spans="2:2" x14ac:dyDescent="0.25">
      <c r="B7983" s="11"/>
    </row>
    <row r="7984" spans="2:2" x14ac:dyDescent="0.25">
      <c r="B7984" s="11"/>
    </row>
    <row r="7985" spans="2:2" x14ac:dyDescent="0.25">
      <c r="B7985" s="11"/>
    </row>
    <row r="7986" spans="2:2" x14ac:dyDescent="0.25">
      <c r="B7986" s="11"/>
    </row>
    <row r="7987" spans="2:2" x14ac:dyDescent="0.25">
      <c r="B7987" s="11"/>
    </row>
    <row r="7988" spans="2:2" x14ac:dyDescent="0.25">
      <c r="B7988" s="11"/>
    </row>
    <row r="7989" spans="2:2" x14ac:dyDescent="0.25">
      <c r="B7989" s="11"/>
    </row>
    <row r="7990" spans="2:2" x14ac:dyDescent="0.25">
      <c r="B7990" s="11"/>
    </row>
    <row r="7991" spans="2:2" x14ac:dyDescent="0.25">
      <c r="B7991" s="11"/>
    </row>
    <row r="7992" spans="2:2" x14ac:dyDescent="0.25">
      <c r="B7992" s="11"/>
    </row>
    <row r="7993" spans="2:2" x14ac:dyDescent="0.25">
      <c r="B7993" s="11"/>
    </row>
    <row r="7994" spans="2:2" x14ac:dyDescent="0.25">
      <c r="B7994" s="11"/>
    </row>
    <row r="7995" spans="2:2" x14ac:dyDescent="0.25">
      <c r="B7995" s="11"/>
    </row>
    <row r="7996" spans="2:2" x14ac:dyDescent="0.25">
      <c r="B7996" s="11"/>
    </row>
    <row r="7997" spans="2:2" x14ac:dyDescent="0.25">
      <c r="B7997" s="11"/>
    </row>
    <row r="7998" spans="2:2" x14ac:dyDescent="0.25">
      <c r="B7998" s="11"/>
    </row>
    <row r="7999" spans="2:2" x14ac:dyDescent="0.25">
      <c r="B7999" s="11"/>
    </row>
    <row r="8000" spans="2:2" x14ac:dyDescent="0.25">
      <c r="B8000" s="11"/>
    </row>
    <row r="8001" spans="2:2" x14ac:dyDescent="0.25">
      <c r="B8001" s="11"/>
    </row>
    <row r="8002" spans="2:2" x14ac:dyDescent="0.25">
      <c r="B8002" s="11"/>
    </row>
    <row r="8003" spans="2:2" x14ac:dyDescent="0.25">
      <c r="B8003" s="11"/>
    </row>
    <row r="8004" spans="2:2" x14ac:dyDescent="0.25">
      <c r="B8004" s="11"/>
    </row>
    <row r="8005" spans="2:2" x14ac:dyDescent="0.25">
      <c r="B8005" s="11"/>
    </row>
    <row r="8006" spans="2:2" x14ac:dyDescent="0.25">
      <c r="B8006" s="11"/>
    </row>
    <row r="8007" spans="2:2" x14ac:dyDescent="0.25">
      <c r="B8007" s="11"/>
    </row>
    <row r="8008" spans="2:2" x14ac:dyDescent="0.25">
      <c r="B8008" s="11"/>
    </row>
    <row r="8009" spans="2:2" x14ac:dyDescent="0.25">
      <c r="B8009" s="11"/>
    </row>
    <row r="8010" spans="2:2" x14ac:dyDescent="0.25">
      <c r="B8010" s="11"/>
    </row>
    <row r="8011" spans="2:2" x14ac:dyDescent="0.25">
      <c r="B8011" s="11"/>
    </row>
    <row r="8012" spans="2:2" x14ac:dyDescent="0.25">
      <c r="B8012" s="11"/>
    </row>
    <row r="8013" spans="2:2" x14ac:dyDescent="0.25">
      <c r="B8013" s="11"/>
    </row>
    <row r="8014" spans="2:2" x14ac:dyDescent="0.25">
      <c r="B8014" s="11"/>
    </row>
    <row r="8015" spans="2:2" x14ac:dyDescent="0.25">
      <c r="B8015" s="11"/>
    </row>
    <row r="8016" spans="2:2" x14ac:dyDescent="0.25">
      <c r="B8016" s="11"/>
    </row>
    <row r="8017" spans="2:2" x14ac:dyDescent="0.25">
      <c r="B8017" s="11"/>
    </row>
    <row r="8018" spans="2:2" x14ac:dyDescent="0.25">
      <c r="B8018" s="11"/>
    </row>
    <row r="8019" spans="2:2" x14ac:dyDescent="0.25">
      <c r="B8019" s="11"/>
    </row>
    <row r="8020" spans="2:2" x14ac:dyDescent="0.25">
      <c r="B8020" s="11"/>
    </row>
    <row r="8021" spans="2:2" x14ac:dyDescent="0.25">
      <c r="B8021" s="11"/>
    </row>
    <row r="8022" spans="2:2" x14ac:dyDescent="0.25">
      <c r="B8022" s="11"/>
    </row>
    <row r="8023" spans="2:2" x14ac:dyDescent="0.25">
      <c r="B8023" s="11"/>
    </row>
    <row r="8024" spans="2:2" x14ac:dyDescent="0.25">
      <c r="B8024" s="11"/>
    </row>
    <row r="8025" spans="2:2" x14ac:dyDescent="0.25">
      <c r="B8025" s="11"/>
    </row>
    <row r="8026" spans="2:2" x14ac:dyDescent="0.25">
      <c r="B8026" s="11"/>
    </row>
    <row r="8027" spans="2:2" x14ac:dyDescent="0.25">
      <c r="B8027" s="11"/>
    </row>
    <row r="8028" spans="2:2" x14ac:dyDescent="0.25">
      <c r="B8028" s="11"/>
    </row>
    <row r="8029" spans="2:2" x14ac:dyDescent="0.25">
      <c r="B8029" s="11"/>
    </row>
    <row r="8030" spans="2:2" x14ac:dyDescent="0.25">
      <c r="B8030" s="11"/>
    </row>
    <row r="8031" spans="2:2" x14ac:dyDescent="0.25">
      <c r="B8031" s="11"/>
    </row>
    <row r="8032" spans="2:2" x14ac:dyDescent="0.25">
      <c r="B8032" s="11"/>
    </row>
    <row r="8033" spans="2:2" x14ac:dyDescent="0.25">
      <c r="B8033" s="11"/>
    </row>
    <row r="8034" spans="2:2" x14ac:dyDescent="0.25">
      <c r="B8034" s="11"/>
    </row>
    <row r="8035" spans="2:2" x14ac:dyDescent="0.25">
      <c r="B8035" s="11"/>
    </row>
    <row r="8036" spans="2:2" x14ac:dyDescent="0.25">
      <c r="B8036" s="11"/>
    </row>
    <row r="8037" spans="2:2" x14ac:dyDescent="0.25">
      <c r="B8037" s="11"/>
    </row>
    <row r="8038" spans="2:2" x14ac:dyDescent="0.25">
      <c r="B8038" s="11"/>
    </row>
    <row r="8039" spans="2:2" x14ac:dyDescent="0.25">
      <c r="B8039" s="11"/>
    </row>
    <row r="8040" spans="2:2" x14ac:dyDescent="0.25">
      <c r="B8040" s="11"/>
    </row>
    <row r="8041" spans="2:2" x14ac:dyDescent="0.25">
      <c r="B8041" s="11"/>
    </row>
    <row r="8042" spans="2:2" x14ac:dyDescent="0.25">
      <c r="B8042" s="11"/>
    </row>
    <row r="8043" spans="2:2" x14ac:dyDescent="0.25">
      <c r="B8043" s="11"/>
    </row>
    <row r="8044" spans="2:2" x14ac:dyDescent="0.25">
      <c r="B8044" s="11"/>
    </row>
    <row r="8045" spans="2:2" x14ac:dyDescent="0.25">
      <c r="B8045" s="11"/>
    </row>
    <row r="8046" spans="2:2" x14ac:dyDescent="0.25">
      <c r="B8046" s="11"/>
    </row>
    <row r="8047" spans="2:2" x14ac:dyDescent="0.25">
      <c r="B8047" s="11"/>
    </row>
    <row r="8048" spans="2:2" x14ac:dyDescent="0.25">
      <c r="B8048" s="11"/>
    </row>
    <row r="8049" spans="2:2" x14ac:dyDescent="0.25">
      <c r="B8049" s="11"/>
    </row>
    <row r="8050" spans="2:2" x14ac:dyDescent="0.25">
      <c r="B8050" s="11"/>
    </row>
    <row r="8051" spans="2:2" x14ac:dyDescent="0.25">
      <c r="B8051" s="11"/>
    </row>
    <row r="8052" spans="2:2" x14ac:dyDescent="0.25">
      <c r="B8052" s="11"/>
    </row>
    <row r="8053" spans="2:2" x14ac:dyDescent="0.25">
      <c r="B8053" s="11"/>
    </row>
    <row r="8054" spans="2:2" x14ac:dyDescent="0.25">
      <c r="B8054" s="11"/>
    </row>
    <row r="8055" spans="2:2" x14ac:dyDescent="0.25">
      <c r="B8055" s="11"/>
    </row>
    <row r="8056" spans="2:2" x14ac:dyDescent="0.25">
      <c r="B8056" s="11"/>
    </row>
    <row r="8057" spans="2:2" x14ac:dyDescent="0.25">
      <c r="B8057" s="11"/>
    </row>
    <row r="8058" spans="2:2" x14ac:dyDescent="0.25">
      <c r="B8058" s="11"/>
    </row>
    <row r="8059" spans="2:2" x14ac:dyDescent="0.25">
      <c r="B8059" s="11"/>
    </row>
    <row r="8060" spans="2:2" x14ac:dyDescent="0.25">
      <c r="B8060" s="11"/>
    </row>
    <row r="8061" spans="2:2" x14ac:dyDescent="0.25">
      <c r="B8061" s="11"/>
    </row>
    <row r="8062" spans="2:2" x14ac:dyDescent="0.25">
      <c r="B8062" s="11"/>
    </row>
    <row r="8063" spans="2:2" x14ac:dyDescent="0.25">
      <c r="B8063" s="11"/>
    </row>
    <row r="8064" spans="2:2" x14ac:dyDescent="0.25">
      <c r="B8064" s="11"/>
    </row>
    <row r="8065" spans="2:2" x14ac:dyDescent="0.25">
      <c r="B8065" s="11"/>
    </row>
    <row r="8066" spans="2:2" x14ac:dyDescent="0.25">
      <c r="B8066" s="11"/>
    </row>
    <row r="8067" spans="2:2" x14ac:dyDescent="0.25">
      <c r="B8067" s="11"/>
    </row>
    <row r="8068" spans="2:2" x14ac:dyDescent="0.25">
      <c r="B8068" s="11"/>
    </row>
    <row r="8069" spans="2:2" x14ac:dyDescent="0.25">
      <c r="B8069" s="11"/>
    </row>
    <row r="8070" spans="2:2" x14ac:dyDescent="0.25">
      <c r="B8070" s="11"/>
    </row>
    <row r="8071" spans="2:2" x14ac:dyDescent="0.25">
      <c r="B8071" s="11"/>
    </row>
    <row r="8072" spans="2:2" x14ac:dyDescent="0.25">
      <c r="B8072" s="11"/>
    </row>
    <row r="8073" spans="2:2" x14ac:dyDescent="0.25">
      <c r="B8073" s="11"/>
    </row>
    <row r="8074" spans="2:2" x14ac:dyDescent="0.25">
      <c r="B8074" s="11"/>
    </row>
    <row r="8075" spans="2:2" x14ac:dyDescent="0.25">
      <c r="B8075" s="11"/>
    </row>
    <row r="8076" spans="2:2" x14ac:dyDescent="0.25">
      <c r="B8076" s="11"/>
    </row>
    <row r="8077" spans="2:2" x14ac:dyDescent="0.25">
      <c r="B8077" s="11"/>
    </row>
    <row r="8078" spans="2:2" x14ac:dyDescent="0.25">
      <c r="B8078" s="11"/>
    </row>
    <row r="8079" spans="2:2" x14ac:dyDescent="0.25">
      <c r="B8079" s="11"/>
    </row>
    <row r="8080" spans="2:2" x14ac:dyDescent="0.25">
      <c r="B8080" s="11"/>
    </row>
    <row r="8081" spans="2:2" x14ac:dyDescent="0.25">
      <c r="B8081" s="11"/>
    </row>
    <row r="8082" spans="2:2" x14ac:dyDescent="0.25">
      <c r="B8082" s="11"/>
    </row>
    <row r="8083" spans="2:2" x14ac:dyDescent="0.25">
      <c r="B8083" s="11"/>
    </row>
    <row r="8084" spans="2:2" x14ac:dyDescent="0.25">
      <c r="B8084" s="11"/>
    </row>
    <row r="8085" spans="2:2" x14ac:dyDescent="0.25">
      <c r="B8085" s="11"/>
    </row>
    <row r="8086" spans="2:2" x14ac:dyDescent="0.25">
      <c r="B8086" s="11"/>
    </row>
    <row r="8087" spans="2:2" x14ac:dyDescent="0.25">
      <c r="B8087" s="11"/>
    </row>
    <row r="8088" spans="2:2" x14ac:dyDescent="0.25">
      <c r="B8088" s="11"/>
    </row>
    <row r="8089" spans="2:2" x14ac:dyDescent="0.25">
      <c r="B8089" s="11"/>
    </row>
    <row r="8090" spans="2:2" x14ac:dyDescent="0.25">
      <c r="B8090" s="11"/>
    </row>
    <row r="8091" spans="2:2" x14ac:dyDescent="0.25">
      <c r="B8091" s="11"/>
    </row>
    <row r="8092" spans="2:2" x14ac:dyDescent="0.25">
      <c r="B8092" s="11"/>
    </row>
    <row r="8093" spans="2:2" x14ac:dyDescent="0.25">
      <c r="B8093" s="11"/>
    </row>
    <row r="8094" spans="2:2" x14ac:dyDescent="0.25">
      <c r="B8094" s="11"/>
    </row>
    <row r="8095" spans="2:2" x14ac:dyDescent="0.25">
      <c r="B8095" s="11"/>
    </row>
    <row r="8096" spans="2:2" x14ac:dyDescent="0.25">
      <c r="B8096" s="11"/>
    </row>
    <row r="8097" spans="2:2" x14ac:dyDescent="0.25">
      <c r="B8097" s="11"/>
    </row>
    <row r="8098" spans="2:2" x14ac:dyDescent="0.25">
      <c r="B8098" s="11"/>
    </row>
    <row r="8099" spans="2:2" x14ac:dyDescent="0.25">
      <c r="B8099" s="11"/>
    </row>
    <row r="8100" spans="2:2" x14ac:dyDescent="0.25">
      <c r="B8100" s="11"/>
    </row>
    <row r="8101" spans="2:2" x14ac:dyDescent="0.25">
      <c r="B8101" s="11"/>
    </row>
    <row r="8102" spans="2:2" x14ac:dyDescent="0.25">
      <c r="B8102" s="11"/>
    </row>
    <row r="8103" spans="2:2" x14ac:dyDescent="0.25">
      <c r="B8103" s="11"/>
    </row>
    <row r="8104" spans="2:2" x14ac:dyDescent="0.25">
      <c r="B8104" s="11"/>
    </row>
    <row r="8105" spans="2:2" x14ac:dyDescent="0.25">
      <c r="B8105" s="11"/>
    </row>
    <row r="8106" spans="2:2" x14ac:dyDescent="0.25">
      <c r="B8106" s="11"/>
    </row>
    <row r="8107" spans="2:2" x14ac:dyDescent="0.25">
      <c r="B8107" s="11"/>
    </row>
    <row r="8108" spans="2:2" x14ac:dyDescent="0.25">
      <c r="B8108" s="11"/>
    </row>
    <row r="8109" spans="2:2" x14ac:dyDescent="0.25">
      <c r="B8109" s="11"/>
    </row>
    <row r="8110" spans="2:2" x14ac:dyDescent="0.25">
      <c r="B8110" s="11"/>
    </row>
    <row r="8111" spans="2:2" x14ac:dyDescent="0.25">
      <c r="B8111" s="11"/>
    </row>
    <row r="8112" spans="2:2" x14ac:dyDescent="0.25">
      <c r="B8112" s="11"/>
    </row>
    <row r="8113" spans="2:2" x14ac:dyDescent="0.25">
      <c r="B8113" s="11"/>
    </row>
    <row r="8114" spans="2:2" x14ac:dyDescent="0.25">
      <c r="B8114" s="11"/>
    </row>
    <row r="8115" spans="2:2" x14ac:dyDescent="0.25">
      <c r="B8115" s="11"/>
    </row>
    <row r="8116" spans="2:2" x14ac:dyDescent="0.25">
      <c r="B8116" s="11"/>
    </row>
    <row r="8117" spans="2:2" x14ac:dyDescent="0.25">
      <c r="B8117" s="11"/>
    </row>
    <row r="8118" spans="2:2" x14ac:dyDescent="0.25">
      <c r="B8118" s="11"/>
    </row>
    <row r="8119" spans="2:2" x14ac:dyDescent="0.25">
      <c r="B8119" s="11"/>
    </row>
    <row r="8120" spans="2:2" x14ac:dyDescent="0.25">
      <c r="B8120" s="11"/>
    </row>
    <row r="8121" spans="2:2" x14ac:dyDescent="0.25">
      <c r="B8121" s="11"/>
    </row>
    <row r="8122" spans="2:2" x14ac:dyDescent="0.25">
      <c r="B8122" s="11"/>
    </row>
    <row r="8123" spans="2:2" x14ac:dyDescent="0.25">
      <c r="B8123" s="11"/>
    </row>
    <row r="8124" spans="2:2" x14ac:dyDescent="0.25">
      <c r="B8124" s="11"/>
    </row>
    <row r="8125" spans="2:2" x14ac:dyDescent="0.25">
      <c r="B8125" s="11"/>
    </row>
    <row r="8126" spans="2:2" x14ac:dyDescent="0.25">
      <c r="B8126" s="11"/>
    </row>
    <row r="8127" spans="2:2" x14ac:dyDescent="0.25">
      <c r="B8127" s="11"/>
    </row>
    <row r="8128" spans="2:2" x14ac:dyDescent="0.25">
      <c r="B8128" s="11"/>
    </row>
    <row r="8129" spans="2:2" x14ac:dyDescent="0.25">
      <c r="B8129" s="11"/>
    </row>
    <row r="8130" spans="2:2" x14ac:dyDescent="0.25">
      <c r="B8130" s="11"/>
    </row>
    <row r="8131" spans="2:2" x14ac:dyDescent="0.25">
      <c r="B8131" s="11"/>
    </row>
    <row r="8132" spans="2:2" x14ac:dyDescent="0.25">
      <c r="B8132" s="11"/>
    </row>
    <row r="8133" spans="2:2" x14ac:dyDescent="0.25">
      <c r="B8133" s="11"/>
    </row>
    <row r="8134" spans="2:2" x14ac:dyDescent="0.25">
      <c r="B8134" s="11"/>
    </row>
    <row r="8135" spans="2:2" x14ac:dyDescent="0.25">
      <c r="B8135" s="11"/>
    </row>
    <row r="8136" spans="2:2" x14ac:dyDescent="0.25">
      <c r="B8136" s="11"/>
    </row>
    <row r="8137" spans="2:2" x14ac:dyDescent="0.25">
      <c r="B8137" s="11"/>
    </row>
    <row r="8138" spans="2:2" x14ac:dyDescent="0.25">
      <c r="B8138" s="11"/>
    </row>
    <row r="8139" spans="2:2" x14ac:dyDescent="0.25">
      <c r="B8139" s="11"/>
    </row>
    <row r="8140" spans="2:2" x14ac:dyDescent="0.25">
      <c r="B8140" s="11"/>
    </row>
    <row r="8141" spans="2:2" x14ac:dyDescent="0.25">
      <c r="B8141" s="11"/>
    </row>
    <row r="8142" spans="2:2" x14ac:dyDescent="0.25">
      <c r="B8142" s="11"/>
    </row>
    <row r="8143" spans="2:2" x14ac:dyDescent="0.25">
      <c r="B8143" s="11"/>
    </row>
    <row r="8144" spans="2:2" x14ac:dyDescent="0.25">
      <c r="B8144" s="11"/>
    </row>
    <row r="8145" spans="2:2" x14ac:dyDescent="0.25">
      <c r="B8145" s="11"/>
    </row>
    <row r="8146" spans="2:2" x14ac:dyDescent="0.25">
      <c r="B8146" s="11"/>
    </row>
    <row r="8147" spans="2:2" x14ac:dyDescent="0.25">
      <c r="B8147" s="11"/>
    </row>
    <row r="8148" spans="2:2" x14ac:dyDescent="0.25">
      <c r="B8148" s="11"/>
    </row>
    <row r="8149" spans="2:2" x14ac:dyDescent="0.25">
      <c r="B8149" s="11"/>
    </row>
    <row r="8150" spans="2:2" x14ac:dyDescent="0.25">
      <c r="B8150" s="11"/>
    </row>
    <row r="8151" spans="2:2" x14ac:dyDescent="0.25">
      <c r="B8151" s="11"/>
    </row>
    <row r="8152" spans="2:2" x14ac:dyDescent="0.25">
      <c r="B8152" s="11"/>
    </row>
    <row r="8153" spans="2:2" x14ac:dyDescent="0.25">
      <c r="B8153" s="11"/>
    </row>
    <row r="8154" spans="2:2" x14ac:dyDescent="0.25">
      <c r="B8154" s="11"/>
    </row>
    <row r="8155" spans="2:2" x14ac:dyDescent="0.25">
      <c r="B8155" s="11"/>
    </row>
    <row r="8156" spans="2:2" x14ac:dyDescent="0.25">
      <c r="B8156" s="11"/>
    </row>
    <row r="8157" spans="2:2" x14ac:dyDescent="0.25">
      <c r="B8157" s="11"/>
    </row>
    <row r="8158" spans="2:2" x14ac:dyDescent="0.25">
      <c r="B8158" s="11"/>
    </row>
    <row r="8159" spans="2:2" x14ac:dyDescent="0.25">
      <c r="B8159" s="11"/>
    </row>
    <row r="8160" spans="2:2" x14ac:dyDescent="0.25">
      <c r="B8160" s="11"/>
    </row>
    <row r="8161" spans="2:2" x14ac:dyDescent="0.25">
      <c r="B8161" s="11"/>
    </row>
    <row r="8162" spans="2:2" x14ac:dyDescent="0.25">
      <c r="B8162" s="11"/>
    </row>
    <row r="8163" spans="2:2" x14ac:dyDescent="0.25">
      <c r="B8163" s="11"/>
    </row>
    <row r="8164" spans="2:2" x14ac:dyDescent="0.25">
      <c r="B8164" s="11"/>
    </row>
    <row r="8165" spans="2:2" x14ac:dyDescent="0.25">
      <c r="B8165" s="11"/>
    </row>
    <row r="8166" spans="2:2" x14ac:dyDescent="0.25">
      <c r="B8166" s="11"/>
    </row>
    <row r="8167" spans="2:2" x14ac:dyDescent="0.25">
      <c r="B8167" s="11"/>
    </row>
    <row r="8168" spans="2:2" x14ac:dyDescent="0.25">
      <c r="B8168" s="11"/>
    </row>
    <row r="8169" spans="2:2" x14ac:dyDescent="0.25">
      <c r="B8169" s="11"/>
    </row>
    <row r="8170" spans="2:2" x14ac:dyDescent="0.25">
      <c r="B8170" s="11"/>
    </row>
    <row r="8171" spans="2:2" x14ac:dyDescent="0.25">
      <c r="B8171" s="11"/>
    </row>
    <row r="8172" spans="2:2" x14ac:dyDescent="0.25">
      <c r="B8172" s="11"/>
    </row>
    <row r="8173" spans="2:2" x14ac:dyDescent="0.25">
      <c r="B8173" s="11"/>
    </row>
    <row r="8174" spans="2:2" x14ac:dyDescent="0.25">
      <c r="B8174" s="11"/>
    </row>
    <row r="8175" spans="2:2" x14ac:dyDescent="0.25">
      <c r="B8175" s="11"/>
    </row>
    <row r="8176" spans="2:2" x14ac:dyDescent="0.25">
      <c r="B8176" s="11"/>
    </row>
    <row r="8177" spans="2:2" x14ac:dyDescent="0.25">
      <c r="B8177" s="11"/>
    </row>
    <row r="8178" spans="2:2" x14ac:dyDescent="0.25">
      <c r="B8178" s="11"/>
    </row>
    <row r="8179" spans="2:2" x14ac:dyDescent="0.25">
      <c r="B8179" s="11"/>
    </row>
    <row r="8180" spans="2:2" x14ac:dyDescent="0.25">
      <c r="B8180" s="11"/>
    </row>
    <row r="8181" spans="2:2" x14ac:dyDescent="0.25">
      <c r="B8181" s="11"/>
    </row>
    <row r="8182" spans="2:2" x14ac:dyDescent="0.25">
      <c r="B8182" s="11"/>
    </row>
    <row r="8183" spans="2:2" x14ac:dyDescent="0.25">
      <c r="B8183" s="11"/>
    </row>
    <row r="8184" spans="2:2" x14ac:dyDescent="0.25">
      <c r="B8184" s="11"/>
    </row>
    <row r="8185" spans="2:2" x14ac:dyDescent="0.25">
      <c r="B8185" s="11"/>
    </row>
    <row r="8186" spans="2:2" x14ac:dyDescent="0.25">
      <c r="B8186" s="11"/>
    </row>
    <row r="8187" spans="2:2" x14ac:dyDescent="0.25">
      <c r="B8187" s="11"/>
    </row>
    <row r="8188" spans="2:2" x14ac:dyDescent="0.25">
      <c r="B8188" s="11"/>
    </row>
    <row r="8189" spans="2:2" x14ac:dyDescent="0.25">
      <c r="B8189" s="11"/>
    </row>
    <row r="8190" spans="2:2" x14ac:dyDescent="0.25">
      <c r="B8190" s="11"/>
    </row>
    <row r="8191" spans="2:2" x14ac:dyDescent="0.25">
      <c r="B8191" s="11"/>
    </row>
    <row r="8192" spans="2:2" x14ac:dyDescent="0.25">
      <c r="B8192" s="11"/>
    </row>
    <row r="8193" spans="2:2" x14ac:dyDescent="0.25">
      <c r="B8193" s="11"/>
    </row>
    <row r="8194" spans="2:2" x14ac:dyDescent="0.25">
      <c r="B8194" s="11"/>
    </row>
    <row r="8195" spans="2:2" x14ac:dyDescent="0.25">
      <c r="B8195" s="11"/>
    </row>
    <row r="8196" spans="2:2" x14ac:dyDescent="0.25">
      <c r="B8196" s="11"/>
    </row>
    <row r="8197" spans="2:2" x14ac:dyDescent="0.25">
      <c r="B8197" s="11"/>
    </row>
    <row r="8198" spans="2:2" x14ac:dyDescent="0.25">
      <c r="B8198" s="11"/>
    </row>
    <row r="8199" spans="2:2" x14ac:dyDescent="0.25">
      <c r="B8199" s="11"/>
    </row>
    <row r="8200" spans="2:2" x14ac:dyDescent="0.25">
      <c r="B8200" s="11"/>
    </row>
    <row r="8201" spans="2:2" x14ac:dyDescent="0.25">
      <c r="B8201" s="11"/>
    </row>
    <row r="8202" spans="2:2" x14ac:dyDescent="0.25">
      <c r="B8202" s="11"/>
    </row>
    <row r="8203" spans="2:2" x14ac:dyDescent="0.25">
      <c r="B8203" s="11"/>
    </row>
    <row r="8204" spans="2:2" x14ac:dyDescent="0.25">
      <c r="B8204" s="11"/>
    </row>
    <row r="8205" spans="2:2" x14ac:dyDescent="0.25">
      <c r="B8205" s="11"/>
    </row>
    <row r="8206" spans="2:2" x14ac:dyDescent="0.25">
      <c r="B8206" s="11"/>
    </row>
    <row r="8207" spans="2:2" x14ac:dyDescent="0.25">
      <c r="B8207" s="11"/>
    </row>
    <row r="8208" spans="2:2" x14ac:dyDescent="0.25">
      <c r="B8208" s="11"/>
    </row>
    <row r="8209" spans="2:2" x14ac:dyDescent="0.25">
      <c r="B8209" s="11"/>
    </row>
    <row r="8210" spans="2:2" x14ac:dyDescent="0.25">
      <c r="B8210" s="11"/>
    </row>
    <row r="8211" spans="2:2" x14ac:dyDescent="0.25">
      <c r="B8211" s="11"/>
    </row>
    <row r="8212" spans="2:2" x14ac:dyDescent="0.25">
      <c r="B8212" s="11"/>
    </row>
    <row r="8213" spans="2:2" x14ac:dyDescent="0.25">
      <c r="B8213" s="11"/>
    </row>
    <row r="8214" spans="2:2" x14ac:dyDescent="0.25">
      <c r="B8214" s="11"/>
    </row>
    <row r="8215" spans="2:2" x14ac:dyDescent="0.25">
      <c r="B8215" s="11"/>
    </row>
    <row r="8216" spans="2:2" x14ac:dyDescent="0.25">
      <c r="B8216" s="11"/>
    </row>
    <row r="8217" spans="2:2" x14ac:dyDescent="0.25">
      <c r="B8217" s="11"/>
    </row>
    <row r="8218" spans="2:2" x14ac:dyDescent="0.25">
      <c r="B8218" s="11"/>
    </row>
    <row r="8219" spans="2:2" x14ac:dyDescent="0.25">
      <c r="B8219" s="11"/>
    </row>
    <row r="8220" spans="2:2" x14ac:dyDescent="0.25">
      <c r="B8220" s="11"/>
    </row>
    <row r="8221" spans="2:2" x14ac:dyDescent="0.25">
      <c r="B8221" s="11"/>
    </row>
    <row r="8222" spans="2:2" x14ac:dyDescent="0.25">
      <c r="B8222" s="11"/>
    </row>
    <row r="8223" spans="2:2" x14ac:dyDescent="0.25">
      <c r="B8223" s="11"/>
    </row>
    <row r="8224" spans="2:2" x14ac:dyDescent="0.25">
      <c r="B8224" s="11"/>
    </row>
    <row r="8225" spans="2:2" x14ac:dyDescent="0.25">
      <c r="B8225" s="11"/>
    </row>
    <row r="8226" spans="2:2" x14ac:dyDescent="0.25">
      <c r="B8226" s="11"/>
    </row>
    <row r="8227" spans="2:2" x14ac:dyDescent="0.25">
      <c r="B8227" s="11"/>
    </row>
    <row r="8228" spans="2:2" x14ac:dyDescent="0.25">
      <c r="B8228" s="11"/>
    </row>
    <row r="8229" spans="2:2" x14ac:dyDescent="0.25">
      <c r="B8229" s="11"/>
    </row>
    <row r="8230" spans="2:2" x14ac:dyDescent="0.25">
      <c r="B8230" s="11"/>
    </row>
    <row r="8231" spans="2:2" x14ac:dyDescent="0.25">
      <c r="B8231" s="11"/>
    </row>
    <row r="8232" spans="2:2" x14ac:dyDescent="0.25">
      <c r="B8232" s="11"/>
    </row>
    <row r="8233" spans="2:2" x14ac:dyDescent="0.25">
      <c r="B8233" s="11"/>
    </row>
    <row r="8234" spans="2:2" x14ac:dyDescent="0.25">
      <c r="B8234" s="11"/>
    </row>
    <row r="8235" spans="2:2" x14ac:dyDescent="0.25">
      <c r="B8235" s="11"/>
    </row>
    <row r="8236" spans="2:2" x14ac:dyDescent="0.25">
      <c r="B8236" s="11"/>
    </row>
    <row r="8237" spans="2:2" x14ac:dyDescent="0.25">
      <c r="B8237" s="11"/>
    </row>
    <row r="8238" spans="2:2" x14ac:dyDescent="0.25">
      <c r="B8238" s="11"/>
    </row>
    <row r="8239" spans="2:2" x14ac:dyDescent="0.25">
      <c r="B8239" s="11"/>
    </row>
    <row r="8240" spans="2:2" x14ac:dyDescent="0.25">
      <c r="B8240" s="11"/>
    </row>
    <row r="8241" spans="2:2" x14ac:dyDescent="0.25">
      <c r="B8241" s="11"/>
    </row>
    <row r="8242" spans="2:2" x14ac:dyDescent="0.25">
      <c r="B8242" s="11"/>
    </row>
    <row r="8243" spans="2:2" x14ac:dyDescent="0.25">
      <c r="B8243" s="11"/>
    </row>
    <row r="8244" spans="2:2" x14ac:dyDescent="0.25">
      <c r="B8244" s="11"/>
    </row>
    <row r="8245" spans="2:2" x14ac:dyDescent="0.25">
      <c r="B8245" s="11"/>
    </row>
    <row r="8246" spans="2:2" x14ac:dyDescent="0.25">
      <c r="B8246" s="11"/>
    </row>
    <row r="8247" spans="2:2" x14ac:dyDescent="0.25">
      <c r="B8247" s="11"/>
    </row>
    <row r="8248" spans="2:2" x14ac:dyDescent="0.25">
      <c r="B8248" s="11"/>
    </row>
    <row r="8249" spans="2:2" x14ac:dyDescent="0.25">
      <c r="B8249" s="11"/>
    </row>
    <row r="8250" spans="2:2" x14ac:dyDescent="0.25">
      <c r="B8250" s="11"/>
    </row>
    <row r="8251" spans="2:2" x14ac:dyDescent="0.25">
      <c r="B8251" s="11"/>
    </row>
    <row r="8252" spans="2:2" x14ac:dyDescent="0.25">
      <c r="B8252" s="11"/>
    </row>
    <row r="8253" spans="2:2" x14ac:dyDescent="0.25">
      <c r="B8253" s="11"/>
    </row>
    <row r="8254" spans="2:2" x14ac:dyDescent="0.25">
      <c r="B8254" s="11"/>
    </row>
    <row r="8255" spans="2:2" x14ac:dyDescent="0.25">
      <c r="B8255" s="11"/>
    </row>
    <row r="8256" spans="2:2" x14ac:dyDescent="0.25">
      <c r="B8256" s="11"/>
    </row>
    <row r="8257" spans="2:2" x14ac:dyDescent="0.25">
      <c r="B8257" s="11"/>
    </row>
    <row r="8258" spans="2:2" x14ac:dyDescent="0.25">
      <c r="B8258" s="11"/>
    </row>
    <row r="8259" spans="2:2" x14ac:dyDescent="0.25">
      <c r="B8259" s="11"/>
    </row>
    <row r="8260" spans="2:2" x14ac:dyDescent="0.25">
      <c r="B8260" s="11"/>
    </row>
    <row r="8261" spans="2:2" x14ac:dyDescent="0.25">
      <c r="B8261" s="11"/>
    </row>
    <row r="8262" spans="2:2" x14ac:dyDescent="0.25">
      <c r="B8262" s="11"/>
    </row>
    <row r="8263" spans="2:2" x14ac:dyDescent="0.25">
      <c r="B8263" s="11"/>
    </row>
    <row r="8264" spans="2:2" x14ac:dyDescent="0.25">
      <c r="B8264" s="11"/>
    </row>
    <row r="8265" spans="2:2" x14ac:dyDescent="0.25">
      <c r="B8265" s="11"/>
    </row>
    <row r="8266" spans="2:2" x14ac:dyDescent="0.25">
      <c r="B8266" s="11"/>
    </row>
    <row r="8267" spans="2:2" x14ac:dyDescent="0.25">
      <c r="B8267" s="11"/>
    </row>
    <row r="8268" spans="2:2" x14ac:dyDescent="0.25">
      <c r="B8268" s="11"/>
    </row>
    <row r="8269" spans="2:2" x14ac:dyDescent="0.25">
      <c r="B8269" s="11"/>
    </row>
    <row r="8270" spans="2:2" x14ac:dyDescent="0.25">
      <c r="B8270" s="11"/>
    </row>
    <row r="8271" spans="2:2" x14ac:dyDescent="0.25">
      <c r="B8271" s="11"/>
    </row>
    <row r="8272" spans="2:2" x14ac:dyDescent="0.25">
      <c r="B8272" s="11"/>
    </row>
    <row r="8273" spans="2:2" x14ac:dyDescent="0.25">
      <c r="B8273" s="11"/>
    </row>
    <row r="8274" spans="2:2" x14ac:dyDescent="0.25">
      <c r="B8274" s="11"/>
    </row>
    <row r="8275" spans="2:2" x14ac:dyDescent="0.25">
      <c r="B8275" s="11"/>
    </row>
    <row r="8276" spans="2:2" x14ac:dyDescent="0.25">
      <c r="B8276" s="11"/>
    </row>
    <row r="8277" spans="2:2" x14ac:dyDescent="0.25">
      <c r="B8277" s="11"/>
    </row>
    <row r="8278" spans="2:2" x14ac:dyDescent="0.25">
      <c r="B8278" s="11"/>
    </row>
    <row r="8279" spans="2:2" x14ac:dyDescent="0.25">
      <c r="B8279" s="11"/>
    </row>
    <row r="8280" spans="2:2" x14ac:dyDescent="0.25">
      <c r="B8280" s="11"/>
    </row>
    <row r="8281" spans="2:2" x14ac:dyDescent="0.25">
      <c r="B8281" s="11"/>
    </row>
    <row r="8282" spans="2:2" x14ac:dyDescent="0.25">
      <c r="B8282" s="11"/>
    </row>
    <row r="8283" spans="2:2" x14ac:dyDescent="0.25">
      <c r="B8283" s="11"/>
    </row>
    <row r="8284" spans="2:2" x14ac:dyDescent="0.25">
      <c r="B8284" s="11"/>
    </row>
    <row r="8285" spans="2:2" x14ac:dyDescent="0.25">
      <c r="B8285" s="11"/>
    </row>
    <row r="8286" spans="2:2" x14ac:dyDescent="0.25">
      <c r="B8286" s="11"/>
    </row>
    <row r="8287" spans="2:2" x14ac:dyDescent="0.25">
      <c r="B8287" s="11"/>
    </row>
    <row r="8288" spans="2:2" x14ac:dyDescent="0.25">
      <c r="B8288" s="11"/>
    </row>
    <row r="8289" spans="2:2" x14ac:dyDescent="0.25">
      <c r="B8289" s="11"/>
    </row>
    <row r="8290" spans="2:2" x14ac:dyDescent="0.25">
      <c r="B8290" s="11"/>
    </row>
    <row r="8291" spans="2:2" x14ac:dyDescent="0.25">
      <c r="B8291" s="11"/>
    </row>
    <row r="8292" spans="2:2" x14ac:dyDescent="0.25">
      <c r="B8292" s="11"/>
    </row>
    <row r="8293" spans="2:2" x14ac:dyDescent="0.25">
      <c r="B8293" s="11"/>
    </row>
    <row r="8294" spans="2:2" x14ac:dyDescent="0.25">
      <c r="B8294" s="11"/>
    </row>
    <row r="8295" spans="2:2" x14ac:dyDescent="0.25">
      <c r="B8295" s="11"/>
    </row>
    <row r="8296" spans="2:2" x14ac:dyDescent="0.25">
      <c r="B8296" s="11"/>
    </row>
    <row r="8297" spans="2:2" x14ac:dyDescent="0.25">
      <c r="B8297" s="11"/>
    </row>
    <row r="8298" spans="2:2" x14ac:dyDescent="0.25">
      <c r="B8298" s="11"/>
    </row>
    <row r="8299" spans="2:2" x14ac:dyDescent="0.25">
      <c r="B8299" s="11"/>
    </row>
    <row r="8300" spans="2:2" x14ac:dyDescent="0.25">
      <c r="B8300" s="11"/>
    </row>
    <row r="8301" spans="2:2" x14ac:dyDescent="0.25">
      <c r="B8301" s="11"/>
    </row>
    <row r="8302" spans="2:2" x14ac:dyDescent="0.25">
      <c r="B8302" s="11"/>
    </row>
    <row r="8303" spans="2:2" x14ac:dyDescent="0.25">
      <c r="B8303" s="11"/>
    </row>
    <row r="8304" spans="2:2" x14ac:dyDescent="0.25">
      <c r="B8304" s="11"/>
    </row>
    <row r="8305" spans="2:2" x14ac:dyDescent="0.25">
      <c r="B8305" s="11"/>
    </row>
    <row r="8306" spans="2:2" x14ac:dyDescent="0.25">
      <c r="B8306" s="11"/>
    </row>
    <row r="8307" spans="2:2" x14ac:dyDescent="0.25">
      <c r="B8307" s="11"/>
    </row>
    <row r="8308" spans="2:2" x14ac:dyDescent="0.25">
      <c r="B8308" s="11"/>
    </row>
    <row r="8309" spans="2:2" x14ac:dyDescent="0.25">
      <c r="B8309" s="11"/>
    </row>
    <row r="8310" spans="2:2" x14ac:dyDescent="0.25">
      <c r="B8310" s="11"/>
    </row>
    <row r="8311" spans="2:2" x14ac:dyDescent="0.25">
      <c r="B8311" s="11"/>
    </row>
    <row r="8312" spans="2:2" x14ac:dyDescent="0.25">
      <c r="B8312" s="11"/>
    </row>
    <row r="8313" spans="2:2" x14ac:dyDescent="0.25">
      <c r="B8313" s="11"/>
    </row>
    <row r="8314" spans="2:2" x14ac:dyDescent="0.25">
      <c r="B8314" s="11"/>
    </row>
    <row r="8315" spans="2:2" x14ac:dyDescent="0.25">
      <c r="B8315" s="11"/>
    </row>
    <row r="8316" spans="2:2" x14ac:dyDescent="0.25">
      <c r="B8316" s="11"/>
    </row>
    <row r="8317" spans="2:2" x14ac:dyDescent="0.25">
      <c r="B8317" s="11"/>
    </row>
    <row r="8318" spans="2:2" x14ac:dyDescent="0.25">
      <c r="B8318" s="11"/>
    </row>
    <row r="8319" spans="2:2" x14ac:dyDescent="0.25">
      <c r="B8319" s="11"/>
    </row>
    <row r="8320" spans="2:2" x14ac:dyDescent="0.25">
      <c r="B8320" s="11"/>
    </row>
    <row r="8321" spans="2:2" x14ac:dyDescent="0.25">
      <c r="B8321" s="11"/>
    </row>
    <row r="8322" spans="2:2" x14ac:dyDescent="0.25">
      <c r="B8322" s="11"/>
    </row>
    <row r="8323" spans="2:2" x14ac:dyDescent="0.25">
      <c r="B8323" s="11"/>
    </row>
    <row r="8324" spans="2:2" x14ac:dyDescent="0.25">
      <c r="B8324" s="11"/>
    </row>
    <row r="8325" spans="2:2" x14ac:dyDescent="0.25">
      <c r="B8325" s="11"/>
    </row>
    <row r="8326" spans="2:2" x14ac:dyDescent="0.25">
      <c r="B8326" s="11"/>
    </row>
    <row r="8327" spans="2:2" x14ac:dyDescent="0.25">
      <c r="B8327" s="11"/>
    </row>
    <row r="8328" spans="2:2" x14ac:dyDescent="0.25">
      <c r="B8328" s="11"/>
    </row>
    <row r="8329" spans="2:2" x14ac:dyDescent="0.25">
      <c r="B8329" s="11"/>
    </row>
    <row r="8330" spans="2:2" x14ac:dyDescent="0.25">
      <c r="B8330" s="11"/>
    </row>
    <row r="8331" spans="2:2" x14ac:dyDescent="0.25">
      <c r="B8331" s="11"/>
    </row>
    <row r="8332" spans="2:2" x14ac:dyDescent="0.25">
      <c r="B8332" s="11"/>
    </row>
    <row r="8333" spans="2:2" x14ac:dyDescent="0.25">
      <c r="B8333" s="11"/>
    </row>
    <row r="8334" spans="2:2" x14ac:dyDescent="0.25">
      <c r="B8334" s="11"/>
    </row>
    <row r="8335" spans="2:2" x14ac:dyDescent="0.25">
      <c r="B8335" s="11"/>
    </row>
    <row r="8336" spans="2:2" x14ac:dyDescent="0.25">
      <c r="B8336" s="11"/>
    </row>
    <row r="8337" spans="2:2" x14ac:dyDescent="0.25">
      <c r="B8337" s="11"/>
    </row>
    <row r="8338" spans="2:2" x14ac:dyDescent="0.25">
      <c r="B8338" s="11"/>
    </row>
    <row r="8339" spans="2:2" x14ac:dyDescent="0.25">
      <c r="B8339" s="11"/>
    </row>
    <row r="8340" spans="2:2" x14ac:dyDescent="0.25">
      <c r="B8340" s="11"/>
    </row>
    <row r="8341" spans="2:2" x14ac:dyDescent="0.25">
      <c r="B8341" s="11"/>
    </row>
    <row r="8342" spans="2:2" x14ac:dyDescent="0.25">
      <c r="B8342" s="11"/>
    </row>
    <row r="8343" spans="2:2" x14ac:dyDescent="0.25">
      <c r="B8343" s="11"/>
    </row>
    <row r="8344" spans="2:2" x14ac:dyDescent="0.25">
      <c r="B8344" s="11"/>
    </row>
    <row r="8345" spans="2:2" x14ac:dyDescent="0.25">
      <c r="B8345" s="11"/>
    </row>
    <row r="8346" spans="2:2" x14ac:dyDescent="0.25">
      <c r="B8346" s="11"/>
    </row>
    <row r="8347" spans="2:2" x14ac:dyDescent="0.25">
      <c r="B8347" s="11"/>
    </row>
    <row r="8348" spans="2:2" x14ac:dyDescent="0.25">
      <c r="B8348" s="11"/>
    </row>
    <row r="8349" spans="2:2" x14ac:dyDescent="0.25">
      <c r="B8349" s="11"/>
    </row>
    <row r="8350" spans="2:2" x14ac:dyDescent="0.25">
      <c r="B8350" s="11"/>
    </row>
    <row r="8351" spans="2:2" x14ac:dyDescent="0.25">
      <c r="B8351" s="11"/>
    </row>
    <row r="8352" spans="2:2" x14ac:dyDescent="0.25">
      <c r="B8352" s="11"/>
    </row>
    <row r="8353" spans="2:2" x14ac:dyDescent="0.25">
      <c r="B8353" s="11"/>
    </row>
    <row r="8354" spans="2:2" x14ac:dyDescent="0.25">
      <c r="B8354" s="11"/>
    </row>
    <row r="8355" spans="2:2" x14ac:dyDescent="0.25">
      <c r="B8355" s="11"/>
    </row>
    <row r="8356" spans="2:2" x14ac:dyDescent="0.25">
      <c r="B8356" s="11"/>
    </row>
    <row r="8357" spans="2:2" x14ac:dyDescent="0.25">
      <c r="B8357" s="11"/>
    </row>
    <row r="8358" spans="2:2" x14ac:dyDescent="0.25">
      <c r="B8358" s="11"/>
    </row>
    <row r="8359" spans="2:2" x14ac:dyDescent="0.25">
      <c r="B8359" s="11"/>
    </row>
    <row r="8360" spans="2:2" x14ac:dyDescent="0.25">
      <c r="B8360" s="11"/>
    </row>
    <row r="8361" spans="2:2" x14ac:dyDescent="0.25">
      <c r="B8361" s="11"/>
    </row>
    <row r="8362" spans="2:2" x14ac:dyDescent="0.25">
      <c r="B8362" s="11"/>
    </row>
    <row r="8363" spans="2:2" x14ac:dyDescent="0.25">
      <c r="B8363" s="11"/>
    </row>
    <row r="8364" spans="2:2" x14ac:dyDescent="0.25">
      <c r="B8364" s="11"/>
    </row>
    <row r="8365" spans="2:2" x14ac:dyDescent="0.25">
      <c r="B8365" s="11"/>
    </row>
    <row r="8366" spans="2:2" x14ac:dyDescent="0.25">
      <c r="B8366" s="11"/>
    </row>
    <row r="8367" spans="2:2" x14ac:dyDescent="0.25">
      <c r="B8367" s="11"/>
    </row>
    <row r="8368" spans="2:2" x14ac:dyDescent="0.25">
      <c r="B8368" s="11"/>
    </row>
    <row r="8369" spans="2:2" x14ac:dyDescent="0.25">
      <c r="B8369" s="11"/>
    </row>
    <row r="8370" spans="2:2" x14ac:dyDescent="0.25">
      <c r="B8370" s="11"/>
    </row>
    <row r="8371" spans="2:2" x14ac:dyDescent="0.25">
      <c r="B8371" s="11"/>
    </row>
    <row r="8372" spans="2:2" x14ac:dyDescent="0.25">
      <c r="B8372" s="11"/>
    </row>
    <row r="8373" spans="2:2" x14ac:dyDescent="0.25">
      <c r="B8373" s="11"/>
    </row>
    <row r="8374" spans="2:2" x14ac:dyDescent="0.25">
      <c r="B8374" s="11"/>
    </row>
    <row r="8375" spans="2:2" x14ac:dyDescent="0.25">
      <c r="B8375" s="11"/>
    </row>
    <row r="8376" spans="2:2" x14ac:dyDescent="0.25">
      <c r="B8376" s="11"/>
    </row>
    <row r="8377" spans="2:2" x14ac:dyDescent="0.25">
      <c r="B8377" s="11"/>
    </row>
    <row r="8378" spans="2:2" x14ac:dyDescent="0.25">
      <c r="B8378" s="11"/>
    </row>
    <row r="8379" spans="2:2" x14ac:dyDescent="0.25">
      <c r="B8379" s="11"/>
    </row>
    <row r="8380" spans="2:2" x14ac:dyDescent="0.25">
      <c r="B8380" s="11"/>
    </row>
    <row r="8381" spans="2:2" x14ac:dyDescent="0.25">
      <c r="B8381" s="11"/>
    </row>
    <row r="8382" spans="2:2" x14ac:dyDescent="0.25">
      <c r="B8382" s="11"/>
    </row>
    <row r="8383" spans="2:2" x14ac:dyDescent="0.25">
      <c r="B8383" s="11"/>
    </row>
    <row r="8384" spans="2:2" x14ac:dyDescent="0.25">
      <c r="B8384" s="11"/>
    </row>
    <row r="8385" spans="2:2" x14ac:dyDescent="0.25">
      <c r="B8385" s="11"/>
    </row>
    <row r="8386" spans="2:2" x14ac:dyDescent="0.25">
      <c r="B8386" s="11"/>
    </row>
    <row r="8387" spans="2:2" x14ac:dyDescent="0.25">
      <c r="B8387" s="11"/>
    </row>
    <row r="8388" spans="2:2" x14ac:dyDescent="0.25">
      <c r="B8388" s="11"/>
    </row>
    <row r="8389" spans="2:2" x14ac:dyDescent="0.25">
      <c r="B8389" s="11"/>
    </row>
    <row r="8390" spans="2:2" x14ac:dyDescent="0.25">
      <c r="B8390" s="11"/>
    </row>
    <row r="8391" spans="2:2" x14ac:dyDescent="0.25">
      <c r="B8391" s="11"/>
    </row>
    <row r="8392" spans="2:2" x14ac:dyDescent="0.25">
      <c r="B8392" s="11"/>
    </row>
    <row r="8393" spans="2:2" x14ac:dyDescent="0.25">
      <c r="B8393" s="11"/>
    </row>
    <row r="8394" spans="2:2" x14ac:dyDescent="0.25">
      <c r="B8394" s="11"/>
    </row>
    <row r="8395" spans="2:2" x14ac:dyDescent="0.25">
      <c r="B8395" s="11"/>
    </row>
    <row r="8396" spans="2:2" x14ac:dyDescent="0.25">
      <c r="B8396" s="11"/>
    </row>
    <row r="8397" spans="2:2" x14ac:dyDescent="0.25">
      <c r="B8397" s="11"/>
    </row>
    <row r="8398" spans="2:2" x14ac:dyDescent="0.25">
      <c r="B8398" s="11"/>
    </row>
    <row r="8399" spans="2:2" x14ac:dyDescent="0.25">
      <c r="B8399" s="11"/>
    </row>
    <row r="8400" spans="2:2" x14ac:dyDescent="0.25">
      <c r="B8400" s="11"/>
    </row>
    <row r="8401" spans="2:2" x14ac:dyDescent="0.25">
      <c r="B8401" s="11"/>
    </row>
    <row r="8402" spans="2:2" x14ac:dyDescent="0.25">
      <c r="B8402" s="11"/>
    </row>
    <row r="8403" spans="2:2" x14ac:dyDescent="0.25">
      <c r="B8403" s="11"/>
    </row>
    <row r="8404" spans="2:2" x14ac:dyDescent="0.25">
      <c r="B8404" s="11"/>
    </row>
    <row r="8405" spans="2:2" x14ac:dyDescent="0.25">
      <c r="B8405" s="11"/>
    </row>
    <row r="8406" spans="2:2" x14ac:dyDescent="0.25">
      <c r="B8406" s="11"/>
    </row>
    <row r="8407" spans="2:2" x14ac:dyDescent="0.25">
      <c r="B8407" s="11"/>
    </row>
    <row r="8408" spans="2:2" x14ac:dyDescent="0.25">
      <c r="B8408" s="11"/>
    </row>
    <row r="8409" spans="2:2" x14ac:dyDescent="0.25">
      <c r="B8409" s="11"/>
    </row>
    <row r="8410" spans="2:2" x14ac:dyDescent="0.25">
      <c r="B8410" s="11"/>
    </row>
    <row r="8411" spans="2:2" x14ac:dyDescent="0.25">
      <c r="B8411" s="11"/>
    </row>
    <row r="8412" spans="2:2" x14ac:dyDescent="0.25">
      <c r="B8412" s="11"/>
    </row>
    <row r="8413" spans="2:2" x14ac:dyDescent="0.25">
      <c r="B8413" s="11"/>
    </row>
    <row r="8414" spans="2:2" x14ac:dyDescent="0.25">
      <c r="B8414" s="11"/>
    </row>
    <row r="8415" spans="2:2" x14ac:dyDescent="0.25">
      <c r="B8415" s="11"/>
    </row>
    <row r="8416" spans="2:2" x14ac:dyDescent="0.25">
      <c r="B8416" s="11"/>
    </row>
    <row r="8417" spans="2:2" x14ac:dyDescent="0.25">
      <c r="B8417" s="11"/>
    </row>
    <row r="8418" spans="2:2" x14ac:dyDescent="0.25">
      <c r="B8418" s="11"/>
    </row>
    <row r="8419" spans="2:2" x14ac:dyDescent="0.25">
      <c r="B8419" s="11"/>
    </row>
    <row r="8420" spans="2:2" x14ac:dyDescent="0.25">
      <c r="B8420" s="11"/>
    </row>
    <row r="8421" spans="2:2" x14ac:dyDescent="0.25">
      <c r="B8421" s="11"/>
    </row>
    <row r="8422" spans="2:2" x14ac:dyDescent="0.25">
      <c r="B8422" s="11"/>
    </row>
    <row r="8423" spans="2:2" x14ac:dyDescent="0.25">
      <c r="B8423" s="11"/>
    </row>
    <row r="8424" spans="2:2" x14ac:dyDescent="0.25">
      <c r="B8424" s="11"/>
    </row>
    <row r="8425" spans="2:2" x14ac:dyDescent="0.25">
      <c r="B8425" s="11"/>
    </row>
    <row r="8426" spans="2:2" x14ac:dyDescent="0.25">
      <c r="B8426" s="11"/>
    </row>
    <row r="8427" spans="2:2" x14ac:dyDescent="0.25">
      <c r="B8427" s="11"/>
    </row>
    <row r="8428" spans="2:2" x14ac:dyDescent="0.25">
      <c r="B8428" s="11"/>
    </row>
    <row r="8429" spans="2:2" x14ac:dyDescent="0.25">
      <c r="B8429" s="11"/>
    </row>
    <row r="8430" spans="2:2" x14ac:dyDescent="0.25">
      <c r="B8430" s="11"/>
    </row>
    <row r="8431" spans="2:2" x14ac:dyDescent="0.25">
      <c r="B8431" s="11"/>
    </row>
    <row r="8432" spans="2:2" x14ac:dyDescent="0.25">
      <c r="B8432" s="11"/>
    </row>
    <row r="8433" spans="2:2" x14ac:dyDescent="0.25">
      <c r="B8433" s="11"/>
    </row>
    <row r="8434" spans="2:2" x14ac:dyDescent="0.25">
      <c r="B8434" s="11"/>
    </row>
    <row r="8435" spans="2:2" x14ac:dyDescent="0.25">
      <c r="B8435" s="11"/>
    </row>
    <row r="8436" spans="2:2" x14ac:dyDescent="0.25">
      <c r="B8436" s="11"/>
    </row>
    <row r="8437" spans="2:2" x14ac:dyDescent="0.25">
      <c r="B8437" s="11"/>
    </row>
    <row r="8438" spans="2:2" x14ac:dyDescent="0.25">
      <c r="B8438" s="11"/>
    </row>
    <row r="8439" spans="2:2" x14ac:dyDescent="0.25">
      <c r="B8439" s="11"/>
    </row>
    <row r="8440" spans="2:2" x14ac:dyDescent="0.25">
      <c r="B8440" s="11"/>
    </row>
    <row r="8441" spans="2:2" x14ac:dyDescent="0.25">
      <c r="B8441" s="11"/>
    </row>
    <row r="8442" spans="2:2" x14ac:dyDescent="0.25">
      <c r="B8442" s="11"/>
    </row>
    <row r="8443" spans="2:2" x14ac:dyDescent="0.25">
      <c r="B8443" s="11"/>
    </row>
    <row r="8444" spans="2:2" x14ac:dyDescent="0.25">
      <c r="B8444" s="11"/>
    </row>
    <row r="8445" spans="2:2" x14ac:dyDescent="0.25">
      <c r="B8445" s="11"/>
    </row>
    <row r="8446" spans="2:2" x14ac:dyDescent="0.25">
      <c r="B8446" s="11"/>
    </row>
    <row r="8447" spans="2:2" x14ac:dyDescent="0.25">
      <c r="B8447" s="11"/>
    </row>
    <row r="8448" spans="2:2" x14ac:dyDescent="0.25">
      <c r="B8448" s="11"/>
    </row>
    <row r="8449" spans="2:2" x14ac:dyDescent="0.25">
      <c r="B8449" s="11"/>
    </row>
    <row r="8450" spans="2:2" x14ac:dyDescent="0.25">
      <c r="B8450" s="11"/>
    </row>
    <row r="8451" spans="2:2" x14ac:dyDescent="0.25">
      <c r="B8451" s="11"/>
    </row>
    <row r="8452" spans="2:2" x14ac:dyDescent="0.25">
      <c r="B8452" s="11"/>
    </row>
    <row r="8453" spans="2:2" x14ac:dyDescent="0.25">
      <c r="B8453" s="11"/>
    </row>
    <row r="8454" spans="2:2" x14ac:dyDescent="0.25">
      <c r="B8454" s="11"/>
    </row>
    <row r="8455" spans="2:2" x14ac:dyDescent="0.25">
      <c r="B8455" s="11"/>
    </row>
    <row r="8456" spans="2:2" x14ac:dyDescent="0.25">
      <c r="B8456" s="11"/>
    </row>
    <row r="8457" spans="2:2" x14ac:dyDescent="0.25">
      <c r="B8457" s="11"/>
    </row>
    <row r="8458" spans="2:2" x14ac:dyDescent="0.25">
      <c r="B8458" s="11"/>
    </row>
    <row r="8459" spans="2:2" x14ac:dyDescent="0.25">
      <c r="B8459" s="11"/>
    </row>
    <row r="8460" spans="2:2" x14ac:dyDescent="0.25">
      <c r="B8460" s="11"/>
    </row>
    <row r="8461" spans="2:2" x14ac:dyDescent="0.25">
      <c r="B8461" s="11"/>
    </row>
    <row r="8462" spans="2:2" x14ac:dyDescent="0.25">
      <c r="B8462" s="11"/>
    </row>
    <row r="8463" spans="2:2" x14ac:dyDescent="0.25">
      <c r="B8463" s="11"/>
    </row>
    <row r="8464" spans="2:2" x14ac:dyDescent="0.25">
      <c r="B8464" s="11"/>
    </row>
    <row r="8465" spans="2:2" x14ac:dyDescent="0.25">
      <c r="B8465" s="11"/>
    </row>
    <row r="8466" spans="2:2" x14ac:dyDescent="0.25">
      <c r="B8466" s="11"/>
    </row>
    <row r="8467" spans="2:2" x14ac:dyDescent="0.25">
      <c r="B8467" s="11"/>
    </row>
    <row r="8468" spans="2:2" x14ac:dyDescent="0.25">
      <c r="B8468" s="11"/>
    </row>
    <row r="8469" spans="2:2" x14ac:dyDescent="0.25">
      <c r="B8469" s="11"/>
    </row>
    <row r="8470" spans="2:2" x14ac:dyDescent="0.25">
      <c r="B8470" s="11"/>
    </row>
    <row r="8471" spans="2:2" x14ac:dyDescent="0.25">
      <c r="B8471" s="11"/>
    </row>
    <row r="8472" spans="2:2" x14ac:dyDescent="0.25">
      <c r="B8472" s="11"/>
    </row>
    <row r="8473" spans="2:2" x14ac:dyDescent="0.25">
      <c r="B8473" s="11"/>
    </row>
    <row r="8474" spans="2:2" x14ac:dyDescent="0.25">
      <c r="B8474" s="11"/>
    </row>
    <row r="8475" spans="2:2" x14ac:dyDescent="0.25">
      <c r="B8475" s="11"/>
    </row>
    <row r="8476" spans="2:2" x14ac:dyDescent="0.25">
      <c r="B8476" s="11"/>
    </row>
    <row r="8477" spans="2:2" x14ac:dyDescent="0.25">
      <c r="B8477" s="11"/>
    </row>
    <row r="8478" spans="2:2" x14ac:dyDescent="0.25">
      <c r="B8478" s="11"/>
    </row>
    <row r="8479" spans="2:2" x14ac:dyDescent="0.25">
      <c r="B8479" s="11"/>
    </row>
    <row r="8480" spans="2:2" x14ac:dyDescent="0.25">
      <c r="B8480" s="11"/>
    </row>
    <row r="8481" spans="2:2" x14ac:dyDescent="0.25">
      <c r="B8481" s="11"/>
    </row>
    <row r="8482" spans="2:2" x14ac:dyDescent="0.25">
      <c r="B8482" s="11"/>
    </row>
    <row r="8483" spans="2:2" x14ac:dyDescent="0.25">
      <c r="B8483" s="11"/>
    </row>
    <row r="8484" spans="2:2" x14ac:dyDescent="0.25">
      <c r="B8484" s="11"/>
    </row>
    <row r="8485" spans="2:2" x14ac:dyDescent="0.25">
      <c r="B8485" s="11"/>
    </row>
    <row r="8486" spans="2:2" x14ac:dyDescent="0.25">
      <c r="B8486" s="11"/>
    </row>
    <row r="8487" spans="2:2" x14ac:dyDescent="0.25">
      <c r="B8487" s="11"/>
    </row>
    <row r="8488" spans="2:2" x14ac:dyDescent="0.25">
      <c r="B8488" s="11"/>
    </row>
    <row r="8489" spans="2:2" x14ac:dyDescent="0.25">
      <c r="B8489" s="11"/>
    </row>
    <row r="8490" spans="2:2" x14ac:dyDescent="0.25">
      <c r="B8490" s="11"/>
    </row>
    <row r="8491" spans="2:2" x14ac:dyDescent="0.25">
      <c r="B8491" s="11"/>
    </row>
    <row r="8492" spans="2:2" x14ac:dyDescent="0.25">
      <c r="B8492" s="11"/>
    </row>
    <row r="8493" spans="2:2" x14ac:dyDescent="0.25">
      <c r="B8493" s="11"/>
    </row>
    <row r="8494" spans="2:2" x14ac:dyDescent="0.25">
      <c r="B8494" s="11"/>
    </row>
    <row r="8495" spans="2:2" x14ac:dyDescent="0.25">
      <c r="B8495" s="11"/>
    </row>
    <row r="8496" spans="2:2" x14ac:dyDescent="0.25">
      <c r="B8496" s="11"/>
    </row>
    <row r="8497" spans="2:2" x14ac:dyDescent="0.25">
      <c r="B8497" s="11"/>
    </row>
    <row r="8498" spans="2:2" x14ac:dyDescent="0.25">
      <c r="B8498" s="11"/>
    </row>
    <row r="8499" spans="2:2" x14ac:dyDescent="0.25">
      <c r="B8499" s="11"/>
    </row>
    <row r="8500" spans="2:2" x14ac:dyDescent="0.25">
      <c r="B8500" s="11"/>
    </row>
    <row r="8501" spans="2:2" x14ac:dyDescent="0.25">
      <c r="B8501" s="11"/>
    </row>
    <row r="8502" spans="2:2" x14ac:dyDescent="0.25">
      <c r="B8502" s="11"/>
    </row>
    <row r="8503" spans="2:2" x14ac:dyDescent="0.25">
      <c r="B8503" s="11"/>
    </row>
    <row r="8504" spans="2:2" x14ac:dyDescent="0.25">
      <c r="B8504" s="11"/>
    </row>
    <row r="8505" spans="2:2" x14ac:dyDescent="0.25">
      <c r="B8505" s="11"/>
    </row>
    <row r="8506" spans="2:2" x14ac:dyDescent="0.25">
      <c r="B8506" s="11"/>
    </row>
    <row r="8507" spans="2:2" x14ac:dyDescent="0.25">
      <c r="B8507" s="11"/>
    </row>
    <row r="8508" spans="2:2" x14ac:dyDescent="0.25">
      <c r="B8508" s="11"/>
    </row>
    <row r="8509" spans="2:2" x14ac:dyDescent="0.25">
      <c r="B8509" s="11"/>
    </row>
    <row r="8510" spans="2:2" x14ac:dyDescent="0.25">
      <c r="B8510" s="11"/>
    </row>
    <row r="8511" spans="2:2" x14ac:dyDescent="0.25">
      <c r="B8511" s="11"/>
    </row>
    <row r="8512" spans="2:2" x14ac:dyDescent="0.25">
      <c r="B8512" s="11"/>
    </row>
    <row r="8513" spans="2:2" x14ac:dyDescent="0.25">
      <c r="B8513" s="11"/>
    </row>
    <row r="8514" spans="2:2" x14ac:dyDescent="0.25">
      <c r="B8514" s="11"/>
    </row>
    <row r="8515" spans="2:2" x14ac:dyDescent="0.25">
      <c r="B8515" s="11"/>
    </row>
    <row r="8516" spans="2:2" x14ac:dyDescent="0.25">
      <c r="B8516" s="11"/>
    </row>
    <row r="8517" spans="2:2" x14ac:dyDescent="0.25">
      <c r="B8517" s="11"/>
    </row>
    <row r="8518" spans="2:2" x14ac:dyDescent="0.25">
      <c r="B8518" s="11"/>
    </row>
    <row r="8519" spans="2:2" x14ac:dyDescent="0.25">
      <c r="B8519" s="11"/>
    </row>
    <row r="8520" spans="2:2" x14ac:dyDescent="0.25">
      <c r="B8520" s="11"/>
    </row>
    <row r="8521" spans="2:2" x14ac:dyDescent="0.25">
      <c r="B8521" s="11"/>
    </row>
    <row r="8522" spans="2:2" x14ac:dyDescent="0.25">
      <c r="B8522" s="11"/>
    </row>
    <row r="8523" spans="2:2" x14ac:dyDescent="0.25">
      <c r="B8523" s="11"/>
    </row>
    <row r="8524" spans="2:2" x14ac:dyDescent="0.25">
      <c r="B8524" s="11"/>
    </row>
    <row r="8525" spans="2:2" x14ac:dyDescent="0.25">
      <c r="B8525" s="11"/>
    </row>
    <row r="8526" spans="2:2" x14ac:dyDescent="0.25">
      <c r="B8526" s="11"/>
    </row>
    <row r="8527" spans="2:2" x14ac:dyDescent="0.25">
      <c r="B8527" s="11"/>
    </row>
    <row r="8528" spans="2:2" x14ac:dyDescent="0.25">
      <c r="B8528" s="11"/>
    </row>
    <row r="8529" spans="2:2" x14ac:dyDescent="0.25">
      <c r="B8529" s="11"/>
    </row>
    <row r="8530" spans="2:2" x14ac:dyDescent="0.25">
      <c r="B8530" s="11"/>
    </row>
    <row r="8531" spans="2:2" x14ac:dyDescent="0.25">
      <c r="B8531" s="11"/>
    </row>
    <row r="8532" spans="2:2" x14ac:dyDescent="0.25">
      <c r="B8532" s="11"/>
    </row>
    <row r="8533" spans="2:2" x14ac:dyDescent="0.25">
      <c r="B8533" s="11"/>
    </row>
    <row r="8534" spans="2:2" x14ac:dyDescent="0.25">
      <c r="B8534" s="11"/>
    </row>
    <row r="8535" spans="2:2" x14ac:dyDescent="0.25">
      <c r="B8535" s="11"/>
    </row>
    <row r="8536" spans="2:2" x14ac:dyDescent="0.25">
      <c r="B8536" s="11"/>
    </row>
    <row r="8537" spans="2:2" x14ac:dyDescent="0.25">
      <c r="B8537" s="11"/>
    </row>
    <row r="8538" spans="2:2" x14ac:dyDescent="0.25">
      <c r="B8538" s="11"/>
    </row>
    <row r="8539" spans="2:2" x14ac:dyDescent="0.25">
      <c r="B8539" s="11"/>
    </row>
    <row r="8540" spans="2:2" x14ac:dyDescent="0.25">
      <c r="B8540" s="11"/>
    </row>
    <row r="8541" spans="2:2" x14ac:dyDescent="0.25">
      <c r="B8541" s="11"/>
    </row>
    <row r="8542" spans="2:2" x14ac:dyDescent="0.25">
      <c r="B8542" s="11"/>
    </row>
    <row r="8543" spans="2:2" x14ac:dyDescent="0.25">
      <c r="B8543" s="11"/>
    </row>
    <row r="8544" spans="2:2" x14ac:dyDescent="0.25">
      <c r="B8544" s="11"/>
    </row>
    <row r="8545" spans="2:2" x14ac:dyDescent="0.25">
      <c r="B8545" s="11"/>
    </row>
    <row r="8546" spans="2:2" x14ac:dyDescent="0.25">
      <c r="B8546" s="11"/>
    </row>
    <row r="8547" spans="2:2" x14ac:dyDescent="0.25">
      <c r="B8547" s="11"/>
    </row>
    <row r="8548" spans="2:2" x14ac:dyDescent="0.25">
      <c r="B8548" s="11"/>
    </row>
    <row r="8549" spans="2:2" x14ac:dyDescent="0.25">
      <c r="B8549" s="11"/>
    </row>
    <row r="8550" spans="2:2" x14ac:dyDescent="0.25">
      <c r="B8550" s="11"/>
    </row>
    <row r="8551" spans="2:2" x14ac:dyDescent="0.25">
      <c r="B8551" s="11"/>
    </row>
    <row r="8552" spans="2:2" x14ac:dyDescent="0.25">
      <c r="B8552" s="11"/>
    </row>
    <row r="8553" spans="2:2" x14ac:dyDescent="0.25">
      <c r="B8553" s="11"/>
    </row>
    <row r="8554" spans="2:2" x14ac:dyDescent="0.25">
      <c r="B8554" s="11"/>
    </row>
    <row r="8555" spans="2:2" x14ac:dyDescent="0.25">
      <c r="B8555" s="11"/>
    </row>
    <row r="8556" spans="2:2" x14ac:dyDescent="0.25">
      <c r="B8556" s="11"/>
    </row>
    <row r="8557" spans="2:2" x14ac:dyDescent="0.25">
      <c r="B8557" s="11"/>
    </row>
    <row r="8558" spans="2:2" x14ac:dyDescent="0.25">
      <c r="B8558" s="11"/>
    </row>
    <row r="8559" spans="2:2" x14ac:dyDescent="0.25">
      <c r="B8559" s="11"/>
    </row>
    <row r="8560" spans="2:2" x14ac:dyDescent="0.25">
      <c r="B8560" s="11"/>
    </row>
    <row r="8561" spans="2:2" x14ac:dyDescent="0.25">
      <c r="B8561" s="11"/>
    </row>
    <row r="8562" spans="2:2" x14ac:dyDescent="0.25">
      <c r="B8562" s="11"/>
    </row>
    <row r="8563" spans="2:2" x14ac:dyDescent="0.25">
      <c r="B8563" s="11"/>
    </row>
    <row r="8564" spans="2:2" x14ac:dyDescent="0.25">
      <c r="B8564" s="11"/>
    </row>
    <row r="8565" spans="2:2" x14ac:dyDescent="0.25">
      <c r="B8565" s="11"/>
    </row>
    <row r="8566" spans="2:2" x14ac:dyDescent="0.25">
      <c r="B8566" s="11"/>
    </row>
    <row r="8567" spans="2:2" x14ac:dyDescent="0.25">
      <c r="B8567" s="11"/>
    </row>
    <row r="8568" spans="2:2" x14ac:dyDescent="0.25">
      <c r="B8568" s="11"/>
    </row>
    <row r="8569" spans="2:2" x14ac:dyDescent="0.25">
      <c r="B8569" s="11"/>
    </row>
    <row r="8570" spans="2:2" x14ac:dyDescent="0.25">
      <c r="B8570" s="11"/>
    </row>
    <row r="8571" spans="2:2" x14ac:dyDescent="0.25">
      <c r="B8571" s="11"/>
    </row>
    <row r="8572" spans="2:2" x14ac:dyDescent="0.25">
      <c r="B8572" s="11"/>
    </row>
    <row r="8573" spans="2:2" x14ac:dyDescent="0.25">
      <c r="B8573" s="11"/>
    </row>
    <row r="8574" spans="2:2" x14ac:dyDescent="0.25">
      <c r="B8574" s="11"/>
    </row>
    <row r="8575" spans="2:2" x14ac:dyDescent="0.25">
      <c r="B8575" s="11"/>
    </row>
    <row r="8576" spans="2:2" x14ac:dyDescent="0.25">
      <c r="B8576" s="11"/>
    </row>
    <row r="8577" spans="2:2" x14ac:dyDescent="0.25">
      <c r="B8577" s="11"/>
    </row>
    <row r="8578" spans="2:2" x14ac:dyDescent="0.25">
      <c r="B8578" s="11"/>
    </row>
    <row r="8579" spans="2:2" x14ac:dyDescent="0.25">
      <c r="B8579" s="11"/>
    </row>
    <row r="8580" spans="2:2" x14ac:dyDescent="0.25">
      <c r="B8580" s="11"/>
    </row>
    <row r="8581" spans="2:2" x14ac:dyDescent="0.25">
      <c r="B8581" s="11"/>
    </row>
    <row r="8582" spans="2:2" x14ac:dyDescent="0.25">
      <c r="B8582" s="11"/>
    </row>
    <row r="8583" spans="2:2" x14ac:dyDescent="0.25">
      <c r="B8583" s="11"/>
    </row>
    <row r="8584" spans="2:2" x14ac:dyDescent="0.25">
      <c r="B8584" s="11"/>
    </row>
    <row r="8585" spans="2:2" x14ac:dyDescent="0.25">
      <c r="B8585" s="11"/>
    </row>
    <row r="8586" spans="2:2" x14ac:dyDescent="0.25">
      <c r="B8586" s="11"/>
    </row>
    <row r="8587" spans="2:2" x14ac:dyDescent="0.25">
      <c r="B8587" s="11"/>
    </row>
    <row r="8588" spans="2:2" x14ac:dyDescent="0.25">
      <c r="B8588" s="11"/>
    </row>
    <row r="8589" spans="2:2" x14ac:dyDescent="0.25">
      <c r="B8589" s="11"/>
    </row>
    <row r="8590" spans="2:2" x14ac:dyDescent="0.25">
      <c r="B8590" s="11"/>
    </row>
    <row r="8591" spans="2:2" x14ac:dyDescent="0.25">
      <c r="B8591" s="11"/>
    </row>
    <row r="8592" spans="2:2" x14ac:dyDescent="0.25">
      <c r="B8592" s="11"/>
    </row>
    <row r="8593" spans="2:2" x14ac:dyDescent="0.25">
      <c r="B8593" s="11"/>
    </row>
    <row r="8594" spans="2:2" x14ac:dyDescent="0.25">
      <c r="B8594" s="11"/>
    </row>
    <row r="8595" spans="2:2" x14ac:dyDescent="0.25">
      <c r="B8595" s="11"/>
    </row>
    <row r="8596" spans="2:2" x14ac:dyDescent="0.25">
      <c r="B8596" s="11"/>
    </row>
    <row r="8597" spans="2:2" x14ac:dyDescent="0.25">
      <c r="B8597" s="11"/>
    </row>
    <row r="8598" spans="2:2" x14ac:dyDescent="0.25">
      <c r="B8598" s="11"/>
    </row>
    <row r="8599" spans="2:2" x14ac:dyDescent="0.25">
      <c r="B8599" s="11"/>
    </row>
    <row r="8600" spans="2:2" x14ac:dyDescent="0.25">
      <c r="B8600" s="11"/>
    </row>
    <row r="8601" spans="2:2" x14ac:dyDescent="0.25">
      <c r="B8601" s="11"/>
    </row>
    <row r="8602" spans="2:2" x14ac:dyDescent="0.25">
      <c r="B8602" s="11"/>
    </row>
    <row r="8603" spans="2:2" x14ac:dyDescent="0.25">
      <c r="B8603" s="11"/>
    </row>
    <row r="8604" spans="2:2" x14ac:dyDescent="0.25">
      <c r="B8604" s="11"/>
    </row>
    <row r="8605" spans="2:2" x14ac:dyDescent="0.25">
      <c r="B8605" s="11"/>
    </row>
    <row r="8606" spans="2:2" x14ac:dyDescent="0.25">
      <c r="B8606" s="11"/>
    </row>
    <row r="8607" spans="2:2" x14ac:dyDescent="0.25">
      <c r="B8607" s="11"/>
    </row>
    <row r="8608" spans="2:2" x14ac:dyDescent="0.25">
      <c r="B8608" s="11"/>
    </row>
    <row r="8609" spans="2:2" x14ac:dyDescent="0.25">
      <c r="B8609" s="11"/>
    </row>
    <row r="8610" spans="2:2" x14ac:dyDescent="0.25">
      <c r="B8610" s="11"/>
    </row>
    <row r="8611" spans="2:2" x14ac:dyDescent="0.25">
      <c r="B8611" s="11"/>
    </row>
    <row r="8612" spans="2:2" x14ac:dyDescent="0.25">
      <c r="B8612" s="11"/>
    </row>
    <row r="8613" spans="2:2" x14ac:dyDescent="0.25">
      <c r="B8613" s="11"/>
    </row>
    <row r="8614" spans="2:2" x14ac:dyDescent="0.25">
      <c r="B8614" s="11"/>
    </row>
    <row r="8615" spans="2:2" x14ac:dyDescent="0.25">
      <c r="B8615" s="11"/>
    </row>
    <row r="8616" spans="2:2" x14ac:dyDescent="0.25">
      <c r="B8616" s="11"/>
    </row>
    <row r="8617" spans="2:2" x14ac:dyDescent="0.25">
      <c r="B8617" s="11"/>
    </row>
    <row r="8618" spans="2:2" x14ac:dyDescent="0.25">
      <c r="B8618" s="11"/>
    </row>
    <row r="8619" spans="2:2" x14ac:dyDescent="0.25">
      <c r="B8619" s="11"/>
    </row>
    <row r="8620" spans="2:2" x14ac:dyDescent="0.25">
      <c r="B8620" s="11"/>
    </row>
    <row r="8621" spans="2:2" x14ac:dyDescent="0.25">
      <c r="B8621" s="11"/>
    </row>
    <row r="8622" spans="2:2" x14ac:dyDescent="0.25">
      <c r="B8622" s="11"/>
    </row>
    <row r="8623" spans="2:2" x14ac:dyDescent="0.25">
      <c r="B8623" s="11"/>
    </row>
    <row r="8624" spans="2:2" x14ac:dyDescent="0.25">
      <c r="B8624" s="11"/>
    </row>
    <row r="8625" spans="2:2" x14ac:dyDescent="0.25">
      <c r="B8625" s="11"/>
    </row>
    <row r="8626" spans="2:2" x14ac:dyDescent="0.25">
      <c r="B8626" s="11"/>
    </row>
    <row r="8627" spans="2:2" x14ac:dyDescent="0.25">
      <c r="B8627" s="11"/>
    </row>
    <row r="8628" spans="2:2" x14ac:dyDescent="0.25">
      <c r="B8628" s="11"/>
    </row>
    <row r="8629" spans="2:2" x14ac:dyDescent="0.25">
      <c r="B8629" s="11"/>
    </row>
    <row r="8630" spans="2:2" x14ac:dyDescent="0.25">
      <c r="B8630" s="11"/>
    </row>
    <row r="8631" spans="2:2" x14ac:dyDescent="0.25">
      <c r="B8631" s="11"/>
    </row>
    <row r="8632" spans="2:2" x14ac:dyDescent="0.25">
      <c r="B8632" s="11"/>
    </row>
    <row r="8633" spans="2:2" x14ac:dyDescent="0.25">
      <c r="B8633" s="11"/>
    </row>
    <row r="8634" spans="2:2" x14ac:dyDescent="0.25">
      <c r="B8634" s="11"/>
    </row>
    <row r="8635" spans="2:2" x14ac:dyDescent="0.25">
      <c r="B8635" s="11"/>
    </row>
    <row r="8636" spans="2:2" x14ac:dyDescent="0.25">
      <c r="B8636" s="11"/>
    </row>
    <row r="8637" spans="2:2" x14ac:dyDescent="0.25">
      <c r="B8637" s="11"/>
    </row>
    <row r="8638" spans="2:2" x14ac:dyDescent="0.25">
      <c r="B8638" s="11"/>
    </row>
    <row r="8639" spans="2:2" x14ac:dyDescent="0.25">
      <c r="B8639" s="11"/>
    </row>
    <row r="8640" spans="2:2" x14ac:dyDescent="0.25">
      <c r="B8640" s="11"/>
    </row>
    <row r="8641" spans="2:2" x14ac:dyDescent="0.25">
      <c r="B8641" s="11"/>
    </row>
    <row r="8642" spans="2:2" x14ac:dyDescent="0.25">
      <c r="B8642" s="11"/>
    </row>
    <row r="8643" spans="2:2" x14ac:dyDescent="0.25">
      <c r="B8643" s="11"/>
    </row>
    <row r="8644" spans="2:2" x14ac:dyDescent="0.25">
      <c r="B8644" s="11"/>
    </row>
    <row r="8645" spans="2:2" x14ac:dyDescent="0.25">
      <c r="B8645" s="11"/>
    </row>
    <row r="8646" spans="2:2" x14ac:dyDescent="0.25">
      <c r="B8646" s="11"/>
    </row>
    <row r="8647" spans="2:2" x14ac:dyDescent="0.25">
      <c r="B8647" s="11"/>
    </row>
    <row r="8648" spans="2:2" x14ac:dyDescent="0.25">
      <c r="B8648" s="11"/>
    </row>
    <row r="8649" spans="2:2" x14ac:dyDescent="0.25">
      <c r="B8649" s="11"/>
    </row>
    <row r="8650" spans="2:2" x14ac:dyDescent="0.25">
      <c r="B8650" s="11"/>
    </row>
    <row r="8651" spans="2:2" x14ac:dyDescent="0.25">
      <c r="B8651" s="11"/>
    </row>
    <row r="8652" spans="2:2" x14ac:dyDescent="0.25">
      <c r="B8652" s="11"/>
    </row>
    <row r="8653" spans="2:2" x14ac:dyDescent="0.25">
      <c r="B8653" s="11"/>
    </row>
    <row r="8654" spans="2:2" x14ac:dyDescent="0.25">
      <c r="B8654" s="11"/>
    </row>
    <row r="8655" spans="2:2" x14ac:dyDescent="0.25">
      <c r="B8655" s="11"/>
    </row>
    <row r="8656" spans="2:2" x14ac:dyDescent="0.25">
      <c r="B8656" s="11"/>
    </row>
    <row r="8657" spans="2:2" x14ac:dyDescent="0.25">
      <c r="B8657" s="11"/>
    </row>
    <row r="8658" spans="2:2" x14ac:dyDescent="0.25">
      <c r="B8658" s="11"/>
    </row>
    <row r="8659" spans="2:2" x14ac:dyDescent="0.25">
      <c r="B8659" s="11"/>
    </row>
    <row r="8660" spans="2:2" x14ac:dyDescent="0.25">
      <c r="B8660" s="11"/>
    </row>
    <row r="8661" spans="2:2" x14ac:dyDescent="0.25">
      <c r="B8661" s="11"/>
    </row>
    <row r="8662" spans="2:2" x14ac:dyDescent="0.25">
      <c r="B8662" s="11"/>
    </row>
    <row r="8663" spans="2:2" x14ac:dyDescent="0.25">
      <c r="B8663" s="11"/>
    </row>
    <row r="8664" spans="2:2" x14ac:dyDescent="0.25">
      <c r="B8664" s="11"/>
    </row>
    <row r="8665" spans="2:2" x14ac:dyDescent="0.25">
      <c r="B8665" s="11"/>
    </row>
    <row r="8666" spans="2:2" x14ac:dyDescent="0.25">
      <c r="B8666" s="11"/>
    </row>
    <row r="8667" spans="2:2" x14ac:dyDescent="0.25">
      <c r="B8667" s="11"/>
    </row>
    <row r="8668" spans="2:2" x14ac:dyDescent="0.25">
      <c r="B8668" s="11"/>
    </row>
    <row r="8669" spans="2:2" x14ac:dyDescent="0.25">
      <c r="B8669" s="11"/>
    </row>
    <row r="8670" spans="2:2" x14ac:dyDescent="0.25">
      <c r="B8670" s="11"/>
    </row>
    <row r="8671" spans="2:2" x14ac:dyDescent="0.25">
      <c r="B8671" s="11"/>
    </row>
    <row r="8672" spans="2:2" x14ac:dyDescent="0.25">
      <c r="B8672" s="11"/>
    </row>
    <row r="8673" spans="2:2" x14ac:dyDescent="0.25">
      <c r="B8673" s="11"/>
    </row>
    <row r="8674" spans="2:2" x14ac:dyDescent="0.25">
      <c r="B8674" s="11"/>
    </row>
    <row r="8675" spans="2:2" x14ac:dyDescent="0.25">
      <c r="B8675" s="11"/>
    </row>
    <row r="8676" spans="2:2" x14ac:dyDescent="0.25">
      <c r="B8676" s="11"/>
    </row>
    <row r="8677" spans="2:2" x14ac:dyDescent="0.25">
      <c r="B8677" s="11"/>
    </row>
    <row r="8678" spans="2:2" x14ac:dyDescent="0.25">
      <c r="B8678" s="11"/>
    </row>
    <row r="8679" spans="2:2" x14ac:dyDescent="0.25">
      <c r="B8679" s="11"/>
    </row>
    <row r="8680" spans="2:2" x14ac:dyDescent="0.25">
      <c r="B8680" s="11"/>
    </row>
    <row r="8681" spans="2:2" x14ac:dyDescent="0.25">
      <c r="B8681" s="11"/>
    </row>
    <row r="8682" spans="2:2" x14ac:dyDescent="0.25">
      <c r="B8682" s="11"/>
    </row>
    <row r="8683" spans="2:2" x14ac:dyDescent="0.25">
      <c r="B8683" s="11"/>
    </row>
    <row r="8684" spans="2:2" x14ac:dyDescent="0.25">
      <c r="B8684" s="11"/>
    </row>
    <row r="8685" spans="2:2" x14ac:dyDescent="0.25">
      <c r="B8685" s="11"/>
    </row>
    <row r="8686" spans="2:2" x14ac:dyDescent="0.25">
      <c r="B8686" s="11"/>
    </row>
    <row r="8687" spans="2:2" x14ac:dyDescent="0.25">
      <c r="B8687" s="11"/>
    </row>
    <row r="8688" spans="2:2" x14ac:dyDescent="0.25">
      <c r="B8688" s="11"/>
    </row>
    <row r="8689" spans="2:2" x14ac:dyDescent="0.25">
      <c r="B8689" s="11"/>
    </row>
    <row r="8690" spans="2:2" x14ac:dyDescent="0.25">
      <c r="B8690" s="11"/>
    </row>
    <row r="8691" spans="2:2" x14ac:dyDescent="0.25">
      <c r="B8691" s="11"/>
    </row>
    <row r="8692" spans="2:2" x14ac:dyDescent="0.25">
      <c r="B8692" s="11"/>
    </row>
    <row r="8693" spans="2:2" x14ac:dyDescent="0.25">
      <c r="B8693" s="11"/>
    </row>
    <row r="8694" spans="2:2" x14ac:dyDescent="0.25">
      <c r="B8694" s="11"/>
    </row>
    <row r="8695" spans="2:2" x14ac:dyDescent="0.25">
      <c r="B8695" s="11"/>
    </row>
    <row r="8696" spans="2:2" x14ac:dyDescent="0.25">
      <c r="B8696" s="11"/>
    </row>
    <row r="8697" spans="2:2" x14ac:dyDescent="0.25">
      <c r="B8697" s="11"/>
    </row>
    <row r="8698" spans="2:2" x14ac:dyDescent="0.25">
      <c r="B8698" s="11"/>
    </row>
    <row r="8699" spans="2:2" x14ac:dyDescent="0.25">
      <c r="B8699" s="11"/>
    </row>
    <row r="8700" spans="2:2" x14ac:dyDescent="0.25">
      <c r="B8700" s="11"/>
    </row>
    <row r="8701" spans="2:2" x14ac:dyDescent="0.25">
      <c r="B8701" s="11"/>
    </row>
    <row r="8702" spans="2:2" x14ac:dyDescent="0.25">
      <c r="B8702" s="11"/>
    </row>
    <row r="8703" spans="2:2" x14ac:dyDescent="0.25">
      <c r="B8703" s="11"/>
    </row>
    <row r="8704" spans="2:2" x14ac:dyDescent="0.25">
      <c r="B8704" s="11"/>
    </row>
    <row r="8705" spans="2:2" x14ac:dyDescent="0.25">
      <c r="B8705" s="11"/>
    </row>
    <row r="8706" spans="2:2" x14ac:dyDescent="0.25">
      <c r="B8706" s="11"/>
    </row>
    <row r="8707" spans="2:2" x14ac:dyDescent="0.25">
      <c r="B8707" s="11"/>
    </row>
    <row r="8708" spans="2:2" x14ac:dyDescent="0.25">
      <c r="B8708" s="11"/>
    </row>
    <row r="8709" spans="2:2" x14ac:dyDescent="0.25">
      <c r="B8709" s="11"/>
    </row>
    <row r="8710" spans="2:2" x14ac:dyDescent="0.25">
      <c r="B8710" s="11"/>
    </row>
    <row r="8711" spans="2:2" x14ac:dyDescent="0.25">
      <c r="B8711" s="11"/>
    </row>
    <row r="8712" spans="2:2" x14ac:dyDescent="0.25">
      <c r="B8712" s="11"/>
    </row>
    <row r="8713" spans="2:2" x14ac:dyDescent="0.25">
      <c r="B8713" s="11"/>
    </row>
    <row r="8714" spans="2:2" x14ac:dyDescent="0.25">
      <c r="B8714" s="11"/>
    </row>
    <row r="8715" spans="2:2" x14ac:dyDescent="0.25">
      <c r="B8715" s="11"/>
    </row>
    <row r="8716" spans="2:2" x14ac:dyDescent="0.25">
      <c r="B8716" s="11"/>
    </row>
    <row r="8717" spans="2:2" x14ac:dyDescent="0.25">
      <c r="B8717" s="11"/>
    </row>
    <row r="8718" spans="2:2" x14ac:dyDescent="0.25">
      <c r="B8718" s="11"/>
    </row>
    <row r="8719" spans="2:2" x14ac:dyDescent="0.25">
      <c r="B8719" s="11"/>
    </row>
    <row r="8720" spans="2:2" x14ac:dyDescent="0.25">
      <c r="B8720" s="11"/>
    </row>
    <row r="8721" spans="2:2" x14ac:dyDescent="0.25">
      <c r="B8721" s="11"/>
    </row>
    <row r="8722" spans="2:2" x14ac:dyDescent="0.25">
      <c r="B8722" s="11"/>
    </row>
    <row r="8723" spans="2:2" x14ac:dyDescent="0.25">
      <c r="B8723" s="11"/>
    </row>
    <row r="8724" spans="2:2" x14ac:dyDescent="0.25">
      <c r="B8724" s="11"/>
    </row>
    <row r="8725" spans="2:2" x14ac:dyDescent="0.25">
      <c r="B8725" s="11"/>
    </row>
    <row r="8726" spans="2:2" x14ac:dyDescent="0.25">
      <c r="B8726" s="11"/>
    </row>
    <row r="8727" spans="2:2" x14ac:dyDescent="0.25">
      <c r="B8727" s="11"/>
    </row>
    <row r="8728" spans="2:2" x14ac:dyDescent="0.25">
      <c r="B8728" s="11"/>
    </row>
    <row r="8729" spans="2:2" x14ac:dyDescent="0.25">
      <c r="B8729" s="11"/>
    </row>
    <row r="8730" spans="2:2" x14ac:dyDescent="0.25">
      <c r="B8730" s="11"/>
    </row>
    <row r="8731" spans="2:2" x14ac:dyDescent="0.25">
      <c r="B8731" s="11"/>
    </row>
    <row r="8732" spans="2:2" x14ac:dyDescent="0.25">
      <c r="B8732" s="11"/>
    </row>
    <row r="8733" spans="2:2" x14ac:dyDescent="0.25">
      <c r="B8733" s="11"/>
    </row>
    <row r="8734" spans="2:2" x14ac:dyDescent="0.25">
      <c r="B8734" s="11"/>
    </row>
    <row r="8735" spans="2:2" x14ac:dyDescent="0.25">
      <c r="B8735" s="11"/>
    </row>
    <row r="8736" spans="2:2" x14ac:dyDescent="0.25">
      <c r="B8736" s="11"/>
    </row>
    <row r="8737" spans="2:2" x14ac:dyDescent="0.25">
      <c r="B8737" s="11"/>
    </row>
    <row r="8738" spans="2:2" x14ac:dyDescent="0.25">
      <c r="B8738" s="11"/>
    </row>
    <row r="8739" spans="2:2" x14ac:dyDescent="0.25">
      <c r="B8739" s="11"/>
    </row>
    <row r="8740" spans="2:2" x14ac:dyDescent="0.25">
      <c r="B8740" s="11"/>
    </row>
    <row r="8741" spans="2:2" x14ac:dyDescent="0.25">
      <c r="B8741" s="11"/>
    </row>
    <row r="8742" spans="2:2" x14ac:dyDescent="0.25">
      <c r="B8742" s="11"/>
    </row>
    <row r="8743" spans="2:2" x14ac:dyDescent="0.25">
      <c r="B8743" s="11"/>
    </row>
    <row r="8744" spans="2:2" x14ac:dyDescent="0.25">
      <c r="B8744" s="11"/>
    </row>
    <row r="8745" spans="2:2" x14ac:dyDescent="0.25">
      <c r="B8745" s="11"/>
    </row>
    <row r="8746" spans="2:2" x14ac:dyDescent="0.25">
      <c r="B8746" s="11"/>
    </row>
    <row r="8747" spans="2:2" x14ac:dyDescent="0.25">
      <c r="B8747" s="11"/>
    </row>
    <row r="8748" spans="2:2" x14ac:dyDescent="0.25">
      <c r="B8748" s="11"/>
    </row>
    <row r="8749" spans="2:2" x14ac:dyDescent="0.25">
      <c r="B8749" s="11"/>
    </row>
    <row r="8750" spans="2:2" x14ac:dyDescent="0.25">
      <c r="B8750" s="11"/>
    </row>
    <row r="8751" spans="2:2" x14ac:dyDescent="0.25">
      <c r="B8751" s="11"/>
    </row>
    <row r="8752" spans="2:2" x14ac:dyDescent="0.25">
      <c r="B8752" s="11"/>
    </row>
    <row r="8753" spans="2:2" x14ac:dyDescent="0.25">
      <c r="B8753" s="11"/>
    </row>
    <row r="8754" spans="2:2" x14ac:dyDescent="0.25">
      <c r="B8754" s="11"/>
    </row>
    <row r="8755" spans="2:2" x14ac:dyDescent="0.25">
      <c r="B8755" s="11"/>
    </row>
    <row r="8756" spans="2:2" x14ac:dyDescent="0.25">
      <c r="B8756" s="11"/>
    </row>
    <row r="8757" spans="2:2" x14ac:dyDescent="0.25">
      <c r="B8757" s="11"/>
    </row>
    <row r="8758" spans="2:2" x14ac:dyDescent="0.25">
      <c r="B8758" s="11"/>
    </row>
    <row r="8759" spans="2:2" x14ac:dyDescent="0.25">
      <c r="B8759" s="11"/>
    </row>
    <row r="8760" spans="2:2" x14ac:dyDescent="0.25">
      <c r="B8760" s="11"/>
    </row>
    <row r="8761" spans="2:2" x14ac:dyDescent="0.25">
      <c r="B8761" s="11"/>
    </row>
    <row r="8762" spans="2:2" x14ac:dyDescent="0.25">
      <c r="B8762" s="11"/>
    </row>
    <row r="8763" spans="2:2" x14ac:dyDescent="0.25">
      <c r="B8763" s="11"/>
    </row>
    <row r="8764" spans="2:2" x14ac:dyDescent="0.25">
      <c r="B8764" s="11"/>
    </row>
    <row r="8765" spans="2:2" x14ac:dyDescent="0.25">
      <c r="B8765" s="11"/>
    </row>
    <row r="8766" spans="2:2" x14ac:dyDescent="0.25">
      <c r="B8766" s="11"/>
    </row>
    <row r="8767" spans="2:2" x14ac:dyDescent="0.25">
      <c r="B8767" s="11"/>
    </row>
    <row r="8768" spans="2:2" x14ac:dyDescent="0.25">
      <c r="B8768" s="11"/>
    </row>
    <row r="8769" spans="2:2" x14ac:dyDescent="0.25">
      <c r="B8769" s="11"/>
    </row>
    <row r="8770" spans="2:2" x14ac:dyDescent="0.25">
      <c r="B8770" s="11"/>
    </row>
    <row r="8771" spans="2:2" x14ac:dyDescent="0.25">
      <c r="B8771" s="11"/>
    </row>
    <row r="8772" spans="2:2" x14ac:dyDescent="0.25">
      <c r="B8772" s="11"/>
    </row>
    <row r="8773" spans="2:2" x14ac:dyDescent="0.25">
      <c r="B8773" s="11"/>
    </row>
    <row r="8774" spans="2:2" x14ac:dyDescent="0.25">
      <c r="B8774" s="11"/>
    </row>
    <row r="8775" spans="2:2" x14ac:dyDescent="0.25">
      <c r="B8775" s="11"/>
    </row>
    <row r="8776" spans="2:2" x14ac:dyDescent="0.25">
      <c r="B8776" s="11"/>
    </row>
    <row r="8777" spans="2:2" x14ac:dyDescent="0.25">
      <c r="B8777" s="11"/>
    </row>
    <row r="8778" spans="2:2" x14ac:dyDescent="0.25">
      <c r="B8778" s="11"/>
    </row>
    <row r="8779" spans="2:2" x14ac:dyDescent="0.25">
      <c r="B8779" s="11"/>
    </row>
    <row r="8780" spans="2:2" x14ac:dyDescent="0.25">
      <c r="B8780" s="11"/>
    </row>
    <row r="8781" spans="2:2" x14ac:dyDescent="0.25">
      <c r="B8781" s="11"/>
    </row>
    <row r="8782" spans="2:2" x14ac:dyDescent="0.25">
      <c r="B8782" s="11"/>
    </row>
    <row r="8783" spans="2:2" x14ac:dyDescent="0.25">
      <c r="B8783" s="11"/>
    </row>
    <row r="8784" spans="2:2" x14ac:dyDescent="0.25">
      <c r="B8784" s="11"/>
    </row>
    <row r="8785" spans="2:2" x14ac:dyDescent="0.25">
      <c r="B8785" s="11"/>
    </row>
    <row r="8786" spans="2:2" x14ac:dyDescent="0.25">
      <c r="B8786" s="11"/>
    </row>
    <row r="8787" spans="2:2" x14ac:dyDescent="0.25">
      <c r="B8787" s="11"/>
    </row>
    <row r="8788" spans="2:2" x14ac:dyDescent="0.25">
      <c r="B8788" s="11"/>
    </row>
    <row r="8789" spans="2:2" x14ac:dyDescent="0.25">
      <c r="B8789" s="11"/>
    </row>
    <row r="8790" spans="2:2" x14ac:dyDescent="0.25">
      <c r="B8790" s="11"/>
    </row>
    <row r="8791" spans="2:2" x14ac:dyDescent="0.25">
      <c r="B8791" s="11"/>
    </row>
    <row r="8792" spans="2:2" x14ac:dyDescent="0.25">
      <c r="B8792" s="11"/>
    </row>
    <row r="8793" spans="2:2" x14ac:dyDescent="0.25">
      <c r="B8793" s="11"/>
    </row>
    <row r="8794" spans="2:2" x14ac:dyDescent="0.25">
      <c r="B8794" s="11"/>
    </row>
    <row r="8795" spans="2:2" x14ac:dyDescent="0.25">
      <c r="B8795" s="11"/>
    </row>
    <row r="8796" spans="2:2" x14ac:dyDescent="0.25">
      <c r="B8796" s="11"/>
    </row>
    <row r="8797" spans="2:2" x14ac:dyDescent="0.25">
      <c r="B8797" s="11"/>
    </row>
    <row r="8798" spans="2:2" x14ac:dyDescent="0.25">
      <c r="B8798" s="11"/>
    </row>
    <row r="8799" spans="2:2" x14ac:dyDescent="0.25">
      <c r="B8799" s="11"/>
    </row>
    <row r="8800" spans="2:2" x14ac:dyDescent="0.25">
      <c r="B8800" s="11"/>
    </row>
    <row r="8801" spans="2:2" x14ac:dyDescent="0.25">
      <c r="B8801" s="11"/>
    </row>
    <row r="8802" spans="2:2" x14ac:dyDescent="0.25">
      <c r="B8802" s="11"/>
    </row>
    <row r="8803" spans="2:2" x14ac:dyDescent="0.25">
      <c r="B8803" s="11"/>
    </row>
    <row r="8804" spans="2:2" x14ac:dyDescent="0.25">
      <c r="B8804" s="11"/>
    </row>
    <row r="8805" spans="2:2" x14ac:dyDescent="0.25">
      <c r="B8805" s="11"/>
    </row>
    <row r="8806" spans="2:2" x14ac:dyDescent="0.25">
      <c r="B8806" s="11"/>
    </row>
    <row r="8807" spans="2:2" x14ac:dyDescent="0.25">
      <c r="B8807" s="11"/>
    </row>
    <row r="8808" spans="2:2" x14ac:dyDescent="0.25">
      <c r="B8808" s="11"/>
    </row>
    <row r="8809" spans="2:2" x14ac:dyDescent="0.25">
      <c r="B8809" s="11"/>
    </row>
    <row r="8810" spans="2:2" x14ac:dyDescent="0.25">
      <c r="B8810" s="11"/>
    </row>
    <row r="8811" spans="2:2" x14ac:dyDescent="0.25">
      <c r="B8811" s="11"/>
    </row>
    <row r="8812" spans="2:2" x14ac:dyDescent="0.25">
      <c r="B8812" s="11"/>
    </row>
    <row r="8813" spans="2:2" x14ac:dyDescent="0.25">
      <c r="B8813" s="11"/>
    </row>
    <row r="8814" spans="2:2" x14ac:dyDescent="0.25">
      <c r="B8814" s="11"/>
    </row>
    <row r="8815" spans="2:2" x14ac:dyDescent="0.25">
      <c r="B8815" s="11"/>
    </row>
    <row r="8816" spans="2:2" x14ac:dyDescent="0.25">
      <c r="B8816" s="11"/>
    </row>
    <row r="8817" spans="2:2" x14ac:dyDescent="0.25">
      <c r="B8817" s="11"/>
    </row>
    <row r="8818" spans="2:2" x14ac:dyDescent="0.25">
      <c r="B8818" s="11"/>
    </row>
    <row r="8819" spans="2:2" x14ac:dyDescent="0.25">
      <c r="B8819" s="11"/>
    </row>
    <row r="8820" spans="2:2" x14ac:dyDescent="0.25">
      <c r="B8820" s="11"/>
    </row>
    <row r="8821" spans="2:2" x14ac:dyDescent="0.25">
      <c r="B8821" s="11"/>
    </row>
    <row r="8822" spans="2:2" x14ac:dyDescent="0.25">
      <c r="B8822" s="11"/>
    </row>
    <row r="8823" spans="2:2" x14ac:dyDescent="0.25">
      <c r="B8823" s="11"/>
    </row>
    <row r="8824" spans="2:2" x14ac:dyDescent="0.25">
      <c r="B8824" s="11"/>
    </row>
    <row r="8825" spans="2:2" x14ac:dyDescent="0.25">
      <c r="B8825" s="11"/>
    </row>
    <row r="8826" spans="2:2" x14ac:dyDescent="0.25">
      <c r="B8826" s="11"/>
    </row>
    <row r="8827" spans="2:2" x14ac:dyDescent="0.25">
      <c r="B8827" s="11"/>
    </row>
    <row r="8828" spans="2:2" x14ac:dyDescent="0.25">
      <c r="B8828" s="11"/>
    </row>
    <row r="8829" spans="2:2" x14ac:dyDescent="0.25">
      <c r="B8829" s="11"/>
    </row>
    <row r="8830" spans="2:2" x14ac:dyDescent="0.25">
      <c r="B8830" s="11"/>
    </row>
    <row r="8831" spans="2:2" x14ac:dyDescent="0.25">
      <c r="B8831" s="11"/>
    </row>
    <row r="8832" spans="2:2" x14ac:dyDescent="0.25">
      <c r="B8832" s="11"/>
    </row>
    <row r="8833" spans="2:2" x14ac:dyDescent="0.25">
      <c r="B8833" s="11"/>
    </row>
    <row r="8834" spans="2:2" x14ac:dyDescent="0.25">
      <c r="B8834" s="11"/>
    </row>
    <row r="8835" spans="2:2" x14ac:dyDescent="0.25">
      <c r="B8835" s="11"/>
    </row>
    <row r="8836" spans="2:2" x14ac:dyDescent="0.25">
      <c r="B8836" s="11"/>
    </row>
    <row r="8837" spans="2:2" x14ac:dyDescent="0.25">
      <c r="B8837" s="11"/>
    </row>
    <row r="8838" spans="2:2" x14ac:dyDescent="0.25">
      <c r="B8838" s="11"/>
    </row>
    <row r="8839" spans="2:2" x14ac:dyDescent="0.25">
      <c r="B8839" s="11"/>
    </row>
    <row r="8840" spans="2:2" x14ac:dyDescent="0.25">
      <c r="B8840" s="11"/>
    </row>
    <row r="8841" spans="2:2" x14ac:dyDescent="0.25">
      <c r="B8841" s="11"/>
    </row>
    <row r="8842" spans="2:2" x14ac:dyDescent="0.25">
      <c r="B8842" s="11"/>
    </row>
    <row r="8843" spans="2:2" x14ac:dyDescent="0.25">
      <c r="B8843" s="11"/>
    </row>
    <row r="8844" spans="2:2" x14ac:dyDescent="0.25">
      <c r="B8844" s="11"/>
    </row>
    <row r="8845" spans="2:2" x14ac:dyDescent="0.25">
      <c r="B8845" s="11"/>
    </row>
    <row r="8846" spans="2:2" x14ac:dyDescent="0.25">
      <c r="B8846" s="11"/>
    </row>
    <row r="8847" spans="2:2" x14ac:dyDescent="0.25">
      <c r="B8847" s="11"/>
    </row>
    <row r="8848" spans="2:2" x14ac:dyDescent="0.25">
      <c r="B8848" s="11"/>
    </row>
    <row r="8849" spans="2:2" x14ac:dyDescent="0.25">
      <c r="B8849" s="11"/>
    </row>
    <row r="8850" spans="2:2" x14ac:dyDescent="0.25">
      <c r="B8850" s="11"/>
    </row>
    <row r="8851" spans="2:2" x14ac:dyDescent="0.25">
      <c r="B8851" s="11"/>
    </row>
    <row r="8852" spans="2:2" x14ac:dyDescent="0.25">
      <c r="B8852" s="11"/>
    </row>
    <row r="8853" spans="2:2" x14ac:dyDescent="0.25">
      <c r="B8853" s="11"/>
    </row>
    <row r="8854" spans="2:2" x14ac:dyDescent="0.25">
      <c r="B8854" s="11"/>
    </row>
    <row r="8855" spans="2:2" x14ac:dyDescent="0.25">
      <c r="B8855" s="11"/>
    </row>
    <row r="8856" spans="2:2" x14ac:dyDescent="0.25">
      <c r="B8856" s="11"/>
    </row>
    <row r="8857" spans="2:2" x14ac:dyDescent="0.25">
      <c r="B8857" s="11"/>
    </row>
    <row r="8858" spans="2:2" x14ac:dyDescent="0.25">
      <c r="B8858" s="11"/>
    </row>
    <row r="8859" spans="2:2" x14ac:dyDescent="0.25">
      <c r="B8859" s="11"/>
    </row>
    <row r="8860" spans="2:2" x14ac:dyDescent="0.25">
      <c r="B8860" s="11"/>
    </row>
    <row r="8861" spans="2:2" x14ac:dyDescent="0.25">
      <c r="B8861" s="11"/>
    </row>
    <row r="8862" spans="2:2" x14ac:dyDescent="0.25">
      <c r="B8862" s="11"/>
    </row>
    <row r="8863" spans="2:2" x14ac:dyDescent="0.25">
      <c r="B8863" s="11"/>
    </row>
    <row r="8864" spans="2:2" x14ac:dyDescent="0.25">
      <c r="B8864" s="11"/>
    </row>
    <row r="8865" spans="2:2" x14ac:dyDescent="0.25">
      <c r="B8865" s="11"/>
    </row>
    <row r="8866" spans="2:2" x14ac:dyDescent="0.25">
      <c r="B8866" s="11"/>
    </row>
    <row r="8867" spans="2:2" x14ac:dyDescent="0.25">
      <c r="B8867" s="11"/>
    </row>
    <row r="8868" spans="2:2" x14ac:dyDescent="0.25">
      <c r="B8868" s="11"/>
    </row>
    <row r="8869" spans="2:2" x14ac:dyDescent="0.25">
      <c r="B8869" s="11"/>
    </row>
    <row r="8870" spans="2:2" x14ac:dyDescent="0.25">
      <c r="B8870" s="11"/>
    </row>
    <row r="8871" spans="2:2" x14ac:dyDescent="0.25">
      <c r="B8871" s="11"/>
    </row>
    <row r="8872" spans="2:2" x14ac:dyDescent="0.25">
      <c r="B8872" s="11"/>
    </row>
    <row r="8873" spans="2:2" x14ac:dyDescent="0.25">
      <c r="B8873" s="11"/>
    </row>
    <row r="8874" spans="2:2" x14ac:dyDescent="0.25">
      <c r="B8874" s="11"/>
    </row>
    <row r="8875" spans="2:2" x14ac:dyDescent="0.25">
      <c r="B8875" s="11"/>
    </row>
    <row r="8876" spans="2:2" x14ac:dyDescent="0.25">
      <c r="B8876" s="11"/>
    </row>
    <row r="8877" spans="2:2" x14ac:dyDescent="0.25">
      <c r="B8877" s="11"/>
    </row>
    <row r="8878" spans="2:2" x14ac:dyDescent="0.25">
      <c r="B8878" s="11"/>
    </row>
    <row r="8879" spans="2:2" x14ac:dyDescent="0.25">
      <c r="B8879" s="11"/>
    </row>
    <row r="8880" spans="2:2" x14ac:dyDescent="0.25">
      <c r="B8880" s="11"/>
    </row>
    <row r="8881" spans="2:2" x14ac:dyDescent="0.25">
      <c r="B8881" s="11"/>
    </row>
    <row r="8882" spans="2:2" x14ac:dyDescent="0.25">
      <c r="B8882" s="11"/>
    </row>
    <row r="8883" spans="2:2" x14ac:dyDescent="0.25">
      <c r="B8883" s="11"/>
    </row>
    <row r="8884" spans="2:2" x14ac:dyDescent="0.25">
      <c r="B8884" s="11"/>
    </row>
    <row r="8885" spans="2:2" x14ac:dyDescent="0.25">
      <c r="B8885" s="11"/>
    </row>
    <row r="8886" spans="2:2" x14ac:dyDescent="0.25">
      <c r="B8886" s="11"/>
    </row>
    <row r="8887" spans="2:2" x14ac:dyDescent="0.25">
      <c r="B8887" s="11"/>
    </row>
    <row r="8888" spans="2:2" x14ac:dyDescent="0.25">
      <c r="B8888" s="11"/>
    </row>
    <row r="8889" spans="2:2" x14ac:dyDescent="0.25">
      <c r="B8889" s="11"/>
    </row>
    <row r="8890" spans="2:2" x14ac:dyDescent="0.25">
      <c r="B8890" s="11"/>
    </row>
    <row r="8891" spans="2:2" x14ac:dyDescent="0.25">
      <c r="B8891" s="11"/>
    </row>
    <row r="8892" spans="2:2" x14ac:dyDescent="0.25">
      <c r="B8892" s="11"/>
    </row>
    <row r="8893" spans="2:2" x14ac:dyDescent="0.25">
      <c r="B8893" s="11"/>
    </row>
    <row r="8894" spans="2:2" x14ac:dyDescent="0.25">
      <c r="B8894" s="11"/>
    </row>
    <row r="8895" spans="2:2" x14ac:dyDescent="0.25">
      <c r="B8895" s="11"/>
    </row>
    <row r="8896" spans="2:2" x14ac:dyDescent="0.25">
      <c r="B8896" s="11"/>
    </row>
    <row r="8897" spans="2:2" x14ac:dyDescent="0.25">
      <c r="B8897" s="11"/>
    </row>
    <row r="8898" spans="2:2" x14ac:dyDescent="0.25">
      <c r="B8898" s="11"/>
    </row>
    <row r="8899" spans="2:2" x14ac:dyDescent="0.25">
      <c r="B8899" s="11"/>
    </row>
    <row r="8900" spans="2:2" x14ac:dyDescent="0.25">
      <c r="B8900" s="11"/>
    </row>
    <row r="8901" spans="2:2" x14ac:dyDescent="0.25">
      <c r="B8901" s="11"/>
    </row>
    <row r="8902" spans="2:2" x14ac:dyDescent="0.25">
      <c r="B8902" s="11"/>
    </row>
    <row r="8903" spans="2:2" x14ac:dyDescent="0.25">
      <c r="B8903" s="11"/>
    </row>
    <row r="8904" spans="2:2" x14ac:dyDescent="0.25">
      <c r="B8904" s="11"/>
    </row>
    <row r="8905" spans="2:2" x14ac:dyDescent="0.25">
      <c r="B8905" s="11"/>
    </row>
    <row r="8906" spans="2:2" x14ac:dyDescent="0.25">
      <c r="B8906" s="11"/>
    </row>
    <row r="8907" spans="2:2" x14ac:dyDescent="0.25">
      <c r="B8907" s="11"/>
    </row>
    <row r="8908" spans="2:2" x14ac:dyDescent="0.25">
      <c r="B8908" s="11"/>
    </row>
    <row r="8909" spans="2:2" x14ac:dyDescent="0.25">
      <c r="B8909" s="11"/>
    </row>
    <row r="8910" spans="2:2" x14ac:dyDescent="0.25">
      <c r="B8910" s="11"/>
    </row>
    <row r="8911" spans="2:2" x14ac:dyDescent="0.25">
      <c r="B8911" s="11"/>
    </row>
    <row r="8912" spans="2:2" x14ac:dyDescent="0.25">
      <c r="B8912" s="11"/>
    </row>
    <row r="8913" spans="2:2" x14ac:dyDescent="0.25">
      <c r="B8913" s="11"/>
    </row>
    <row r="8914" spans="2:2" x14ac:dyDescent="0.25">
      <c r="B8914" s="11"/>
    </row>
    <row r="8915" spans="2:2" x14ac:dyDescent="0.25">
      <c r="B8915" s="11"/>
    </row>
    <row r="8916" spans="2:2" x14ac:dyDescent="0.25">
      <c r="B8916" s="11"/>
    </row>
    <row r="8917" spans="2:2" x14ac:dyDescent="0.25">
      <c r="B8917" s="11"/>
    </row>
    <row r="8918" spans="2:2" x14ac:dyDescent="0.25">
      <c r="B8918" s="11"/>
    </row>
    <row r="8919" spans="2:2" x14ac:dyDescent="0.25">
      <c r="B8919" s="11"/>
    </row>
    <row r="8920" spans="2:2" x14ac:dyDescent="0.25">
      <c r="B8920" s="11"/>
    </row>
    <row r="8921" spans="2:2" x14ac:dyDescent="0.25">
      <c r="B8921" s="11"/>
    </row>
    <row r="8922" spans="2:2" x14ac:dyDescent="0.25">
      <c r="B8922" s="11"/>
    </row>
    <row r="8923" spans="2:2" x14ac:dyDescent="0.25">
      <c r="B8923" s="11"/>
    </row>
    <row r="8924" spans="2:2" x14ac:dyDescent="0.25">
      <c r="B8924" s="11"/>
    </row>
    <row r="8925" spans="2:2" x14ac:dyDescent="0.25">
      <c r="B8925" s="11"/>
    </row>
    <row r="8926" spans="2:2" x14ac:dyDescent="0.25">
      <c r="B8926" s="11"/>
    </row>
    <row r="8927" spans="2:2" x14ac:dyDescent="0.25">
      <c r="B8927" s="11"/>
    </row>
    <row r="8928" spans="2:2" x14ac:dyDescent="0.25">
      <c r="B8928" s="11"/>
    </row>
    <row r="8929" spans="2:2" x14ac:dyDescent="0.25">
      <c r="B8929" s="11"/>
    </row>
    <row r="8930" spans="2:2" x14ac:dyDescent="0.25">
      <c r="B8930" s="11"/>
    </row>
    <row r="8931" spans="2:2" x14ac:dyDescent="0.25">
      <c r="B8931" s="11"/>
    </row>
    <row r="8932" spans="2:2" x14ac:dyDescent="0.25">
      <c r="B8932" s="11"/>
    </row>
    <row r="8933" spans="2:2" x14ac:dyDescent="0.25">
      <c r="B8933" s="11"/>
    </row>
    <row r="8934" spans="2:2" x14ac:dyDescent="0.25">
      <c r="B8934" s="11"/>
    </row>
    <row r="8935" spans="2:2" x14ac:dyDescent="0.25">
      <c r="B8935" s="11"/>
    </row>
    <row r="8936" spans="2:2" x14ac:dyDescent="0.25">
      <c r="B8936" s="11"/>
    </row>
    <row r="8937" spans="2:2" x14ac:dyDescent="0.25">
      <c r="B8937" s="11"/>
    </row>
    <row r="8938" spans="2:2" x14ac:dyDescent="0.25">
      <c r="B8938" s="11"/>
    </row>
    <row r="8939" spans="2:2" x14ac:dyDescent="0.25">
      <c r="B8939" s="11"/>
    </row>
    <row r="8940" spans="2:2" x14ac:dyDescent="0.25">
      <c r="B8940" s="11"/>
    </row>
    <row r="8941" spans="2:2" x14ac:dyDescent="0.25">
      <c r="B8941" s="11"/>
    </row>
    <row r="8942" spans="2:2" x14ac:dyDescent="0.25">
      <c r="B8942" s="11"/>
    </row>
    <row r="8943" spans="2:2" x14ac:dyDescent="0.25">
      <c r="B8943" s="11"/>
    </row>
    <row r="8944" spans="2:2" x14ac:dyDescent="0.25">
      <c r="B8944" s="11"/>
    </row>
    <row r="8945" spans="2:2" x14ac:dyDescent="0.25">
      <c r="B8945" s="11"/>
    </row>
    <row r="8946" spans="2:2" x14ac:dyDescent="0.25">
      <c r="B8946" s="11"/>
    </row>
    <row r="8947" spans="2:2" x14ac:dyDescent="0.25">
      <c r="B8947" s="11"/>
    </row>
    <row r="8948" spans="2:2" x14ac:dyDescent="0.25">
      <c r="B8948" s="11"/>
    </row>
    <row r="8949" spans="2:2" x14ac:dyDescent="0.25">
      <c r="B8949" s="11"/>
    </row>
    <row r="8950" spans="2:2" x14ac:dyDescent="0.25">
      <c r="B8950" s="11"/>
    </row>
    <row r="8951" spans="2:2" x14ac:dyDescent="0.25">
      <c r="B8951" s="11"/>
    </row>
    <row r="8952" spans="2:2" x14ac:dyDescent="0.25">
      <c r="B8952" s="11"/>
    </row>
    <row r="8953" spans="2:2" x14ac:dyDescent="0.25">
      <c r="B8953" s="11"/>
    </row>
    <row r="8954" spans="2:2" x14ac:dyDescent="0.25">
      <c r="B8954" s="11"/>
    </row>
    <row r="8955" spans="2:2" x14ac:dyDescent="0.25">
      <c r="B8955" s="11"/>
    </row>
    <row r="8956" spans="2:2" x14ac:dyDescent="0.25">
      <c r="B8956" s="11"/>
    </row>
    <row r="8957" spans="2:2" x14ac:dyDescent="0.25">
      <c r="B8957" s="11"/>
    </row>
    <row r="8958" spans="2:2" x14ac:dyDescent="0.25">
      <c r="B8958" s="11"/>
    </row>
    <row r="8959" spans="2:2" x14ac:dyDescent="0.25">
      <c r="B8959" s="11"/>
    </row>
    <row r="8960" spans="2:2" x14ac:dyDescent="0.25">
      <c r="B8960" s="11"/>
    </row>
    <row r="8961" spans="2:2" x14ac:dyDescent="0.25">
      <c r="B8961" s="11"/>
    </row>
    <row r="8962" spans="2:2" x14ac:dyDescent="0.25">
      <c r="B8962" s="11"/>
    </row>
    <row r="8963" spans="2:2" x14ac:dyDescent="0.25">
      <c r="B8963" s="11"/>
    </row>
    <row r="8964" spans="2:2" x14ac:dyDescent="0.25">
      <c r="B8964" s="11"/>
    </row>
    <row r="8965" spans="2:2" x14ac:dyDescent="0.25">
      <c r="B8965" s="11"/>
    </row>
    <row r="8966" spans="2:2" x14ac:dyDescent="0.25">
      <c r="B8966" s="11"/>
    </row>
    <row r="8967" spans="2:2" x14ac:dyDescent="0.25">
      <c r="B8967" s="11"/>
    </row>
    <row r="8968" spans="2:2" x14ac:dyDescent="0.25">
      <c r="B8968" s="11"/>
    </row>
    <row r="8969" spans="2:2" x14ac:dyDescent="0.25">
      <c r="B8969" s="11"/>
    </row>
    <row r="8970" spans="2:2" x14ac:dyDescent="0.25">
      <c r="B8970" s="11"/>
    </row>
    <row r="8971" spans="2:2" x14ac:dyDescent="0.25">
      <c r="B8971" s="11"/>
    </row>
    <row r="8972" spans="2:2" x14ac:dyDescent="0.25">
      <c r="B8972" s="11"/>
    </row>
    <row r="8973" spans="2:2" x14ac:dyDescent="0.25">
      <c r="B8973" s="11"/>
    </row>
    <row r="8974" spans="2:2" x14ac:dyDescent="0.25">
      <c r="B8974" s="11"/>
    </row>
    <row r="8975" spans="2:2" x14ac:dyDescent="0.25">
      <c r="B8975" s="11"/>
    </row>
    <row r="8976" spans="2:2" x14ac:dyDescent="0.25">
      <c r="B8976" s="11"/>
    </row>
    <row r="8977" spans="2:2" x14ac:dyDescent="0.25">
      <c r="B8977" s="11"/>
    </row>
    <row r="8978" spans="2:2" x14ac:dyDescent="0.25">
      <c r="B8978" s="11"/>
    </row>
    <row r="8979" spans="2:2" x14ac:dyDescent="0.25">
      <c r="B8979" s="11"/>
    </row>
    <row r="8980" spans="2:2" x14ac:dyDescent="0.25">
      <c r="B8980" s="11"/>
    </row>
    <row r="8981" spans="2:2" x14ac:dyDescent="0.25">
      <c r="B8981" s="11"/>
    </row>
    <row r="8982" spans="2:2" x14ac:dyDescent="0.25">
      <c r="B8982" s="11"/>
    </row>
    <row r="8983" spans="2:2" x14ac:dyDescent="0.25">
      <c r="B8983" s="11"/>
    </row>
    <row r="8984" spans="2:2" x14ac:dyDescent="0.25">
      <c r="B8984" s="11"/>
    </row>
    <row r="8985" spans="2:2" x14ac:dyDescent="0.25">
      <c r="B8985" s="11"/>
    </row>
    <row r="8986" spans="2:2" x14ac:dyDescent="0.25">
      <c r="B8986" s="11"/>
    </row>
    <row r="8987" spans="2:2" x14ac:dyDescent="0.25">
      <c r="B8987" s="11"/>
    </row>
    <row r="8988" spans="2:2" x14ac:dyDescent="0.25">
      <c r="B8988" s="11"/>
    </row>
    <row r="8989" spans="2:2" x14ac:dyDescent="0.25">
      <c r="B8989" s="11"/>
    </row>
    <row r="8990" spans="2:2" x14ac:dyDescent="0.25">
      <c r="B8990" s="11"/>
    </row>
    <row r="8991" spans="2:2" x14ac:dyDescent="0.25">
      <c r="B8991" s="11"/>
    </row>
    <row r="8992" spans="2:2" x14ac:dyDescent="0.25">
      <c r="B8992" s="11"/>
    </row>
    <row r="8993" spans="2:2" x14ac:dyDescent="0.25">
      <c r="B8993" s="11"/>
    </row>
    <row r="8994" spans="2:2" x14ac:dyDescent="0.25">
      <c r="B8994" s="11"/>
    </row>
    <row r="8995" spans="2:2" x14ac:dyDescent="0.25">
      <c r="B8995" s="11"/>
    </row>
    <row r="8996" spans="2:2" x14ac:dyDescent="0.25">
      <c r="B8996" s="11"/>
    </row>
    <row r="8997" spans="2:2" x14ac:dyDescent="0.25">
      <c r="B8997" s="11"/>
    </row>
    <row r="8998" spans="2:2" x14ac:dyDescent="0.25">
      <c r="B8998" s="11"/>
    </row>
    <row r="8999" spans="2:2" x14ac:dyDescent="0.25">
      <c r="B8999" s="11"/>
    </row>
    <row r="9000" spans="2:2" x14ac:dyDescent="0.25">
      <c r="B9000" s="11"/>
    </row>
    <row r="9001" spans="2:2" x14ac:dyDescent="0.25">
      <c r="B9001" s="11"/>
    </row>
    <row r="9002" spans="2:2" x14ac:dyDescent="0.25">
      <c r="B9002" s="11"/>
    </row>
    <row r="9003" spans="2:2" x14ac:dyDescent="0.25">
      <c r="B9003" s="11"/>
    </row>
    <row r="9004" spans="2:2" x14ac:dyDescent="0.25">
      <c r="B9004" s="11"/>
    </row>
    <row r="9005" spans="2:2" x14ac:dyDescent="0.25">
      <c r="B9005" s="11"/>
    </row>
    <row r="9006" spans="2:2" x14ac:dyDescent="0.25">
      <c r="B9006" s="11"/>
    </row>
    <row r="9007" spans="2:2" x14ac:dyDescent="0.25">
      <c r="B9007" s="11"/>
    </row>
    <row r="9008" spans="2:2" x14ac:dyDescent="0.25">
      <c r="B9008" s="11"/>
    </row>
    <row r="9009" spans="2:2" x14ac:dyDescent="0.25">
      <c r="B9009" s="11"/>
    </row>
    <row r="9010" spans="2:2" x14ac:dyDescent="0.25">
      <c r="B9010" s="11"/>
    </row>
    <row r="9011" spans="2:2" x14ac:dyDescent="0.25">
      <c r="B9011" s="11"/>
    </row>
    <row r="9012" spans="2:2" x14ac:dyDescent="0.25">
      <c r="B9012" s="11"/>
    </row>
    <row r="9013" spans="2:2" x14ac:dyDescent="0.25">
      <c r="B9013" s="11"/>
    </row>
    <row r="9014" spans="2:2" x14ac:dyDescent="0.25">
      <c r="B9014" s="11"/>
    </row>
    <row r="9015" spans="2:2" x14ac:dyDescent="0.25">
      <c r="B9015" s="11"/>
    </row>
    <row r="9016" spans="2:2" x14ac:dyDescent="0.25">
      <c r="B9016" s="11"/>
    </row>
    <row r="9017" spans="2:2" x14ac:dyDescent="0.25">
      <c r="B9017" s="11"/>
    </row>
    <row r="9018" spans="2:2" x14ac:dyDescent="0.25">
      <c r="B9018" s="11"/>
    </row>
    <row r="9019" spans="2:2" x14ac:dyDescent="0.25">
      <c r="B9019" s="11"/>
    </row>
    <row r="9020" spans="2:2" x14ac:dyDescent="0.25">
      <c r="B9020" s="11"/>
    </row>
    <row r="9021" spans="2:2" x14ac:dyDescent="0.25">
      <c r="B9021" s="11"/>
    </row>
    <row r="9022" spans="2:2" x14ac:dyDescent="0.25">
      <c r="B9022" s="11"/>
    </row>
    <row r="9023" spans="2:2" x14ac:dyDescent="0.25">
      <c r="B9023" s="11"/>
    </row>
    <row r="9024" spans="2:2" x14ac:dyDescent="0.25">
      <c r="B9024" s="11"/>
    </row>
    <row r="9025" spans="2:2" x14ac:dyDescent="0.25">
      <c r="B9025" s="11"/>
    </row>
    <row r="9026" spans="2:2" x14ac:dyDescent="0.25">
      <c r="B9026" s="11"/>
    </row>
    <row r="9027" spans="2:2" x14ac:dyDescent="0.25">
      <c r="B9027" s="11"/>
    </row>
    <row r="9028" spans="2:2" x14ac:dyDescent="0.25">
      <c r="B9028" s="11"/>
    </row>
    <row r="9029" spans="2:2" x14ac:dyDescent="0.25">
      <c r="B9029" s="11"/>
    </row>
    <row r="9030" spans="2:2" x14ac:dyDescent="0.25">
      <c r="B9030" s="11"/>
    </row>
    <row r="9031" spans="2:2" x14ac:dyDescent="0.25">
      <c r="B9031" s="11"/>
    </row>
    <row r="9032" spans="2:2" x14ac:dyDescent="0.25">
      <c r="B9032" s="11"/>
    </row>
    <row r="9033" spans="2:2" x14ac:dyDescent="0.25">
      <c r="B9033" s="11"/>
    </row>
    <row r="9034" spans="2:2" x14ac:dyDescent="0.25">
      <c r="B9034" s="11"/>
    </row>
    <row r="9035" spans="2:2" x14ac:dyDescent="0.25">
      <c r="B9035" s="11"/>
    </row>
    <row r="9036" spans="2:2" x14ac:dyDescent="0.25">
      <c r="B9036" s="11"/>
    </row>
    <row r="9037" spans="2:2" x14ac:dyDescent="0.25">
      <c r="B9037" s="11"/>
    </row>
    <row r="9038" spans="2:2" x14ac:dyDescent="0.25">
      <c r="B9038" s="11"/>
    </row>
    <row r="9039" spans="2:2" x14ac:dyDescent="0.25">
      <c r="B9039" s="11"/>
    </row>
    <row r="9040" spans="2:2" x14ac:dyDescent="0.25">
      <c r="B9040" s="11"/>
    </row>
    <row r="9041" spans="2:2" x14ac:dyDescent="0.25">
      <c r="B9041" s="11"/>
    </row>
    <row r="9042" spans="2:2" x14ac:dyDescent="0.25">
      <c r="B9042" s="11"/>
    </row>
    <row r="9043" spans="2:2" x14ac:dyDescent="0.25">
      <c r="B9043" s="11"/>
    </row>
    <row r="9044" spans="2:2" x14ac:dyDescent="0.25">
      <c r="B9044" s="11"/>
    </row>
    <row r="9045" spans="2:2" x14ac:dyDescent="0.25">
      <c r="B9045" s="11"/>
    </row>
    <row r="9046" spans="2:2" x14ac:dyDescent="0.25">
      <c r="B9046" s="11"/>
    </row>
    <row r="9047" spans="2:2" x14ac:dyDescent="0.25">
      <c r="B9047" s="11"/>
    </row>
    <row r="9048" spans="2:2" x14ac:dyDescent="0.25">
      <c r="B9048" s="11"/>
    </row>
    <row r="9049" spans="2:2" x14ac:dyDescent="0.25">
      <c r="B9049" s="11"/>
    </row>
    <row r="9050" spans="2:2" x14ac:dyDescent="0.25">
      <c r="B9050" s="11"/>
    </row>
    <row r="9051" spans="2:2" x14ac:dyDescent="0.25">
      <c r="B9051" s="11"/>
    </row>
    <row r="9052" spans="2:2" x14ac:dyDescent="0.25">
      <c r="B9052" s="11"/>
    </row>
    <row r="9053" spans="2:2" x14ac:dyDescent="0.25">
      <c r="B9053" s="11"/>
    </row>
    <row r="9054" spans="2:2" x14ac:dyDescent="0.25">
      <c r="B9054" s="11"/>
    </row>
    <row r="9055" spans="2:2" x14ac:dyDescent="0.25">
      <c r="B9055" s="11"/>
    </row>
    <row r="9056" spans="2:2" x14ac:dyDescent="0.25">
      <c r="B9056" s="11"/>
    </row>
    <row r="9057" spans="2:2" x14ac:dyDescent="0.25">
      <c r="B9057" s="11"/>
    </row>
    <row r="9058" spans="2:2" x14ac:dyDescent="0.25">
      <c r="B9058" s="11"/>
    </row>
    <row r="9059" spans="2:2" x14ac:dyDescent="0.25">
      <c r="B9059" s="11"/>
    </row>
    <row r="9060" spans="2:2" x14ac:dyDescent="0.25">
      <c r="B9060" s="11"/>
    </row>
    <row r="9061" spans="2:2" x14ac:dyDescent="0.25">
      <c r="B9061" s="11"/>
    </row>
    <row r="9062" spans="2:2" x14ac:dyDescent="0.25">
      <c r="B9062" s="11"/>
    </row>
    <row r="9063" spans="2:2" x14ac:dyDescent="0.25">
      <c r="B9063" s="11"/>
    </row>
    <row r="9064" spans="2:2" x14ac:dyDescent="0.25">
      <c r="B9064" s="11"/>
    </row>
    <row r="9065" spans="2:2" x14ac:dyDescent="0.25">
      <c r="B9065" s="11"/>
    </row>
    <row r="9066" spans="2:2" x14ac:dyDescent="0.25">
      <c r="B9066" s="11"/>
    </row>
    <row r="9067" spans="2:2" x14ac:dyDescent="0.25">
      <c r="B9067" s="11"/>
    </row>
    <row r="9068" spans="2:2" x14ac:dyDescent="0.25">
      <c r="B9068" s="11"/>
    </row>
    <row r="9069" spans="2:2" x14ac:dyDescent="0.25">
      <c r="B9069" s="11"/>
    </row>
    <row r="9070" spans="2:2" x14ac:dyDescent="0.25">
      <c r="B9070" s="11"/>
    </row>
    <row r="9071" spans="2:2" x14ac:dyDescent="0.25">
      <c r="B9071" s="11"/>
    </row>
    <row r="9072" spans="2:2" x14ac:dyDescent="0.25">
      <c r="B9072" s="11"/>
    </row>
    <row r="9073" spans="2:2" x14ac:dyDescent="0.25">
      <c r="B9073" s="11"/>
    </row>
    <row r="9074" spans="2:2" x14ac:dyDescent="0.25">
      <c r="B9074" s="11"/>
    </row>
    <row r="9075" spans="2:2" x14ac:dyDescent="0.25">
      <c r="B9075" s="11"/>
    </row>
    <row r="9076" spans="2:2" x14ac:dyDescent="0.25">
      <c r="B9076" s="11"/>
    </row>
    <row r="9077" spans="2:2" x14ac:dyDescent="0.25">
      <c r="B9077" s="11"/>
    </row>
    <row r="9078" spans="2:2" x14ac:dyDescent="0.25">
      <c r="B9078" s="11"/>
    </row>
    <row r="9079" spans="2:2" x14ac:dyDescent="0.25">
      <c r="B9079" s="11"/>
    </row>
    <row r="9080" spans="2:2" x14ac:dyDescent="0.25">
      <c r="B9080" s="11"/>
    </row>
    <row r="9081" spans="2:2" x14ac:dyDescent="0.25">
      <c r="B9081" s="11"/>
    </row>
    <row r="9082" spans="2:2" x14ac:dyDescent="0.25">
      <c r="B9082" s="11"/>
    </row>
    <row r="9083" spans="2:2" x14ac:dyDescent="0.25">
      <c r="B9083" s="11"/>
    </row>
    <row r="9084" spans="2:2" x14ac:dyDescent="0.25">
      <c r="B9084" s="11"/>
    </row>
    <row r="9085" spans="2:2" x14ac:dyDescent="0.25">
      <c r="B9085" s="11"/>
    </row>
    <row r="9086" spans="2:2" x14ac:dyDescent="0.25">
      <c r="B9086" s="11"/>
    </row>
    <row r="9087" spans="2:2" x14ac:dyDescent="0.25">
      <c r="B9087" s="11"/>
    </row>
    <row r="9088" spans="2:2" x14ac:dyDescent="0.25">
      <c r="B9088" s="11"/>
    </row>
    <row r="9089" spans="2:2" x14ac:dyDescent="0.25">
      <c r="B9089" s="11"/>
    </row>
    <row r="9090" spans="2:2" x14ac:dyDescent="0.25">
      <c r="B9090" s="11"/>
    </row>
    <row r="9091" spans="2:2" x14ac:dyDescent="0.25">
      <c r="B9091" s="11"/>
    </row>
    <row r="9092" spans="2:2" x14ac:dyDescent="0.25">
      <c r="B9092" s="11"/>
    </row>
    <row r="9093" spans="2:2" x14ac:dyDescent="0.25">
      <c r="B9093" s="11"/>
    </row>
    <row r="9094" spans="2:2" x14ac:dyDescent="0.25">
      <c r="B9094" s="11"/>
    </row>
    <row r="9095" spans="2:2" x14ac:dyDescent="0.25">
      <c r="B9095" s="11"/>
    </row>
    <row r="9096" spans="2:2" x14ac:dyDescent="0.25">
      <c r="B9096" s="11"/>
    </row>
    <row r="9097" spans="2:2" x14ac:dyDescent="0.25">
      <c r="B9097" s="11"/>
    </row>
    <row r="9098" spans="2:2" x14ac:dyDescent="0.25">
      <c r="B9098" s="11"/>
    </row>
    <row r="9099" spans="2:2" x14ac:dyDescent="0.25">
      <c r="B9099" s="11"/>
    </row>
    <row r="9100" spans="2:2" x14ac:dyDescent="0.25">
      <c r="B9100" s="11"/>
    </row>
    <row r="9101" spans="2:2" x14ac:dyDescent="0.25">
      <c r="B9101" s="11"/>
    </row>
    <row r="9102" spans="2:2" x14ac:dyDescent="0.25">
      <c r="B9102" s="11"/>
    </row>
    <row r="9103" spans="2:2" x14ac:dyDescent="0.25">
      <c r="B9103" s="11"/>
    </row>
    <row r="9104" spans="2:2" x14ac:dyDescent="0.25">
      <c r="B9104" s="11"/>
    </row>
    <row r="9105" spans="2:2" x14ac:dyDescent="0.25">
      <c r="B9105" s="11"/>
    </row>
    <row r="9106" spans="2:2" x14ac:dyDescent="0.25">
      <c r="B9106" s="11"/>
    </row>
    <row r="9107" spans="2:2" x14ac:dyDescent="0.25">
      <c r="B9107" s="11"/>
    </row>
    <row r="9108" spans="2:2" x14ac:dyDescent="0.25">
      <c r="B9108" s="11"/>
    </row>
    <row r="9109" spans="2:2" x14ac:dyDescent="0.25">
      <c r="B9109" s="11"/>
    </row>
    <row r="9110" spans="2:2" x14ac:dyDescent="0.25">
      <c r="B9110" s="11"/>
    </row>
    <row r="9111" spans="2:2" x14ac:dyDescent="0.25">
      <c r="B9111" s="11"/>
    </row>
    <row r="9112" spans="2:2" x14ac:dyDescent="0.25">
      <c r="B9112" s="11"/>
    </row>
    <row r="9113" spans="2:2" x14ac:dyDescent="0.25">
      <c r="B9113" s="11"/>
    </row>
    <row r="9114" spans="2:2" x14ac:dyDescent="0.25">
      <c r="B9114" s="11"/>
    </row>
    <row r="9115" spans="2:2" x14ac:dyDescent="0.25">
      <c r="B9115" s="11"/>
    </row>
    <row r="9116" spans="2:2" x14ac:dyDescent="0.25">
      <c r="B9116" s="11"/>
    </row>
    <row r="9117" spans="2:2" x14ac:dyDescent="0.25">
      <c r="B9117" s="11"/>
    </row>
    <row r="9118" spans="2:2" x14ac:dyDescent="0.25">
      <c r="B9118" s="11"/>
    </row>
    <row r="9119" spans="2:2" x14ac:dyDescent="0.25">
      <c r="B9119" s="11"/>
    </row>
    <row r="9120" spans="2:2" x14ac:dyDescent="0.25">
      <c r="B9120" s="11"/>
    </row>
    <row r="9121" spans="2:2" x14ac:dyDescent="0.25">
      <c r="B9121" s="11"/>
    </row>
    <row r="9122" spans="2:2" x14ac:dyDescent="0.25">
      <c r="B9122" s="11"/>
    </row>
    <row r="9123" spans="2:2" x14ac:dyDescent="0.25">
      <c r="B9123" s="11"/>
    </row>
    <row r="9124" spans="2:2" x14ac:dyDescent="0.25">
      <c r="B9124" s="11"/>
    </row>
    <row r="9125" spans="2:2" x14ac:dyDescent="0.25">
      <c r="B9125" s="11"/>
    </row>
    <row r="9126" spans="2:2" x14ac:dyDescent="0.25">
      <c r="B9126" s="11"/>
    </row>
    <row r="9127" spans="2:2" x14ac:dyDescent="0.25">
      <c r="B9127" s="11"/>
    </row>
    <row r="9128" spans="2:2" x14ac:dyDescent="0.25">
      <c r="B9128" s="11"/>
    </row>
    <row r="9129" spans="2:2" x14ac:dyDescent="0.25">
      <c r="B9129" s="11"/>
    </row>
    <row r="9130" spans="2:2" x14ac:dyDescent="0.25">
      <c r="B9130" s="11"/>
    </row>
    <row r="9131" spans="2:2" x14ac:dyDescent="0.25">
      <c r="B9131" s="11"/>
    </row>
    <row r="9132" spans="2:2" x14ac:dyDescent="0.25">
      <c r="B9132" s="11"/>
    </row>
    <row r="9133" spans="2:2" x14ac:dyDescent="0.25">
      <c r="B9133" s="11"/>
    </row>
    <row r="9134" spans="2:2" x14ac:dyDescent="0.25">
      <c r="B9134" s="11"/>
    </row>
    <row r="9135" spans="2:2" x14ac:dyDescent="0.25">
      <c r="B9135" s="11"/>
    </row>
    <row r="9136" spans="2:2" x14ac:dyDescent="0.25">
      <c r="B9136" s="11"/>
    </row>
    <row r="9137" spans="2:2" x14ac:dyDescent="0.25">
      <c r="B9137" s="11"/>
    </row>
    <row r="9138" spans="2:2" x14ac:dyDescent="0.25">
      <c r="B9138" s="11"/>
    </row>
    <row r="9139" spans="2:2" x14ac:dyDescent="0.25">
      <c r="B9139" s="11"/>
    </row>
    <row r="9140" spans="2:2" x14ac:dyDescent="0.25">
      <c r="B9140" s="11"/>
    </row>
    <row r="9141" spans="2:2" x14ac:dyDescent="0.25">
      <c r="B9141" s="11"/>
    </row>
    <row r="9142" spans="2:2" x14ac:dyDescent="0.25">
      <c r="B9142" s="11"/>
    </row>
    <row r="9143" spans="2:2" x14ac:dyDescent="0.25">
      <c r="B9143" s="11"/>
    </row>
    <row r="9144" spans="2:2" x14ac:dyDescent="0.25">
      <c r="B9144" s="11"/>
    </row>
    <row r="9145" spans="2:2" x14ac:dyDescent="0.25">
      <c r="B9145" s="11"/>
    </row>
    <row r="9146" spans="2:2" x14ac:dyDescent="0.25">
      <c r="B9146" s="11"/>
    </row>
    <row r="9147" spans="2:2" x14ac:dyDescent="0.25">
      <c r="B9147" s="11"/>
    </row>
    <row r="9148" spans="2:2" x14ac:dyDescent="0.25">
      <c r="B9148" s="11"/>
    </row>
    <row r="9149" spans="2:2" x14ac:dyDescent="0.25">
      <c r="B9149" s="11"/>
    </row>
    <row r="9150" spans="2:2" x14ac:dyDescent="0.25">
      <c r="B9150" s="11"/>
    </row>
    <row r="9151" spans="2:2" x14ac:dyDescent="0.25">
      <c r="B9151" s="11"/>
    </row>
    <row r="9152" spans="2:2" x14ac:dyDescent="0.25">
      <c r="B9152" s="11"/>
    </row>
    <row r="9153" spans="2:2" x14ac:dyDescent="0.25">
      <c r="B9153" s="11"/>
    </row>
    <row r="9154" spans="2:2" x14ac:dyDescent="0.25">
      <c r="B9154" s="11"/>
    </row>
    <row r="9155" spans="2:2" x14ac:dyDescent="0.25">
      <c r="B9155" s="11"/>
    </row>
    <row r="9156" spans="2:2" x14ac:dyDescent="0.25">
      <c r="B9156" s="11"/>
    </row>
    <row r="9157" spans="2:2" x14ac:dyDescent="0.25">
      <c r="B9157" s="11"/>
    </row>
    <row r="9158" spans="2:2" x14ac:dyDescent="0.25">
      <c r="B9158" s="11"/>
    </row>
    <row r="9159" spans="2:2" x14ac:dyDescent="0.25">
      <c r="B9159" s="11"/>
    </row>
    <row r="9160" spans="2:2" x14ac:dyDescent="0.25">
      <c r="B9160" s="11"/>
    </row>
    <row r="9161" spans="2:2" x14ac:dyDescent="0.25">
      <c r="B9161" s="11"/>
    </row>
    <row r="9162" spans="2:2" x14ac:dyDescent="0.25">
      <c r="B9162" s="11"/>
    </row>
    <row r="9163" spans="2:2" x14ac:dyDescent="0.25">
      <c r="B9163" s="11"/>
    </row>
    <row r="9164" spans="2:2" x14ac:dyDescent="0.25">
      <c r="B9164" s="11"/>
    </row>
    <row r="9165" spans="2:2" x14ac:dyDescent="0.25">
      <c r="B9165" s="11"/>
    </row>
    <row r="9166" spans="2:2" x14ac:dyDescent="0.25">
      <c r="B9166" s="11"/>
    </row>
    <row r="9167" spans="2:2" x14ac:dyDescent="0.25">
      <c r="B9167" s="11"/>
    </row>
    <row r="9168" spans="2:2" x14ac:dyDescent="0.25">
      <c r="B9168" s="11"/>
    </row>
    <row r="9169" spans="2:2" x14ac:dyDescent="0.25">
      <c r="B9169" s="11"/>
    </row>
    <row r="9170" spans="2:2" x14ac:dyDescent="0.25">
      <c r="B9170" s="11"/>
    </row>
    <row r="9171" spans="2:2" x14ac:dyDescent="0.25">
      <c r="B9171" s="11"/>
    </row>
    <row r="9172" spans="2:2" x14ac:dyDescent="0.25">
      <c r="B9172" s="11"/>
    </row>
    <row r="9173" spans="2:2" x14ac:dyDescent="0.25">
      <c r="B9173" s="11"/>
    </row>
    <row r="9174" spans="2:2" x14ac:dyDescent="0.25">
      <c r="B9174" s="11"/>
    </row>
    <row r="9175" spans="2:2" x14ac:dyDescent="0.25">
      <c r="B9175" s="11"/>
    </row>
    <row r="9176" spans="2:2" x14ac:dyDescent="0.25">
      <c r="B9176" s="11"/>
    </row>
    <row r="9177" spans="2:2" x14ac:dyDescent="0.25">
      <c r="B9177" s="11"/>
    </row>
    <row r="9178" spans="2:2" x14ac:dyDescent="0.25">
      <c r="B9178" s="11"/>
    </row>
    <row r="9179" spans="2:2" x14ac:dyDescent="0.25">
      <c r="B9179" s="11"/>
    </row>
    <row r="9180" spans="2:2" x14ac:dyDescent="0.25">
      <c r="B9180" s="11"/>
    </row>
    <row r="9181" spans="2:2" x14ac:dyDescent="0.25">
      <c r="B9181" s="11"/>
    </row>
    <row r="9182" spans="2:2" x14ac:dyDescent="0.25">
      <c r="B9182" s="11"/>
    </row>
    <row r="9183" spans="2:2" x14ac:dyDescent="0.25">
      <c r="B9183" s="11"/>
    </row>
    <row r="9184" spans="2:2" x14ac:dyDescent="0.25">
      <c r="B9184" s="11"/>
    </row>
    <row r="9185" spans="2:2" x14ac:dyDescent="0.25">
      <c r="B9185" s="11"/>
    </row>
    <row r="9186" spans="2:2" x14ac:dyDescent="0.25">
      <c r="B9186" s="11"/>
    </row>
    <row r="9187" spans="2:2" x14ac:dyDescent="0.25">
      <c r="B9187" s="11"/>
    </row>
    <row r="9188" spans="2:2" x14ac:dyDescent="0.25">
      <c r="B9188" s="11"/>
    </row>
    <row r="9189" spans="2:2" x14ac:dyDescent="0.25">
      <c r="B9189" s="11"/>
    </row>
    <row r="9190" spans="2:2" x14ac:dyDescent="0.25">
      <c r="B9190" s="11"/>
    </row>
    <row r="9191" spans="2:2" x14ac:dyDescent="0.25">
      <c r="B9191" s="11"/>
    </row>
    <row r="9192" spans="2:2" x14ac:dyDescent="0.25">
      <c r="B9192" s="11"/>
    </row>
    <row r="9193" spans="2:2" x14ac:dyDescent="0.25">
      <c r="B9193" s="11"/>
    </row>
    <row r="9194" spans="2:2" x14ac:dyDescent="0.25">
      <c r="B9194" s="11"/>
    </row>
    <row r="9195" spans="2:2" x14ac:dyDescent="0.25">
      <c r="B9195" s="11"/>
    </row>
    <row r="9196" spans="2:2" x14ac:dyDescent="0.25">
      <c r="B9196" s="11"/>
    </row>
    <row r="9197" spans="2:2" x14ac:dyDescent="0.25">
      <c r="B9197" s="11"/>
    </row>
    <row r="9198" spans="2:2" x14ac:dyDescent="0.25">
      <c r="B9198" s="11"/>
    </row>
    <row r="9199" spans="2:2" x14ac:dyDescent="0.25">
      <c r="B9199" s="11"/>
    </row>
    <row r="9200" spans="2:2" x14ac:dyDescent="0.25">
      <c r="B9200" s="11"/>
    </row>
    <row r="9201" spans="2:2" x14ac:dyDescent="0.25">
      <c r="B9201" s="11"/>
    </row>
    <row r="9202" spans="2:2" x14ac:dyDescent="0.25">
      <c r="B9202" s="11"/>
    </row>
    <row r="9203" spans="2:2" x14ac:dyDescent="0.25">
      <c r="B9203" s="11"/>
    </row>
    <row r="9204" spans="2:2" x14ac:dyDescent="0.25">
      <c r="B9204" s="11"/>
    </row>
    <row r="9205" spans="2:2" x14ac:dyDescent="0.25">
      <c r="B9205" s="11"/>
    </row>
    <row r="9206" spans="2:2" x14ac:dyDescent="0.25">
      <c r="B9206" s="11"/>
    </row>
    <row r="9207" spans="2:2" x14ac:dyDescent="0.25">
      <c r="B9207" s="11"/>
    </row>
    <row r="9208" spans="2:2" x14ac:dyDescent="0.25">
      <c r="B9208" s="11"/>
    </row>
    <row r="9209" spans="2:2" x14ac:dyDescent="0.25">
      <c r="B9209" s="11"/>
    </row>
    <row r="9210" spans="2:2" x14ac:dyDescent="0.25">
      <c r="B9210" s="11"/>
    </row>
    <row r="9211" spans="2:2" x14ac:dyDescent="0.25">
      <c r="B9211" s="11"/>
    </row>
    <row r="9212" spans="2:2" x14ac:dyDescent="0.25">
      <c r="B9212" s="11"/>
    </row>
    <row r="9213" spans="2:2" x14ac:dyDescent="0.25">
      <c r="B9213" s="11"/>
    </row>
    <row r="9214" spans="2:2" x14ac:dyDescent="0.25">
      <c r="B9214" s="11"/>
    </row>
    <row r="9215" spans="2:2" x14ac:dyDescent="0.25">
      <c r="B9215" s="11"/>
    </row>
    <row r="9216" spans="2:2" x14ac:dyDescent="0.25">
      <c r="B9216" s="11"/>
    </row>
    <row r="9217" spans="2:2" x14ac:dyDescent="0.25">
      <c r="B9217" s="11"/>
    </row>
    <row r="9218" spans="2:2" x14ac:dyDescent="0.25">
      <c r="B9218" s="11"/>
    </row>
    <row r="9219" spans="2:2" x14ac:dyDescent="0.25">
      <c r="B9219" s="11"/>
    </row>
    <row r="9220" spans="2:2" x14ac:dyDescent="0.25">
      <c r="B9220" s="11"/>
    </row>
    <row r="9221" spans="2:2" x14ac:dyDescent="0.25">
      <c r="B9221" s="11"/>
    </row>
    <row r="9222" spans="2:2" x14ac:dyDescent="0.25">
      <c r="B9222" s="11"/>
    </row>
    <row r="9223" spans="2:2" x14ac:dyDescent="0.25">
      <c r="B9223" s="11"/>
    </row>
    <row r="9224" spans="2:2" x14ac:dyDescent="0.25">
      <c r="B9224" s="11"/>
    </row>
    <row r="9225" spans="2:2" x14ac:dyDescent="0.25">
      <c r="B9225" s="11"/>
    </row>
    <row r="9226" spans="2:2" x14ac:dyDescent="0.25">
      <c r="B9226" s="11"/>
    </row>
    <row r="9227" spans="2:2" x14ac:dyDescent="0.25">
      <c r="B9227" s="11"/>
    </row>
    <row r="9228" spans="2:2" x14ac:dyDescent="0.25">
      <c r="B9228" s="11"/>
    </row>
    <row r="9229" spans="2:2" x14ac:dyDescent="0.25">
      <c r="B9229" s="11"/>
    </row>
    <row r="9230" spans="2:2" x14ac:dyDescent="0.25">
      <c r="B9230" s="11"/>
    </row>
    <row r="9231" spans="2:2" x14ac:dyDescent="0.25">
      <c r="B9231" s="11"/>
    </row>
    <row r="9232" spans="2:2" x14ac:dyDescent="0.25">
      <c r="B9232" s="11"/>
    </row>
    <row r="9233" spans="2:2" x14ac:dyDescent="0.25">
      <c r="B9233" s="11"/>
    </row>
    <row r="9234" spans="2:2" x14ac:dyDescent="0.25">
      <c r="B9234" s="11"/>
    </row>
    <row r="9235" spans="2:2" x14ac:dyDescent="0.25">
      <c r="B9235" s="11"/>
    </row>
    <row r="9236" spans="2:2" x14ac:dyDescent="0.25">
      <c r="B9236" s="11"/>
    </row>
    <row r="9237" spans="2:2" x14ac:dyDescent="0.25">
      <c r="B9237" s="11"/>
    </row>
    <row r="9238" spans="2:2" x14ac:dyDescent="0.25">
      <c r="B9238" s="11"/>
    </row>
    <row r="9239" spans="2:2" x14ac:dyDescent="0.25">
      <c r="B9239" s="11"/>
    </row>
    <row r="9240" spans="2:2" x14ac:dyDescent="0.25">
      <c r="B9240" s="11"/>
    </row>
    <row r="9241" spans="2:2" x14ac:dyDescent="0.25">
      <c r="B9241" s="11"/>
    </row>
    <row r="9242" spans="2:2" x14ac:dyDescent="0.25">
      <c r="B9242" s="11"/>
    </row>
    <row r="9243" spans="2:2" x14ac:dyDescent="0.25">
      <c r="B9243" s="11"/>
    </row>
    <row r="9244" spans="2:2" x14ac:dyDescent="0.25">
      <c r="B9244" s="11"/>
    </row>
    <row r="9245" spans="2:2" x14ac:dyDescent="0.25">
      <c r="B9245" s="11"/>
    </row>
    <row r="9246" spans="2:2" x14ac:dyDescent="0.25">
      <c r="B9246" s="11"/>
    </row>
    <row r="9247" spans="2:2" x14ac:dyDescent="0.25">
      <c r="B9247" s="11"/>
    </row>
    <row r="9248" spans="2:2" x14ac:dyDescent="0.25">
      <c r="B9248" s="11"/>
    </row>
    <row r="9249" spans="2:2" x14ac:dyDescent="0.25">
      <c r="B9249" s="11"/>
    </row>
    <row r="9250" spans="2:2" x14ac:dyDescent="0.25">
      <c r="B9250" s="11"/>
    </row>
    <row r="9251" spans="2:2" x14ac:dyDescent="0.25">
      <c r="B9251" s="11"/>
    </row>
    <row r="9252" spans="2:2" x14ac:dyDescent="0.25">
      <c r="B9252" s="11"/>
    </row>
    <row r="9253" spans="2:2" x14ac:dyDescent="0.25">
      <c r="B9253" s="11"/>
    </row>
    <row r="9254" spans="2:2" x14ac:dyDescent="0.25">
      <c r="B9254" s="11"/>
    </row>
    <row r="9255" spans="2:2" x14ac:dyDescent="0.25">
      <c r="B9255" s="11"/>
    </row>
    <row r="9256" spans="2:2" x14ac:dyDescent="0.25">
      <c r="B9256" s="11"/>
    </row>
    <row r="9257" spans="2:2" x14ac:dyDescent="0.25">
      <c r="B9257" s="11"/>
    </row>
    <row r="9258" spans="2:2" x14ac:dyDescent="0.25">
      <c r="B9258" s="11"/>
    </row>
    <row r="9259" spans="2:2" x14ac:dyDescent="0.25">
      <c r="B9259" s="11"/>
    </row>
    <row r="9260" spans="2:2" x14ac:dyDescent="0.25">
      <c r="B9260" s="11"/>
    </row>
    <row r="9261" spans="2:2" x14ac:dyDescent="0.25">
      <c r="B9261" s="11"/>
    </row>
    <row r="9262" spans="2:2" x14ac:dyDescent="0.25">
      <c r="B9262" s="11"/>
    </row>
    <row r="9263" spans="2:2" x14ac:dyDescent="0.25">
      <c r="B9263" s="11"/>
    </row>
    <row r="9264" spans="2:2" x14ac:dyDescent="0.25">
      <c r="B9264" s="11"/>
    </row>
    <row r="9265" spans="2:2" x14ac:dyDescent="0.25">
      <c r="B9265" s="11"/>
    </row>
    <row r="9266" spans="2:2" x14ac:dyDescent="0.25">
      <c r="B9266" s="11"/>
    </row>
    <row r="9267" spans="2:2" x14ac:dyDescent="0.25">
      <c r="B9267" s="11"/>
    </row>
    <row r="9268" spans="2:2" x14ac:dyDescent="0.25">
      <c r="B9268" s="11"/>
    </row>
    <row r="9269" spans="2:2" x14ac:dyDescent="0.25">
      <c r="B9269" s="11"/>
    </row>
    <row r="9270" spans="2:2" x14ac:dyDescent="0.25">
      <c r="B9270" s="11"/>
    </row>
    <row r="9271" spans="2:2" x14ac:dyDescent="0.25">
      <c r="B9271" s="11"/>
    </row>
    <row r="9272" spans="2:2" x14ac:dyDescent="0.25">
      <c r="B9272" s="11"/>
    </row>
    <row r="9273" spans="2:2" x14ac:dyDescent="0.25">
      <c r="B9273" s="11"/>
    </row>
    <row r="9274" spans="2:2" x14ac:dyDescent="0.25">
      <c r="B9274" s="11"/>
    </row>
    <row r="9275" spans="2:2" x14ac:dyDescent="0.25">
      <c r="B9275" s="11"/>
    </row>
    <row r="9276" spans="2:2" x14ac:dyDescent="0.25">
      <c r="B9276" s="11"/>
    </row>
    <row r="9277" spans="2:2" x14ac:dyDescent="0.25">
      <c r="B9277" s="11"/>
    </row>
    <row r="9278" spans="2:2" x14ac:dyDescent="0.25">
      <c r="B9278" s="11"/>
    </row>
    <row r="9279" spans="2:2" x14ac:dyDescent="0.25">
      <c r="B9279" s="11"/>
    </row>
    <row r="9280" spans="2:2" x14ac:dyDescent="0.25">
      <c r="B9280" s="11"/>
    </row>
    <row r="9281" spans="2:2" x14ac:dyDescent="0.25">
      <c r="B9281" s="11"/>
    </row>
    <row r="9282" spans="2:2" x14ac:dyDescent="0.25">
      <c r="B9282" s="11"/>
    </row>
    <row r="9283" spans="2:2" x14ac:dyDescent="0.25">
      <c r="B9283" s="11"/>
    </row>
    <row r="9284" spans="2:2" x14ac:dyDescent="0.25">
      <c r="B9284" s="11"/>
    </row>
    <row r="9285" spans="2:2" x14ac:dyDescent="0.25">
      <c r="B9285" s="11"/>
    </row>
    <row r="9286" spans="2:2" x14ac:dyDescent="0.25">
      <c r="B9286" s="11"/>
    </row>
    <row r="9287" spans="2:2" x14ac:dyDescent="0.25">
      <c r="B9287" s="11"/>
    </row>
    <row r="9288" spans="2:2" x14ac:dyDescent="0.25">
      <c r="B9288" s="11"/>
    </row>
    <row r="9289" spans="2:2" x14ac:dyDescent="0.25">
      <c r="B9289" s="11"/>
    </row>
    <row r="9290" spans="2:2" x14ac:dyDescent="0.25">
      <c r="B9290" s="11"/>
    </row>
    <row r="9291" spans="2:2" x14ac:dyDescent="0.25">
      <c r="B9291" s="11"/>
    </row>
    <row r="9292" spans="2:2" x14ac:dyDescent="0.25">
      <c r="B9292" s="11"/>
    </row>
    <row r="9293" spans="2:2" x14ac:dyDescent="0.25">
      <c r="B9293" s="11"/>
    </row>
    <row r="9294" spans="2:2" x14ac:dyDescent="0.25">
      <c r="B9294" s="11"/>
    </row>
    <row r="9295" spans="2:2" x14ac:dyDescent="0.25">
      <c r="B9295" s="11"/>
    </row>
    <row r="9296" spans="2:2" x14ac:dyDescent="0.25">
      <c r="B9296" s="11"/>
    </row>
    <row r="9297" spans="2:2" x14ac:dyDescent="0.25">
      <c r="B9297" s="11"/>
    </row>
    <row r="9298" spans="2:2" x14ac:dyDescent="0.25">
      <c r="B9298" s="11"/>
    </row>
    <row r="9299" spans="2:2" x14ac:dyDescent="0.25">
      <c r="B9299" s="11"/>
    </row>
    <row r="9300" spans="2:2" x14ac:dyDescent="0.25">
      <c r="B9300" s="11"/>
    </row>
    <row r="9301" spans="2:2" x14ac:dyDescent="0.25">
      <c r="B9301" s="11"/>
    </row>
    <row r="9302" spans="2:2" x14ac:dyDescent="0.25">
      <c r="B9302" s="11"/>
    </row>
    <row r="9303" spans="2:2" x14ac:dyDescent="0.25">
      <c r="B9303" s="11"/>
    </row>
    <row r="9304" spans="2:2" x14ac:dyDescent="0.25">
      <c r="B9304" s="11"/>
    </row>
    <row r="9305" spans="2:2" x14ac:dyDescent="0.25">
      <c r="B9305" s="11"/>
    </row>
    <row r="9306" spans="2:2" x14ac:dyDescent="0.25">
      <c r="B9306" s="11"/>
    </row>
    <row r="9307" spans="2:2" x14ac:dyDescent="0.25">
      <c r="B9307" s="11"/>
    </row>
    <row r="9308" spans="2:2" x14ac:dyDescent="0.25">
      <c r="B9308" s="11"/>
    </row>
    <row r="9309" spans="2:2" x14ac:dyDescent="0.25">
      <c r="B9309" s="11"/>
    </row>
    <row r="9310" spans="2:2" x14ac:dyDescent="0.25">
      <c r="B9310" s="11"/>
    </row>
    <row r="9311" spans="2:2" x14ac:dyDescent="0.25">
      <c r="B9311" s="11"/>
    </row>
    <row r="9312" spans="2:2" x14ac:dyDescent="0.25">
      <c r="B9312" s="11"/>
    </row>
    <row r="9313" spans="2:2" x14ac:dyDescent="0.25">
      <c r="B9313" s="11"/>
    </row>
    <row r="9314" spans="2:2" x14ac:dyDescent="0.25">
      <c r="B9314" s="11"/>
    </row>
    <row r="9315" spans="2:2" x14ac:dyDescent="0.25">
      <c r="B9315" s="11"/>
    </row>
    <row r="9316" spans="2:2" x14ac:dyDescent="0.25">
      <c r="B9316" s="11"/>
    </row>
    <row r="9317" spans="2:2" x14ac:dyDescent="0.25">
      <c r="B9317" s="11"/>
    </row>
    <row r="9318" spans="2:2" x14ac:dyDescent="0.25">
      <c r="B9318" s="11"/>
    </row>
    <row r="9319" spans="2:2" x14ac:dyDescent="0.25">
      <c r="B9319" s="11"/>
    </row>
    <row r="9320" spans="2:2" x14ac:dyDescent="0.25">
      <c r="B9320" s="11"/>
    </row>
    <row r="9321" spans="2:2" x14ac:dyDescent="0.25">
      <c r="B9321" s="11"/>
    </row>
    <row r="9322" spans="2:2" x14ac:dyDescent="0.25">
      <c r="B9322" s="11"/>
    </row>
    <row r="9323" spans="2:2" x14ac:dyDescent="0.25">
      <c r="B9323" s="11"/>
    </row>
    <row r="9324" spans="2:2" x14ac:dyDescent="0.25">
      <c r="B9324" s="11"/>
    </row>
    <row r="9325" spans="2:2" x14ac:dyDescent="0.25">
      <c r="B9325" s="11"/>
    </row>
    <row r="9326" spans="2:2" x14ac:dyDescent="0.25">
      <c r="B9326" s="11"/>
    </row>
    <row r="9327" spans="2:2" x14ac:dyDescent="0.25">
      <c r="B9327" s="11"/>
    </row>
    <row r="9328" spans="2:2" x14ac:dyDescent="0.25">
      <c r="B9328" s="11"/>
    </row>
    <row r="9329" spans="2:2" x14ac:dyDescent="0.25">
      <c r="B9329" s="11"/>
    </row>
    <row r="9330" spans="2:2" x14ac:dyDescent="0.25">
      <c r="B9330" s="11"/>
    </row>
    <row r="9331" spans="2:2" x14ac:dyDescent="0.25">
      <c r="B9331" s="11"/>
    </row>
    <row r="9332" spans="2:2" x14ac:dyDescent="0.25">
      <c r="B9332" s="11"/>
    </row>
    <row r="9333" spans="2:2" x14ac:dyDescent="0.25">
      <c r="B9333" s="11"/>
    </row>
    <row r="9334" spans="2:2" x14ac:dyDescent="0.25">
      <c r="B9334" s="11"/>
    </row>
    <row r="9335" spans="2:2" x14ac:dyDescent="0.25">
      <c r="B9335" s="11"/>
    </row>
    <row r="9336" spans="2:2" x14ac:dyDescent="0.25">
      <c r="B9336" s="11"/>
    </row>
    <row r="9337" spans="2:2" x14ac:dyDescent="0.25">
      <c r="B9337" s="11"/>
    </row>
    <row r="9338" spans="2:2" x14ac:dyDescent="0.25">
      <c r="B9338" s="11"/>
    </row>
    <row r="9339" spans="2:2" x14ac:dyDescent="0.25">
      <c r="B9339" s="11"/>
    </row>
    <row r="9340" spans="2:2" x14ac:dyDescent="0.25">
      <c r="B9340" s="11"/>
    </row>
    <row r="9341" spans="2:2" x14ac:dyDescent="0.25">
      <c r="B9341" s="11"/>
    </row>
    <row r="9342" spans="2:2" x14ac:dyDescent="0.25">
      <c r="B9342" s="11"/>
    </row>
    <row r="9343" spans="2:2" x14ac:dyDescent="0.25">
      <c r="B9343" s="11"/>
    </row>
    <row r="9344" spans="2:2" x14ac:dyDescent="0.25">
      <c r="B9344" s="11"/>
    </row>
    <row r="9345" spans="2:2" x14ac:dyDescent="0.25">
      <c r="B9345" s="11"/>
    </row>
    <row r="9346" spans="2:2" x14ac:dyDescent="0.25">
      <c r="B9346" s="11"/>
    </row>
    <row r="9347" spans="2:2" x14ac:dyDescent="0.25">
      <c r="B9347" s="11"/>
    </row>
    <row r="9348" spans="2:2" x14ac:dyDescent="0.25">
      <c r="B9348" s="11"/>
    </row>
    <row r="9349" spans="2:2" x14ac:dyDescent="0.25">
      <c r="B9349" s="11"/>
    </row>
    <row r="9350" spans="2:2" x14ac:dyDescent="0.25">
      <c r="B9350" s="11"/>
    </row>
    <row r="9351" spans="2:2" x14ac:dyDescent="0.25">
      <c r="B9351" s="11"/>
    </row>
    <row r="9352" spans="2:2" x14ac:dyDescent="0.25">
      <c r="B9352" s="11"/>
    </row>
    <row r="9353" spans="2:2" x14ac:dyDescent="0.25">
      <c r="B9353" s="11"/>
    </row>
    <row r="9354" spans="2:2" x14ac:dyDescent="0.25">
      <c r="B9354" s="11"/>
    </row>
    <row r="9355" spans="2:2" x14ac:dyDescent="0.25">
      <c r="B9355" s="11"/>
    </row>
    <row r="9356" spans="2:2" x14ac:dyDescent="0.25">
      <c r="B9356" s="11"/>
    </row>
    <row r="9357" spans="2:2" x14ac:dyDescent="0.25">
      <c r="B9357" s="11"/>
    </row>
    <row r="9358" spans="2:2" x14ac:dyDescent="0.25">
      <c r="B9358" s="11"/>
    </row>
    <row r="9359" spans="2:2" x14ac:dyDescent="0.25">
      <c r="B9359" s="11"/>
    </row>
    <row r="9360" spans="2:2" x14ac:dyDescent="0.25">
      <c r="B9360" s="11"/>
    </row>
    <row r="9361" spans="2:2" x14ac:dyDescent="0.25">
      <c r="B9361" s="11"/>
    </row>
    <row r="9362" spans="2:2" x14ac:dyDescent="0.25">
      <c r="B9362" s="11"/>
    </row>
    <row r="9363" spans="2:2" x14ac:dyDescent="0.25">
      <c r="B9363" s="11"/>
    </row>
    <row r="9364" spans="2:2" x14ac:dyDescent="0.25">
      <c r="B9364" s="11"/>
    </row>
    <row r="9365" spans="2:2" x14ac:dyDescent="0.25">
      <c r="B9365" s="11"/>
    </row>
    <row r="9366" spans="2:2" x14ac:dyDescent="0.25">
      <c r="B9366" s="11"/>
    </row>
    <row r="9367" spans="2:2" x14ac:dyDescent="0.25">
      <c r="B9367" s="11"/>
    </row>
    <row r="9368" spans="2:2" x14ac:dyDescent="0.25">
      <c r="B9368" s="11"/>
    </row>
    <row r="9369" spans="2:2" x14ac:dyDescent="0.25">
      <c r="B9369" s="11"/>
    </row>
    <row r="9370" spans="2:2" x14ac:dyDescent="0.25">
      <c r="B9370" s="11"/>
    </row>
    <row r="9371" spans="2:2" x14ac:dyDescent="0.25">
      <c r="B9371" s="11"/>
    </row>
    <row r="9372" spans="2:2" x14ac:dyDescent="0.25">
      <c r="B9372" s="11"/>
    </row>
    <row r="9373" spans="2:2" x14ac:dyDescent="0.25">
      <c r="B9373" s="11"/>
    </row>
    <row r="9374" spans="2:2" x14ac:dyDescent="0.25">
      <c r="B9374" s="11"/>
    </row>
    <row r="9375" spans="2:2" x14ac:dyDescent="0.25">
      <c r="B9375" s="11"/>
    </row>
    <row r="9376" spans="2:2" x14ac:dyDescent="0.25">
      <c r="B9376" s="11"/>
    </row>
    <row r="9377" spans="2:2" x14ac:dyDescent="0.25">
      <c r="B9377" s="11"/>
    </row>
    <row r="9378" spans="2:2" x14ac:dyDescent="0.25">
      <c r="B9378" s="11"/>
    </row>
    <row r="9379" spans="2:2" x14ac:dyDescent="0.25">
      <c r="B9379" s="11"/>
    </row>
    <row r="9380" spans="2:2" x14ac:dyDescent="0.25">
      <c r="B9380" s="11"/>
    </row>
    <row r="9381" spans="2:2" x14ac:dyDescent="0.25">
      <c r="B9381" s="11"/>
    </row>
    <row r="9382" spans="2:2" x14ac:dyDescent="0.25">
      <c r="B9382" s="11"/>
    </row>
    <row r="9383" spans="2:2" x14ac:dyDescent="0.25">
      <c r="B9383" s="11"/>
    </row>
    <row r="9384" spans="2:2" x14ac:dyDescent="0.25">
      <c r="B9384" s="11"/>
    </row>
    <row r="9385" spans="2:2" x14ac:dyDescent="0.25">
      <c r="B9385" s="11"/>
    </row>
    <row r="9386" spans="2:2" x14ac:dyDescent="0.25">
      <c r="B9386" s="11"/>
    </row>
    <row r="9387" spans="2:2" x14ac:dyDescent="0.25">
      <c r="B9387" s="11"/>
    </row>
    <row r="9388" spans="2:2" x14ac:dyDescent="0.25">
      <c r="B9388" s="11"/>
    </row>
    <row r="9389" spans="2:2" x14ac:dyDescent="0.25">
      <c r="B9389" s="11"/>
    </row>
    <row r="9390" spans="2:2" x14ac:dyDescent="0.25">
      <c r="B9390" s="11"/>
    </row>
    <row r="9391" spans="2:2" x14ac:dyDescent="0.25">
      <c r="B9391" s="11"/>
    </row>
    <row r="9392" spans="2:2" x14ac:dyDescent="0.25">
      <c r="B9392" s="11"/>
    </row>
    <row r="9393" spans="2:2" x14ac:dyDescent="0.25">
      <c r="B9393" s="11"/>
    </row>
    <row r="9394" spans="2:2" x14ac:dyDescent="0.25">
      <c r="B9394" s="11"/>
    </row>
    <row r="9395" spans="2:2" x14ac:dyDescent="0.25">
      <c r="B9395" s="11"/>
    </row>
    <row r="9396" spans="2:2" x14ac:dyDescent="0.25">
      <c r="B9396" s="11"/>
    </row>
    <row r="9397" spans="2:2" x14ac:dyDescent="0.25">
      <c r="B9397" s="11"/>
    </row>
    <row r="9398" spans="2:2" x14ac:dyDescent="0.25">
      <c r="B9398" s="11"/>
    </row>
    <row r="9399" spans="2:2" x14ac:dyDescent="0.25">
      <c r="B9399" s="11"/>
    </row>
    <row r="9400" spans="2:2" x14ac:dyDescent="0.25">
      <c r="B9400" s="11"/>
    </row>
    <row r="9401" spans="2:2" x14ac:dyDescent="0.25">
      <c r="B9401" s="11"/>
    </row>
    <row r="9402" spans="2:2" x14ac:dyDescent="0.25">
      <c r="B9402" s="11"/>
    </row>
    <row r="9403" spans="2:2" x14ac:dyDescent="0.25">
      <c r="B9403" s="11"/>
    </row>
    <row r="9404" spans="2:2" x14ac:dyDescent="0.25">
      <c r="B9404" s="11"/>
    </row>
    <row r="9405" spans="2:2" x14ac:dyDescent="0.25">
      <c r="B9405" s="11"/>
    </row>
    <row r="9406" spans="2:2" x14ac:dyDescent="0.25">
      <c r="B9406" s="11"/>
    </row>
    <row r="9407" spans="2:2" x14ac:dyDescent="0.25">
      <c r="B9407" s="11"/>
    </row>
    <row r="9408" spans="2:2" x14ac:dyDescent="0.25">
      <c r="B9408" s="11"/>
    </row>
    <row r="9409" spans="2:2" x14ac:dyDescent="0.25">
      <c r="B9409" s="11"/>
    </row>
    <row r="9410" spans="2:2" x14ac:dyDescent="0.25">
      <c r="B9410" s="11"/>
    </row>
    <row r="9411" spans="2:2" x14ac:dyDescent="0.25">
      <c r="B9411" s="11"/>
    </row>
    <row r="9412" spans="2:2" x14ac:dyDescent="0.25">
      <c r="B9412" s="11"/>
    </row>
    <row r="9413" spans="2:2" x14ac:dyDescent="0.25">
      <c r="B9413" s="11"/>
    </row>
    <row r="9414" spans="2:2" x14ac:dyDescent="0.25">
      <c r="B9414" s="11"/>
    </row>
    <row r="9415" spans="2:2" x14ac:dyDescent="0.25">
      <c r="B9415" s="11"/>
    </row>
    <row r="9416" spans="2:2" x14ac:dyDescent="0.25">
      <c r="B9416" s="11"/>
    </row>
    <row r="9417" spans="2:2" x14ac:dyDescent="0.25">
      <c r="B9417" s="11"/>
    </row>
    <row r="9418" spans="2:2" x14ac:dyDescent="0.25">
      <c r="B9418" s="11"/>
    </row>
    <row r="9419" spans="2:2" x14ac:dyDescent="0.25">
      <c r="B9419" s="11"/>
    </row>
    <row r="9420" spans="2:2" x14ac:dyDescent="0.25">
      <c r="B9420" s="11"/>
    </row>
    <row r="9421" spans="2:2" x14ac:dyDescent="0.25">
      <c r="B9421" s="11"/>
    </row>
    <row r="9422" spans="2:2" x14ac:dyDescent="0.25">
      <c r="B9422" s="11"/>
    </row>
    <row r="9423" spans="2:2" x14ac:dyDescent="0.25">
      <c r="B9423" s="11"/>
    </row>
    <row r="9424" spans="2:2" x14ac:dyDescent="0.25">
      <c r="B9424" s="11"/>
    </row>
    <row r="9425" spans="2:2" x14ac:dyDescent="0.25">
      <c r="B9425" s="11"/>
    </row>
    <row r="9426" spans="2:2" x14ac:dyDescent="0.25">
      <c r="B9426" s="11"/>
    </row>
    <row r="9427" spans="2:2" x14ac:dyDescent="0.25">
      <c r="B9427" s="11"/>
    </row>
    <row r="9428" spans="2:2" x14ac:dyDescent="0.25">
      <c r="B9428" s="11"/>
    </row>
    <row r="9429" spans="2:2" x14ac:dyDescent="0.25">
      <c r="B9429" s="11"/>
    </row>
    <row r="9430" spans="2:2" x14ac:dyDescent="0.25">
      <c r="B9430" s="11"/>
    </row>
    <row r="9431" spans="2:2" x14ac:dyDescent="0.25">
      <c r="B9431" s="11"/>
    </row>
    <row r="9432" spans="2:2" x14ac:dyDescent="0.25">
      <c r="B9432" s="11"/>
    </row>
    <row r="9433" spans="2:2" x14ac:dyDescent="0.25">
      <c r="B9433" s="11"/>
    </row>
    <row r="9434" spans="2:2" x14ac:dyDescent="0.25">
      <c r="B9434" s="11"/>
    </row>
    <row r="9435" spans="2:2" x14ac:dyDescent="0.25">
      <c r="B9435" s="11"/>
    </row>
    <row r="9436" spans="2:2" x14ac:dyDescent="0.25">
      <c r="B9436" s="11"/>
    </row>
    <row r="9437" spans="2:2" x14ac:dyDescent="0.25">
      <c r="B9437" s="11"/>
    </row>
    <row r="9438" spans="2:2" x14ac:dyDescent="0.25">
      <c r="B9438" s="11"/>
    </row>
    <row r="9439" spans="2:2" x14ac:dyDescent="0.25">
      <c r="B9439" s="11"/>
    </row>
    <row r="9440" spans="2:2" x14ac:dyDescent="0.25">
      <c r="B9440" s="11"/>
    </row>
    <row r="9441" spans="2:2" x14ac:dyDescent="0.25">
      <c r="B9441" s="11"/>
    </row>
    <row r="9442" spans="2:2" x14ac:dyDescent="0.25">
      <c r="B9442" s="11"/>
    </row>
    <row r="9443" spans="2:2" x14ac:dyDescent="0.25">
      <c r="B9443" s="11"/>
    </row>
    <row r="9444" spans="2:2" x14ac:dyDescent="0.25">
      <c r="B9444" s="11"/>
    </row>
    <row r="9445" spans="2:2" x14ac:dyDescent="0.25">
      <c r="B9445" s="11"/>
    </row>
    <row r="9446" spans="2:2" x14ac:dyDescent="0.25">
      <c r="B9446" s="11"/>
    </row>
    <row r="9447" spans="2:2" x14ac:dyDescent="0.25">
      <c r="B9447" s="11"/>
    </row>
    <row r="9448" spans="2:2" x14ac:dyDescent="0.25">
      <c r="B9448" s="11"/>
    </row>
    <row r="9449" spans="2:2" x14ac:dyDescent="0.25">
      <c r="B9449" s="11"/>
    </row>
    <row r="9450" spans="2:2" x14ac:dyDescent="0.25">
      <c r="B9450" s="11"/>
    </row>
    <row r="9451" spans="2:2" x14ac:dyDescent="0.25">
      <c r="B9451" s="11"/>
    </row>
    <row r="9452" spans="2:2" x14ac:dyDescent="0.25">
      <c r="B9452" s="11"/>
    </row>
    <row r="9453" spans="2:2" x14ac:dyDescent="0.25">
      <c r="B9453" s="11"/>
    </row>
    <row r="9454" spans="2:2" x14ac:dyDescent="0.25">
      <c r="B9454" s="11"/>
    </row>
    <row r="9455" spans="2:2" x14ac:dyDescent="0.25">
      <c r="B9455" s="11"/>
    </row>
    <row r="9456" spans="2:2" x14ac:dyDescent="0.25">
      <c r="B9456" s="11"/>
    </row>
    <row r="9457" spans="2:2" x14ac:dyDescent="0.25">
      <c r="B9457" s="11"/>
    </row>
    <row r="9458" spans="2:2" x14ac:dyDescent="0.25">
      <c r="B9458" s="11"/>
    </row>
    <row r="9459" spans="2:2" x14ac:dyDescent="0.25">
      <c r="B9459" s="11"/>
    </row>
    <row r="9460" spans="2:2" x14ac:dyDescent="0.25">
      <c r="B9460" s="11"/>
    </row>
    <row r="9461" spans="2:2" x14ac:dyDescent="0.25">
      <c r="B9461" s="11"/>
    </row>
    <row r="9462" spans="2:2" x14ac:dyDescent="0.25">
      <c r="B9462" s="11"/>
    </row>
    <row r="9463" spans="2:2" x14ac:dyDescent="0.25">
      <c r="B9463" s="11"/>
    </row>
    <row r="9464" spans="2:2" x14ac:dyDescent="0.25">
      <c r="B9464" s="11"/>
    </row>
    <row r="9465" spans="2:2" x14ac:dyDescent="0.25">
      <c r="B9465" s="11"/>
    </row>
    <row r="9466" spans="2:2" x14ac:dyDescent="0.25">
      <c r="B9466" s="11"/>
    </row>
    <row r="9467" spans="2:2" x14ac:dyDescent="0.25">
      <c r="B9467" s="11"/>
    </row>
    <row r="9468" spans="2:2" x14ac:dyDescent="0.25">
      <c r="B9468" s="11"/>
    </row>
    <row r="9469" spans="2:2" x14ac:dyDescent="0.25">
      <c r="B9469" s="11"/>
    </row>
    <row r="9470" spans="2:2" x14ac:dyDescent="0.25">
      <c r="B9470" s="11"/>
    </row>
    <row r="9471" spans="2:2" x14ac:dyDescent="0.25">
      <c r="B9471" s="11"/>
    </row>
    <row r="9472" spans="2:2" x14ac:dyDescent="0.25">
      <c r="B9472" s="11"/>
    </row>
    <row r="9473" spans="2:2" x14ac:dyDescent="0.25">
      <c r="B9473" s="11"/>
    </row>
    <row r="9474" spans="2:2" x14ac:dyDescent="0.25">
      <c r="B9474" s="11"/>
    </row>
    <row r="9475" spans="2:2" x14ac:dyDescent="0.25">
      <c r="B9475" s="11"/>
    </row>
    <row r="9476" spans="2:2" x14ac:dyDescent="0.25">
      <c r="B9476" s="11"/>
    </row>
    <row r="9477" spans="2:2" x14ac:dyDescent="0.25">
      <c r="B9477" s="11"/>
    </row>
    <row r="9478" spans="2:2" x14ac:dyDescent="0.25">
      <c r="B9478" s="11"/>
    </row>
    <row r="9479" spans="2:2" x14ac:dyDescent="0.25">
      <c r="B9479" s="11"/>
    </row>
    <row r="9480" spans="2:2" x14ac:dyDescent="0.25">
      <c r="B9480" s="11"/>
    </row>
    <row r="9481" spans="2:2" x14ac:dyDescent="0.25">
      <c r="B9481" s="11"/>
    </row>
    <row r="9482" spans="2:2" x14ac:dyDescent="0.25">
      <c r="B9482" s="11"/>
    </row>
    <row r="9483" spans="2:2" x14ac:dyDescent="0.25">
      <c r="B9483" s="11"/>
    </row>
    <row r="9484" spans="2:2" x14ac:dyDescent="0.25">
      <c r="B9484" s="11"/>
    </row>
    <row r="9485" spans="2:2" x14ac:dyDescent="0.25">
      <c r="B9485" s="11"/>
    </row>
    <row r="9486" spans="2:2" x14ac:dyDescent="0.25">
      <c r="B9486" s="11"/>
    </row>
    <row r="9487" spans="2:2" x14ac:dyDescent="0.25">
      <c r="B9487" s="11"/>
    </row>
    <row r="9488" spans="2:2" x14ac:dyDescent="0.25">
      <c r="B9488" s="11"/>
    </row>
    <row r="9489" spans="2:2" x14ac:dyDescent="0.25">
      <c r="B9489" s="11"/>
    </row>
    <row r="9490" spans="2:2" x14ac:dyDescent="0.25">
      <c r="B9490" s="11"/>
    </row>
    <row r="9491" spans="2:2" x14ac:dyDescent="0.25">
      <c r="B9491" s="11"/>
    </row>
    <row r="9492" spans="2:2" x14ac:dyDescent="0.25">
      <c r="B9492" s="11"/>
    </row>
    <row r="9493" spans="2:2" x14ac:dyDescent="0.25">
      <c r="B9493" s="11"/>
    </row>
    <row r="9494" spans="2:2" x14ac:dyDescent="0.25">
      <c r="B9494" s="11"/>
    </row>
    <row r="9495" spans="2:2" x14ac:dyDescent="0.25">
      <c r="B9495" s="11"/>
    </row>
    <row r="9496" spans="2:2" x14ac:dyDescent="0.25">
      <c r="B9496" s="11"/>
    </row>
    <row r="9497" spans="2:2" x14ac:dyDescent="0.25">
      <c r="B9497" s="11"/>
    </row>
    <row r="9498" spans="2:2" x14ac:dyDescent="0.25">
      <c r="B9498" s="11"/>
    </row>
    <row r="9499" spans="2:2" x14ac:dyDescent="0.25">
      <c r="B9499" s="11"/>
    </row>
    <row r="9500" spans="2:2" x14ac:dyDescent="0.25">
      <c r="B9500" s="11"/>
    </row>
    <row r="9501" spans="2:2" x14ac:dyDescent="0.25">
      <c r="B9501" s="11"/>
    </row>
    <row r="9502" spans="2:2" x14ac:dyDescent="0.25">
      <c r="B9502" s="11"/>
    </row>
    <row r="9503" spans="2:2" x14ac:dyDescent="0.25">
      <c r="B9503" s="11"/>
    </row>
    <row r="9504" spans="2:2" x14ac:dyDescent="0.25">
      <c r="B9504" s="11"/>
    </row>
    <row r="9505" spans="2:2" x14ac:dyDescent="0.25">
      <c r="B9505" s="11"/>
    </row>
    <row r="9506" spans="2:2" x14ac:dyDescent="0.25">
      <c r="B9506" s="11"/>
    </row>
    <row r="9507" spans="2:2" x14ac:dyDescent="0.25">
      <c r="B9507" s="11"/>
    </row>
    <row r="9508" spans="2:2" x14ac:dyDescent="0.25">
      <c r="B9508" s="11"/>
    </row>
    <row r="9509" spans="2:2" x14ac:dyDescent="0.25">
      <c r="B9509" s="11"/>
    </row>
    <row r="9510" spans="2:2" x14ac:dyDescent="0.25">
      <c r="B9510" s="11"/>
    </row>
    <row r="9511" spans="2:2" x14ac:dyDescent="0.25">
      <c r="B9511" s="11"/>
    </row>
    <row r="9512" spans="2:2" x14ac:dyDescent="0.25">
      <c r="B9512" s="11"/>
    </row>
    <row r="9513" spans="2:2" x14ac:dyDescent="0.25">
      <c r="B9513" s="11"/>
    </row>
    <row r="9514" spans="2:2" x14ac:dyDescent="0.25">
      <c r="B9514" s="11"/>
    </row>
    <row r="9515" spans="2:2" x14ac:dyDescent="0.25">
      <c r="B9515" s="11"/>
    </row>
    <row r="9516" spans="2:2" x14ac:dyDescent="0.25">
      <c r="B9516" s="11"/>
    </row>
    <row r="9517" spans="2:2" x14ac:dyDescent="0.25">
      <c r="B9517" s="11"/>
    </row>
    <row r="9518" spans="2:2" x14ac:dyDescent="0.25">
      <c r="B9518" s="11"/>
    </row>
    <row r="9519" spans="2:2" x14ac:dyDescent="0.25">
      <c r="B9519" s="11"/>
    </row>
    <row r="9520" spans="2:2" x14ac:dyDescent="0.25">
      <c r="B9520" s="11"/>
    </row>
    <row r="9521" spans="2:2" x14ac:dyDescent="0.25">
      <c r="B9521" s="11"/>
    </row>
    <row r="9522" spans="2:2" x14ac:dyDescent="0.25">
      <c r="B9522" s="11"/>
    </row>
    <row r="9523" spans="2:2" x14ac:dyDescent="0.25">
      <c r="B9523" s="11"/>
    </row>
    <row r="9524" spans="2:2" x14ac:dyDescent="0.25">
      <c r="B9524" s="11"/>
    </row>
    <row r="9525" spans="2:2" x14ac:dyDescent="0.25">
      <c r="B9525" s="11"/>
    </row>
    <row r="9526" spans="2:2" x14ac:dyDescent="0.25">
      <c r="B9526" s="11"/>
    </row>
    <row r="9527" spans="2:2" x14ac:dyDescent="0.25">
      <c r="B9527" s="11"/>
    </row>
    <row r="9528" spans="2:2" x14ac:dyDescent="0.25">
      <c r="B9528" s="11"/>
    </row>
    <row r="9529" spans="2:2" x14ac:dyDescent="0.25">
      <c r="B9529" s="11"/>
    </row>
    <row r="9530" spans="2:2" x14ac:dyDescent="0.25">
      <c r="B9530" s="11"/>
    </row>
    <row r="9531" spans="2:2" x14ac:dyDescent="0.25">
      <c r="B9531" s="11"/>
    </row>
    <row r="9532" spans="2:2" x14ac:dyDescent="0.25">
      <c r="B9532" s="11"/>
    </row>
    <row r="9533" spans="2:2" x14ac:dyDescent="0.25">
      <c r="B9533" s="11"/>
    </row>
    <row r="9534" spans="2:2" x14ac:dyDescent="0.25">
      <c r="B9534" s="11"/>
    </row>
    <row r="9535" spans="2:2" x14ac:dyDescent="0.25">
      <c r="B9535" s="11"/>
    </row>
    <row r="9536" spans="2:2" x14ac:dyDescent="0.25">
      <c r="B9536" s="11"/>
    </row>
    <row r="9537" spans="2:2" x14ac:dyDescent="0.25">
      <c r="B9537" s="11"/>
    </row>
    <row r="9538" spans="2:2" x14ac:dyDescent="0.25">
      <c r="B9538" s="11"/>
    </row>
    <row r="9539" spans="2:2" x14ac:dyDescent="0.25">
      <c r="B9539" s="11"/>
    </row>
    <row r="9540" spans="2:2" x14ac:dyDescent="0.25">
      <c r="B9540" s="11"/>
    </row>
    <row r="9541" spans="2:2" x14ac:dyDescent="0.25">
      <c r="B9541" s="11"/>
    </row>
    <row r="9542" spans="2:2" x14ac:dyDescent="0.25">
      <c r="B9542" s="11"/>
    </row>
    <row r="9543" spans="2:2" x14ac:dyDescent="0.25">
      <c r="B9543" s="11"/>
    </row>
    <row r="9544" spans="2:2" x14ac:dyDescent="0.25">
      <c r="B9544" s="11"/>
    </row>
    <row r="9545" spans="2:2" x14ac:dyDescent="0.25">
      <c r="B9545" s="11"/>
    </row>
    <row r="9546" spans="2:2" x14ac:dyDescent="0.25">
      <c r="B9546" s="11"/>
    </row>
    <row r="9547" spans="2:2" x14ac:dyDescent="0.25">
      <c r="B9547" s="11"/>
    </row>
    <row r="9548" spans="2:2" x14ac:dyDescent="0.25">
      <c r="B9548" s="11"/>
    </row>
    <row r="9549" spans="2:2" x14ac:dyDescent="0.25">
      <c r="B9549" s="11"/>
    </row>
    <row r="9550" spans="2:2" x14ac:dyDescent="0.25">
      <c r="B9550" s="11"/>
    </row>
    <row r="9551" spans="2:2" x14ac:dyDescent="0.25">
      <c r="B9551" s="11"/>
    </row>
    <row r="9552" spans="2:2" x14ac:dyDescent="0.25">
      <c r="B9552" s="11"/>
    </row>
    <row r="9553" spans="2:2" x14ac:dyDescent="0.25">
      <c r="B9553" s="11"/>
    </row>
    <row r="9554" spans="2:2" x14ac:dyDescent="0.25">
      <c r="B9554" s="11"/>
    </row>
    <row r="9555" spans="2:2" x14ac:dyDescent="0.25">
      <c r="B9555" s="11"/>
    </row>
    <row r="9556" spans="2:2" x14ac:dyDescent="0.25">
      <c r="B9556" s="11"/>
    </row>
    <row r="9557" spans="2:2" x14ac:dyDescent="0.25">
      <c r="B9557" s="11"/>
    </row>
    <row r="9558" spans="2:2" x14ac:dyDescent="0.25">
      <c r="B9558" s="11"/>
    </row>
    <row r="9559" spans="2:2" x14ac:dyDescent="0.25">
      <c r="B9559" s="11"/>
    </row>
    <row r="9560" spans="2:2" x14ac:dyDescent="0.25">
      <c r="B9560" s="11"/>
    </row>
    <row r="9561" spans="2:2" x14ac:dyDescent="0.25">
      <c r="B9561" s="11"/>
    </row>
    <row r="9562" spans="2:2" x14ac:dyDescent="0.25">
      <c r="B9562" s="11"/>
    </row>
    <row r="9563" spans="2:2" x14ac:dyDescent="0.25">
      <c r="B9563" s="11"/>
    </row>
    <row r="9564" spans="2:2" x14ac:dyDescent="0.25">
      <c r="B9564" s="11"/>
    </row>
    <row r="9565" spans="2:2" x14ac:dyDescent="0.25">
      <c r="B9565" s="11"/>
    </row>
    <row r="9566" spans="2:2" x14ac:dyDescent="0.25">
      <c r="B9566" s="11"/>
    </row>
    <row r="9567" spans="2:2" x14ac:dyDescent="0.25">
      <c r="B9567" s="11"/>
    </row>
    <row r="9568" spans="2:2" x14ac:dyDescent="0.25">
      <c r="B9568" s="11"/>
    </row>
    <row r="9569" spans="2:2" x14ac:dyDescent="0.25">
      <c r="B9569" s="11"/>
    </row>
    <row r="9570" spans="2:2" x14ac:dyDescent="0.25">
      <c r="B9570" s="11"/>
    </row>
    <row r="9571" spans="2:2" x14ac:dyDescent="0.25">
      <c r="B9571" s="11"/>
    </row>
    <row r="9572" spans="2:2" x14ac:dyDescent="0.25">
      <c r="B9572" s="11"/>
    </row>
    <row r="9573" spans="2:2" x14ac:dyDescent="0.25">
      <c r="B9573" s="11"/>
    </row>
    <row r="9574" spans="2:2" x14ac:dyDescent="0.25">
      <c r="B9574" s="11"/>
    </row>
    <row r="9575" spans="2:2" x14ac:dyDescent="0.25">
      <c r="B9575" s="11"/>
    </row>
    <row r="9576" spans="2:2" x14ac:dyDescent="0.25">
      <c r="B9576" s="11"/>
    </row>
    <row r="9577" spans="2:2" x14ac:dyDescent="0.25">
      <c r="B9577" s="11"/>
    </row>
    <row r="9578" spans="2:2" x14ac:dyDescent="0.25">
      <c r="B9578" s="11"/>
    </row>
    <row r="9579" spans="2:2" x14ac:dyDescent="0.25">
      <c r="B9579" s="11"/>
    </row>
    <row r="9580" spans="2:2" x14ac:dyDescent="0.25">
      <c r="B9580" s="11"/>
    </row>
    <row r="9581" spans="2:2" x14ac:dyDescent="0.25">
      <c r="B9581" s="11"/>
    </row>
    <row r="9582" spans="2:2" x14ac:dyDescent="0.25">
      <c r="B9582" s="11"/>
    </row>
    <row r="9583" spans="2:2" x14ac:dyDescent="0.25">
      <c r="B9583" s="11"/>
    </row>
    <row r="9584" spans="2:2" x14ac:dyDescent="0.25">
      <c r="B9584" s="11"/>
    </row>
    <row r="9585" spans="2:2" x14ac:dyDescent="0.25">
      <c r="B9585" s="11"/>
    </row>
    <row r="9586" spans="2:2" x14ac:dyDescent="0.25">
      <c r="B9586" s="11"/>
    </row>
    <row r="9587" spans="2:2" x14ac:dyDescent="0.25">
      <c r="B9587" s="11"/>
    </row>
    <row r="9588" spans="2:2" x14ac:dyDescent="0.25">
      <c r="B9588" s="11"/>
    </row>
    <row r="9589" spans="2:2" x14ac:dyDescent="0.25">
      <c r="B9589" s="11"/>
    </row>
    <row r="9590" spans="2:2" x14ac:dyDescent="0.25">
      <c r="B9590" s="11"/>
    </row>
    <row r="9591" spans="2:2" x14ac:dyDescent="0.25">
      <c r="B9591" s="11"/>
    </row>
    <row r="9592" spans="2:2" x14ac:dyDescent="0.25">
      <c r="B9592" s="11"/>
    </row>
    <row r="9593" spans="2:2" x14ac:dyDescent="0.25">
      <c r="B9593" s="11"/>
    </row>
    <row r="9594" spans="2:2" x14ac:dyDescent="0.25">
      <c r="B9594" s="11"/>
    </row>
    <row r="9595" spans="2:2" x14ac:dyDescent="0.25">
      <c r="B9595" s="11"/>
    </row>
    <row r="9596" spans="2:2" x14ac:dyDescent="0.25">
      <c r="B9596" s="11"/>
    </row>
    <row r="9597" spans="2:2" x14ac:dyDescent="0.25">
      <c r="B9597" s="11"/>
    </row>
    <row r="9598" spans="2:2" x14ac:dyDescent="0.25">
      <c r="B9598" s="11"/>
    </row>
    <row r="9599" spans="2:2" x14ac:dyDescent="0.25">
      <c r="B9599" s="11"/>
    </row>
    <row r="9600" spans="2:2" x14ac:dyDescent="0.25">
      <c r="B9600" s="11"/>
    </row>
    <row r="9601" spans="2:2" x14ac:dyDescent="0.25">
      <c r="B9601" s="11"/>
    </row>
    <row r="9602" spans="2:2" x14ac:dyDescent="0.25">
      <c r="B9602" s="11"/>
    </row>
    <row r="9603" spans="2:2" x14ac:dyDescent="0.25">
      <c r="B9603" s="11"/>
    </row>
    <row r="9604" spans="2:2" x14ac:dyDescent="0.25">
      <c r="B9604" s="11"/>
    </row>
    <row r="9605" spans="2:2" x14ac:dyDescent="0.25">
      <c r="B9605" s="11"/>
    </row>
    <row r="9606" spans="2:2" x14ac:dyDescent="0.25">
      <c r="B9606" s="11"/>
    </row>
    <row r="9607" spans="2:2" x14ac:dyDescent="0.25">
      <c r="B9607" s="11"/>
    </row>
    <row r="9608" spans="2:2" x14ac:dyDescent="0.25">
      <c r="B9608" s="11"/>
    </row>
    <row r="9609" spans="2:2" x14ac:dyDescent="0.25">
      <c r="B9609" s="11"/>
    </row>
    <row r="9610" spans="2:2" x14ac:dyDescent="0.25">
      <c r="B9610" s="11"/>
    </row>
    <row r="9611" spans="2:2" x14ac:dyDescent="0.25">
      <c r="B9611" s="11"/>
    </row>
    <row r="9612" spans="2:2" x14ac:dyDescent="0.25">
      <c r="B9612" s="11"/>
    </row>
    <row r="9613" spans="2:2" x14ac:dyDescent="0.25">
      <c r="B9613" s="11"/>
    </row>
    <row r="9614" spans="2:2" x14ac:dyDescent="0.25">
      <c r="B9614" s="11"/>
    </row>
    <row r="9615" spans="2:2" x14ac:dyDescent="0.25">
      <c r="B9615" s="11"/>
    </row>
    <row r="9616" spans="2:2" x14ac:dyDescent="0.25">
      <c r="B9616" s="11"/>
    </row>
    <row r="9617" spans="2:2" x14ac:dyDescent="0.25">
      <c r="B9617" s="11"/>
    </row>
    <row r="9618" spans="2:2" x14ac:dyDescent="0.25">
      <c r="B9618" s="11"/>
    </row>
    <row r="9619" spans="2:2" x14ac:dyDescent="0.25">
      <c r="B9619" s="11"/>
    </row>
    <row r="9620" spans="2:2" x14ac:dyDescent="0.25">
      <c r="B9620" s="11"/>
    </row>
    <row r="9621" spans="2:2" x14ac:dyDescent="0.25">
      <c r="B9621" s="11"/>
    </row>
    <row r="9622" spans="2:2" x14ac:dyDescent="0.25">
      <c r="B9622" s="11"/>
    </row>
    <row r="9623" spans="2:2" x14ac:dyDescent="0.25">
      <c r="B9623" s="11"/>
    </row>
    <row r="9624" spans="2:2" x14ac:dyDescent="0.25">
      <c r="B9624" s="11"/>
    </row>
    <row r="9625" spans="2:2" x14ac:dyDescent="0.25">
      <c r="B9625" s="11"/>
    </row>
    <row r="9626" spans="2:2" x14ac:dyDescent="0.25">
      <c r="B9626" s="11"/>
    </row>
    <row r="9627" spans="2:2" x14ac:dyDescent="0.25">
      <c r="B9627" s="11"/>
    </row>
    <row r="9628" spans="2:2" x14ac:dyDescent="0.25">
      <c r="B9628" s="11"/>
    </row>
    <row r="9629" spans="2:2" x14ac:dyDescent="0.25">
      <c r="B9629" s="11"/>
    </row>
    <row r="9630" spans="2:2" x14ac:dyDescent="0.25">
      <c r="B9630" s="11"/>
    </row>
    <row r="9631" spans="2:2" x14ac:dyDescent="0.25">
      <c r="B9631" s="11"/>
    </row>
    <row r="9632" spans="2:2" x14ac:dyDescent="0.25">
      <c r="B9632" s="11"/>
    </row>
    <row r="9633" spans="2:2" x14ac:dyDescent="0.25">
      <c r="B9633" s="11"/>
    </row>
    <row r="9634" spans="2:2" x14ac:dyDescent="0.25">
      <c r="B9634" s="11"/>
    </row>
    <row r="9635" spans="2:2" x14ac:dyDescent="0.25">
      <c r="B9635" s="11"/>
    </row>
    <row r="9636" spans="2:2" x14ac:dyDescent="0.25">
      <c r="B9636" s="11"/>
    </row>
    <row r="9637" spans="2:2" x14ac:dyDescent="0.25">
      <c r="B9637" s="11"/>
    </row>
    <row r="9638" spans="2:2" x14ac:dyDescent="0.25">
      <c r="B9638" s="11"/>
    </row>
    <row r="9639" spans="2:2" x14ac:dyDescent="0.25">
      <c r="B9639" s="11"/>
    </row>
    <row r="9640" spans="2:2" x14ac:dyDescent="0.25">
      <c r="B9640" s="11"/>
    </row>
    <row r="9641" spans="2:2" x14ac:dyDescent="0.25">
      <c r="B9641" s="11"/>
    </row>
    <row r="9642" spans="2:2" x14ac:dyDescent="0.25">
      <c r="B9642" s="11"/>
    </row>
    <row r="9643" spans="2:2" x14ac:dyDescent="0.25">
      <c r="B9643" s="11"/>
    </row>
    <row r="9644" spans="2:2" x14ac:dyDescent="0.25">
      <c r="B9644" s="11"/>
    </row>
    <row r="9645" spans="2:2" x14ac:dyDescent="0.25">
      <c r="B9645" s="11"/>
    </row>
    <row r="9646" spans="2:2" x14ac:dyDescent="0.25">
      <c r="B9646" s="11"/>
    </row>
    <row r="9647" spans="2:2" x14ac:dyDescent="0.25">
      <c r="B9647" s="11"/>
    </row>
    <row r="9648" spans="2:2" x14ac:dyDescent="0.25">
      <c r="B9648" s="11"/>
    </row>
    <row r="9649" spans="2:2" x14ac:dyDescent="0.25">
      <c r="B9649" s="11"/>
    </row>
    <row r="9650" spans="2:2" x14ac:dyDescent="0.25">
      <c r="B9650" s="11"/>
    </row>
    <row r="9651" spans="2:2" x14ac:dyDescent="0.25">
      <c r="B9651" s="11"/>
    </row>
    <row r="9652" spans="2:2" x14ac:dyDescent="0.25">
      <c r="B9652" s="11"/>
    </row>
    <row r="9653" spans="2:2" x14ac:dyDescent="0.25">
      <c r="B9653" s="11"/>
    </row>
    <row r="9654" spans="2:2" x14ac:dyDescent="0.25">
      <c r="B9654" s="11"/>
    </row>
    <row r="9655" spans="2:2" x14ac:dyDescent="0.25">
      <c r="B9655" s="11"/>
    </row>
    <row r="9656" spans="2:2" x14ac:dyDescent="0.25">
      <c r="B9656" s="11"/>
    </row>
    <row r="9657" spans="2:2" x14ac:dyDescent="0.25">
      <c r="B9657" s="11"/>
    </row>
    <row r="9658" spans="2:2" x14ac:dyDescent="0.25">
      <c r="B9658" s="11"/>
    </row>
    <row r="9659" spans="2:2" x14ac:dyDescent="0.25">
      <c r="B9659" s="11"/>
    </row>
    <row r="9660" spans="2:2" x14ac:dyDescent="0.25">
      <c r="B9660" s="11"/>
    </row>
    <row r="9661" spans="2:2" x14ac:dyDescent="0.25">
      <c r="B9661" s="11"/>
    </row>
    <row r="9662" spans="2:2" x14ac:dyDescent="0.25">
      <c r="B9662" s="11"/>
    </row>
    <row r="9663" spans="2:2" x14ac:dyDescent="0.25">
      <c r="B9663" s="11"/>
    </row>
    <row r="9664" spans="2:2" x14ac:dyDescent="0.25">
      <c r="B9664" s="11"/>
    </row>
    <row r="9665" spans="2:2" x14ac:dyDescent="0.25">
      <c r="B9665" s="11"/>
    </row>
    <row r="9666" spans="2:2" x14ac:dyDescent="0.25">
      <c r="B9666" s="11"/>
    </row>
    <row r="9667" spans="2:2" x14ac:dyDescent="0.25">
      <c r="B9667" s="11"/>
    </row>
    <row r="9668" spans="2:2" x14ac:dyDescent="0.25">
      <c r="B9668" s="11"/>
    </row>
    <row r="9669" spans="2:2" x14ac:dyDescent="0.25">
      <c r="B9669" s="11"/>
    </row>
    <row r="9670" spans="2:2" x14ac:dyDescent="0.25">
      <c r="B9670" s="11"/>
    </row>
    <row r="9671" spans="2:2" x14ac:dyDescent="0.25">
      <c r="B9671" s="11"/>
    </row>
    <row r="9672" spans="2:2" x14ac:dyDescent="0.25">
      <c r="B9672" s="11"/>
    </row>
    <row r="9673" spans="2:2" x14ac:dyDescent="0.25">
      <c r="B9673" s="11"/>
    </row>
    <row r="9674" spans="2:2" x14ac:dyDescent="0.25">
      <c r="B9674" s="11"/>
    </row>
    <row r="9675" spans="2:2" x14ac:dyDescent="0.25">
      <c r="B9675" s="11"/>
    </row>
    <row r="9676" spans="2:2" x14ac:dyDescent="0.25">
      <c r="B9676" s="11"/>
    </row>
    <row r="9677" spans="2:2" x14ac:dyDescent="0.25">
      <c r="B9677" s="11"/>
    </row>
    <row r="9678" spans="2:2" x14ac:dyDescent="0.25">
      <c r="B9678" s="11"/>
    </row>
    <row r="9679" spans="2:2" x14ac:dyDescent="0.25">
      <c r="B9679" s="11"/>
    </row>
    <row r="9680" spans="2:2" x14ac:dyDescent="0.25">
      <c r="B9680" s="11"/>
    </row>
    <row r="9681" spans="2:2" x14ac:dyDescent="0.25">
      <c r="B9681" s="11"/>
    </row>
    <row r="9682" spans="2:2" x14ac:dyDescent="0.25">
      <c r="B9682" s="11"/>
    </row>
    <row r="9683" spans="2:2" x14ac:dyDescent="0.25">
      <c r="B9683" s="11"/>
    </row>
    <row r="9684" spans="2:2" x14ac:dyDescent="0.25">
      <c r="B9684" s="11"/>
    </row>
    <row r="9685" spans="2:2" x14ac:dyDescent="0.25">
      <c r="B9685" s="11"/>
    </row>
    <row r="9686" spans="2:2" x14ac:dyDescent="0.25">
      <c r="B9686" s="11"/>
    </row>
    <row r="9687" spans="2:2" x14ac:dyDescent="0.25">
      <c r="B9687" s="11"/>
    </row>
    <row r="9688" spans="2:2" x14ac:dyDescent="0.25">
      <c r="B9688" s="11"/>
    </row>
    <row r="9689" spans="2:2" x14ac:dyDescent="0.25">
      <c r="B9689" s="11"/>
    </row>
    <row r="9690" spans="2:2" x14ac:dyDescent="0.25">
      <c r="B9690" s="11"/>
    </row>
    <row r="9691" spans="2:2" x14ac:dyDescent="0.25">
      <c r="B9691" s="11"/>
    </row>
    <row r="9692" spans="2:2" x14ac:dyDescent="0.25">
      <c r="B9692" s="11"/>
    </row>
    <row r="9693" spans="2:2" x14ac:dyDescent="0.25">
      <c r="B9693" s="11"/>
    </row>
    <row r="9694" spans="2:2" x14ac:dyDescent="0.25">
      <c r="B9694" s="11"/>
    </row>
    <row r="9695" spans="2:2" x14ac:dyDescent="0.25">
      <c r="B9695" s="11"/>
    </row>
    <row r="9696" spans="2:2" x14ac:dyDescent="0.25">
      <c r="B9696" s="11"/>
    </row>
    <row r="9697" spans="2:2" x14ac:dyDescent="0.25">
      <c r="B9697" s="11"/>
    </row>
    <row r="9698" spans="2:2" x14ac:dyDescent="0.25">
      <c r="B9698" s="11"/>
    </row>
    <row r="9699" spans="2:2" x14ac:dyDescent="0.25">
      <c r="B9699" s="11"/>
    </row>
    <row r="9700" spans="2:2" x14ac:dyDescent="0.25">
      <c r="B9700" s="11"/>
    </row>
    <row r="9701" spans="2:2" x14ac:dyDescent="0.25">
      <c r="B9701" s="11"/>
    </row>
    <row r="9702" spans="2:2" x14ac:dyDescent="0.25">
      <c r="B9702" s="11"/>
    </row>
    <row r="9703" spans="2:2" x14ac:dyDescent="0.25">
      <c r="B9703" s="11"/>
    </row>
    <row r="9704" spans="2:2" x14ac:dyDescent="0.25">
      <c r="B9704" s="11"/>
    </row>
    <row r="9705" spans="2:2" x14ac:dyDescent="0.25">
      <c r="B9705" s="11"/>
    </row>
    <row r="9706" spans="2:2" x14ac:dyDescent="0.25">
      <c r="B9706" s="11"/>
    </row>
    <row r="9707" spans="2:2" x14ac:dyDescent="0.25">
      <c r="B9707" s="11"/>
    </row>
    <row r="9708" spans="2:2" x14ac:dyDescent="0.25">
      <c r="B9708" s="11"/>
    </row>
    <row r="9709" spans="2:2" x14ac:dyDescent="0.25">
      <c r="B9709" s="11"/>
    </row>
    <row r="9710" spans="2:2" x14ac:dyDescent="0.25">
      <c r="B9710" s="11"/>
    </row>
    <row r="9711" spans="2:2" x14ac:dyDescent="0.25">
      <c r="B9711" s="11"/>
    </row>
    <row r="9712" spans="2:2" x14ac:dyDescent="0.25">
      <c r="B9712" s="11"/>
    </row>
    <row r="9713" spans="2:2" x14ac:dyDescent="0.25">
      <c r="B9713" s="11"/>
    </row>
    <row r="9714" spans="2:2" x14ac:dyDescent="0.25">
      <c r="B9714" s="11"/>
    </row>
    <row r="9715" spans="2:2" x14ac:dyDescent="0.25">
      <c r="B9715" s="11"/>
    </row>
    <row r="9716" spans="2:2" x14ac:dyDescent="0.25">
      <c r="B9716" s="11"/>
    </row>
    <row r="9717" spans="2:2" x14ac:dyDescent="0.25">
      <c r="B9717" s="11"/>
    </row>
    <row r="9718" spans="2:2" x14ac:dyDescent="0.25">
      <c r="B9718" s="11"/>
    </row>
    <row r="9719" spans="2:2" x14ac:dyDescent="0.25">
      <c r="B9719" s="11"/>
    </row>
    <row r="9720" spans="2:2" x14ac:dyDescent="0.25">
      <c r="B9720" s="11"/>
    </row>
    <row r="9721" spans="2:2" x14ac:dyDescent="0.25">
      <c r="B9721" s="11"/>
    </row>
    <row r="9722" spans="2:2" x14ac:dyDescent="0.25">
      <c r="B9722" s="11"/>
    </row>
    <row r="9723" spans="2:2" x14ac:dyDescent="0.25">
      <c r="B9723" s="11"/>
    </row>
    <row r="9724" spans="2:2" x14ac:dyDescent="0.25">
      <c r="B9724" s="11"/>
    </row>
    <row r="9725" spans="2:2" x14ac:dyDescent="0.25">
      <c r="B9725" s="11"/>
    </row>
    <row r="9726" spans="2:2" x14ac:dyDescent="0.25">
      <c r="B9726" s="11"/>
    </row>
    <row r="9727" spans="2:2" x14ac:dyDescent="0.25">
      <c r="B9727" s="11"/>
    </row>
    <row r="9728" spans="2:2" x14ac:dyDescent="0.25">
      <c r="B9728" s="11"/>
    </row>
    <row r="9729" spans="2:2" x14ac:dyDescent="0.25">
      <c r="B9729" s="11"/>
    </row>
    <row r="9730" spans="2:2" x14ac:dyDescent="0.25">
      <c r="B9730" s="11"/>
    </row>
    <row r="9731" spans="2:2" x14ac:dyDescent="0.25">
      <c r="B9731" s="11"/>
    </row>
    <row r="9732" spans="2:2" x14ac:dyDescent="0.25">
      <c r="B9732" s="11"/>
    </row>
    <row r="9733" spans="2:2" x14ac:dyDescent="0.25">
      <c r="B9733" s="11"/>
    </row>
    <row r="9734" spans="2:2" x14ac:dyDescent="0.25">
      <c r="B9734" s="11"/>
    </row>
    <row r="9735" spans="2:2" x14ac:dyDescent="0.25">
      <c r="B9735" s="11"/>
    </row>
    <row r="9736" spans="2:2" x14ac:dyDescent="0.25">
      <c r="B9736" s="11"/>
    </row>
    <row r="9737" spans="2:2" x14ac:dyDescent="0.25">
      <c r="B9737" s="11"/>
    </row>
    <row r="9738" spans="2:2" x14ac:dyDescent="0.25">
      <c r="B9738" s="11"/>
    </row>
    <row r="9739" spans="2:2" x14ac:dyDescent="0.25">
      <c r="B9739" s="11"/>
    </row>
    <row r="9740" spans="2:2" x14ac:dyDescent="0.25">
      <c r="B9740" s="11"/>
    </row>
    <row r="9741" spans="2:2" x14ac:dyDescent="0.25">
      <c r="B9741" s="11"/>
    </row>
    <row r="9742" spans="2:2" x14ac:dyDescent="0.25">
      <c r="B9742" s="11"/>
    </row>
    <row r="9743" spans="2:2" x14ac:dyDescent="0.25">
      <c r="B9743" s="11"/>
    </row>
    <row r="9744" spans="2:2" x14ac:dyDescent="0.25">
      <c r="B9744" s="11"/>
    </row>
    <row r="9745" spans="2:2" x14ac:dyDescent="0.25">
      <c r="B9745" s="11"/>
    </row>
    <row r="9746" spans="2:2" x14ac:dyDescent="0.25">
      <c r="B9746" s="11"/>
    </row>
    <row r="9747" spans="2:2" x14ac:dyDescent="0.25">
      <c r="B9747" s="11"/>
    </row>
    <row r="9748" spans="2:2" x14ac:dyDescent="0.25">
      <c r="B9748" s="11"/>
    </row>
    <row r="9749" spans="2:2" x14ac:dyDescent="0.25">
      <c r="B9749" s="11"/>
    </row>
    <row r="9750" spans="2:2" x14ac:dyDescent="0.25">
      <c r="B9750" s="11"/>
    </row>
    <row r="9751" spans="2:2" x14ac:dyDescent="0.25">
      <c r="B9751" s="11"/>
    </row>
    <row r="9752" spans="2:2" x14ac:dyDescent="0.25">
      <c r="B9752" s="11"/>
    </row>
    <row r="9753" spans="2:2" x14ac:dyDescent="0.25">
      <c r="B9753" s="11"/>
    </row>
    <row r="9754" spans="2:2" x14ac:dyDescent="0.25">
      <c r="B9754" s="11"/>
    </row>
    <row r="9755" spans="2:2" x14ac:dyDescent="0.25">
      <c r="B9755" s="11"/>
    </row>
    <row r="9756" spans="2:2" x14ac:dyDescent="0.25">
      <c r="B9756" s="11"/>
    </row>
    <row r="9757" spans="2:2" x14ac:dyDescent="0.25">
      <c r="B9757" s="11"/>
    </row>
    <row r="9758" spans="2:2" x14ac:dyDescent="0.25">
      <c r="B9758" s="11"/>
    </row>
    <row r="9759" spans="2:2" x14ac:dyDescent="0.25">
      <c r="B9759" s="11"/>
    </row>
    <row r="9760" spans="2:2" x14ac:dyDescent="0.25">
      <c r="B9760" s="11"/>
    </row>
    <row r="9761" spans="2:2" x14ac:dyDescent="0.25">
      <c r="B9761" s="11"/>
    </row>
    <row r="9762" spans="2:2" x14ac:dyDescent="0.25">
      <c r="B9762" s="11"/>
    </row>
    <row r="9763" spans="2:2" x14ac:dyDescent="0.25">
      <c r="B9763" s="11"/>
    </row>
    <row r="9764" spans="2:2" x14ac:dyDescent="0.25">
      <c r="B9764" s="11"/>
    </row>
    <row r="9765" spans="2:2" x14ac:dyDescent="0.25">
      <c r="B9765" s="11"/>
    </row>
    <row r="9766" spans="2:2" x14ac:dyDescent="0.25">
      <c r="B9766" s="11"/>
    </row>
    <row r="9767" spans="2:2" x14ac:dyDescent="0.25">
      <c r="B9767" s="11"/>
    </row>
    <row r="9768" spans="2:2" x14ac:dyDescent="0.25">
      <c r="B9768" s="11"/>
    </row>
    <row r="9769" spans="2:2" x14ac:dyDescent="0.25">
      <c r="B9769" s="11"/>
    </row>
    <row r="9770" spans="2:2" x14ac:dyDescent="0.25">
      <c r="B9770" s="11"/>
    </row>
    <row r="9771" spans="2:2" x14ac:dyDescent="0.25">
      <c r="B9771" s="11"/>
    </row>
    <row r="9772" spans="2:2" x14ac:dyDescent="0.25">
      <c r="B9772" s="11"/>
    </row>
    <row r="9773" spans="2:2" x14ac:dyDescent="0.25">
      <c r="B9773" s="11"/>
    </row>
    <row r="9774" spans="2:2" x14ac:dyDescent="0.25">
      <c r="B9774" s="11"/>
    </row>
    <row r="9775" spans="2:2" x14ac:dyDescent="0.25">
      <c r="B9775" s="11"/>
    </row>
    <row r="9776" spans="2:2" x14ac:dyDescent="0.25">
      <c r="B9776" s="11"/>
    </row>
    <row r="9777" spans="2:2" x14ac:dyDescent="0.25">
      <c r="B9777" s="11"/>
    </row>
    <row r="9778" spans="2:2" x14ac:dyDescent="0.25">
      <c r="B9778" s="11"/>
    </row>
    <row r="9779" spans="2:2" x14ac:dyDescent="0.25">
      <c r="B9779" s="11"/>
    </row>
    <row r="9780" spans="2:2" x14ac:dyDescent="0.25">
      <c r="B9780" s="11"/>
    </row>
    <row r="9781" spans="2:2" x14ac:dyDescent="0.25">
      <c r="B9781" s="11"/>
    </row>
    <row r="9782" spans="2:2" x14ac:dyDescent="0.25">
      <c r="B9782" s="11"/>
    </row>
    <row r="9783" spans="2:2" x14ac:dyDescent="0.25">
      <c r="B9783" s="11"/>
    </row>
    <row r="9784" spans="2:2" x14ac:dyDescent="0.25">
      <c r="B9784" s="11"/>
    </row>
    <row r="9785" spans="2:2" x14ac:dyDescent="0.25">
      <c r="B9785" s="11"/>
    </row>
    <row r="9786" spans="2:2" x14ac:dyDescent="0.25">
      <c r="B9786" s="11"/>
    </row>
    <row r="9787" spans="2:2" x14ac:dyDescent="0.25">
      <c r="B9787" s="11"/>
    </row>
    <row r="9788" spans="2:2" x14ac:dyDescent="0.25">
      <c r="B9788" s="11"/>
    </row>
    <row r="9789" spans="2:2" x14ac:dyDescent="0.25">
      <c r="B9789" s="11"/>
    </row>
    <row r="9790" spans="2:2" x14ac:dyDescent="0.25">
      <c r="B9790" s="11"/>
    </row>
    <row r="9791" spans="2:2" x14ac:dyDescent="0.25">
      <c r="B9791" s="11"/>
    </row>
    <row r="9792" spans="2:2" x14ac:dyDescent="0.25">
      <c r="B9792" s="11"/>
    </row>
    <row r="9793" spans="2:2" x14ac:dyDescent="0.25">
      <c r="B9793" s="11"/>
    </row>
    <row r="9794" spans="2:2" x14ac:dyDescent="0.25">
      <c r="B9794" s="11"/>
    </row>
    <row r="9795" spans="2:2" x14ac:dyDescent="0.25">
      <c r="B9795" s="11"/>
    </row>
    <row r="9796" spans="2:2" x14ac:dyDescent="0.25">
      <c r="B9796" s="11"/>
    </row>
    <row r="9797" spans="2:2" x14ac:dyDescent="0.25">
      <c r="B9797" s="11"/>
    </row>
    <row r="9798" spans="2:2" x14ac:dyDescent="0.25">
      <c r="B9798" s="11"/>
    </row>
    <row r="9799" spans="2:2" x14ac:dyDescent="0.25">
      <c r="B9799" s="11"/>
    </row>
    <row r="9800" spans="2:2" x14ac:dyDescent="0.25">
      <c r="B9800" s="11"/>
    </row>
    <row r="9801" spans="2:2" x14ac:dyDescent="0.25">
      <c r="B9801" s="11"/>
    </row>
    <row r="9802" spans="2:2" x14ac:dyDescent="0.25">
      <c r="B9802" s="11"/>
    </row>
    <row r="9803" spans="2:2" x14ac:dyDescent="0.25">
      <c r="B9803" s="11"/>
    </row>
    <row r="9804" spans="2:2" x14ac:dyDescent="0.25">
      <c r="B9804" s="11"/>
    </row>
    <row r="9805" spans="2:2" x14ac:dyDescent="0.25">
      <c r="B9805" s="11"/>
    </row>
    <row r="9806" spans="2:2" x14ac:dyDescent="0.25">
      <c r="B9806" s="11"/>
    </row>
    <row r="9807" spans="2:2" x14ac:dyDescent="0.25">
      <c r="B9807" s="11"/>
    </row>
    <row r="9808" spans="2:2" x14ac:dyDescent="0.25">
      <c r="B9808" s="11"/>
    </row>
    <row r="9809" spans="2:2" x14ac:dyDescent="0.25">
      <c r="B9809" s="11"/>
    </row>
    <row r="9810" spans="2:2" x14ac:dyDescent="0.25">
      <c r="B9810" s="11"/>
    </row>
    <row r="9811" spans="2:2" x14ac:dyDescent="0.25">
      <c r="B9811" s="11"/>
    </row>
    <row r="9812" spans="2:2" x14ac:dyDescent="0.25">
      <c r="B9812" s="11"/>
    </row>
    <row r="9813" spans="2:2" x14ac:dyDescent="0.25">
      <c r="B9813" s="11"/>
    </row>
    <row r="9814" spans="2:2" x14ac:dyDescent="0.25">
      <c r="B9814" s="11"/>
    </row>
    <row r="9815" spans="2:2" x14ac:dyDescent="0.25">
      <c r="B9815" s="11"/>
    </row>
    <row r="9816" spans="2:2" x14ac:dyDescent="0.25">
      <c r="B9816" s="11"/>
    </row>
    <row r="9817" spans="2:2" x14ac:dyDescent="0.25">
      <c r="B9817" s="11"/>
    </row>
    <row r="9818" spans="2:2" x14ac:dyDescent="0.25">
      <c r="B9818" s="11"/>
    </row>
    <row r="9819" spans="2:2" x14ac:dyDescent="0.25">
      <c r="B9819" s="11"/>
    </row>
    <row r="9820" spans="2:2" x14ac:dyDescent="0.25">
      <c r="B9820" s="11"/>
    </row>
    <row r="9821" spans="2:2" x14ac:dyDescent="0.25">
      <c r="B9821" s="11"/>
    </row>
    <row r="9822" spans="2:2" x14ac:dyDescent="0.25">
      <c r="B9822" s="11"/>
    </row>
    <row r="9823" spans="2:2" x14ac:dyDescent="0.25">
      <c r="B9823" s="11"/>
    </row>
    <row r="9824" spans="2:2" x14ac:dyDescent="0.25">
      <c r="B9824" s="11"/>
    </row>
    <row r="9825" spans="2:2" x14ac:dyDescent="0.25">
      <c r="B9825" s="11"/>
    </row>
    <row r="9826" spans="2:2" x14ac:dyDescent="0.25">
      <c r="B9826" s="11"/>
    </row>
    <row r="9827" spans="2:2" x14ac:dyDescent="0.25">
      <c r="B9827" s="11"/>
    </row>
    <row r="9828" spans="2:2" x14ac:dyDescent="0.25">
      <c r="B9828" s="11"/>
    </row>
    <row r="9829" spans="2:2" x14ac:dyDescent="0.25">
      <c r="B9829" s="11"/>
    </row>
    <row r="9830" spans="2:2" x14ac:dyDescent="0.25">
      <c r="B9830" s="11"/>
    </row>
    <row r="9831" spans="2:2" x14ac:dyDescent="0.25">
      <c r="B9831" s="11"/>
    </row>
    <row r="9832" spans="2:2" x14ac:dyDescent="0.25">
      <c r="B9832" s="11"/>
    </row>
    <row r="9833" spans="2:2" x14ac:dyDescent="0.25">
      <c r="B9833" s="11"/>
    </row>
    <row r="9834" spans="2:2" x14ac:dyDescent="0.25">
      <c r="B9834" s="11"/>
    </row>
    <row r="9835" spans="2:2" x14ac:dyDescent="0.25">
      <c r="B9835" s="11"/>
    </row>
    <row r="9836" spans="2:2" x14ac:dyDescent="0.25">
      <c r="B9836" s="11"/>
    </row>
    <row r="9837" spans="2:2" x14ac:dyDescent="0.25">
      <c r="B9837" s="11"/>
    </row>
    <row r="9838" spans="2:2" x14ac:dyDescent="0.25">
      <c r="B9838" s="11"/>
    </row>
    <row r="9839" spans="2:2" x14ac:dyDescent="0.25">
      <c r="B9839" s="11"/>
    </row>
    <row r="9840" spans="2:2" x14ac:dyDescent="0.25">
      <c r="B9840" s="11"/>
    </row>
    <row r="9841" spans="2:2" x14ac:dyDescent="0.25">
      <c r="B9841" s="11"/>
    </row>
    <row r="9842" spans="2:2" x14ac:dyDescent="0.25">
      <c r="B9842" s="11"/>
    </row>
    <row r="9843" spans="2:2" x14ac:dyDescent="0.25">
      <c r="B9843" s="11"/>
    </row>
    <row r="9844" spans="2:2" x14ac:dyDescent="0.25">
      <c r="B9844" s="11"/>
    </row>
    <row r="9845" spans="2:2" x14ac:dyDescent="0.25">
      <c r="B9845" s="11"/>
    </row>
    <row r="9846" spans="2:2" x14ac:dyDescent="0.25">
      <c r="B9846" s="11"/>
    </row>
    <row r="9847" spans="2:2" x14ac:dyDescent="0.25">
      <c r="B9847" s="11"/>
    </row>
    <row r="9848" spans="2:2" x14ac:dyDescent="0.25">
      <c r="B9848" s="11"/>
    </row>
    <row r="9849" spans="2:2" x14ac:dyDescent="0.25">
      <c r="B9849" s="11"/>
    </row>
    <row r="9850" spans="2:2" x14ac:dyDescent="0.25">
      <c r="B9850" s="11"/>
    </row>
    <row r="9851" spans="2:2" x14ac:dyDescent="0.25">
      <c r="B9851" s="11"/>
    </row>
    <row r="9852" spans="2:2" x14ac:dyDescent="0.25">
      <c r="B9852" s="11"/>
    </row>
    <row r="9853" spans="2:2" x14ac:dyDescent="0.25">
      <c r="B9853" s="11"/>
    </row>
    <row r="9854" spans="2:2" x14ac:dyDescent="0.25">
      <c r="B9854" s="11"/>
    </row>
    <row r="9855" spans="2:2" x14ac:dyDescent="0.25">
      <c r="B9855" s="11"/>
    </row>
    <row r="9856" spans="2:2" x14ac:dyDescent="0.25">
      <c r="B9856" s="11"/>
    </row>
    <row r="9857" spans="2:2" x14ac:dyDescent="0.25">
      <c r="B9857" s="11"/>
    </row>
    <row r="9858" spans="2:2" x14ac:dyDescent="0.25">
      <c r="B9858" s="11"/>
    </row>
    <row r="9859" spans="2:2" x14ac:dyDescent="0.25">
      <c r="B9859" s="11"/>
    </row>
    <row r="9860" spans="2:2" x14ac:dyDescent="0.25">
      <c r="B9860" s="11"/>
    </row>
    <row r="9861" spans="2:2" x14ac:dyDescent="0.25">
      <c r="B9861" s="11"/>
    </row>
    <row r="9862" spans="2:2" x14ac:dyDescent="0.25">
      <c r="B9862" s="11"/>
    </row>
    <row r="9863" spans="2:2" x14ac:dyDescent="0.25">
      <c r="B9863" s="11"/>
    </row>
    <row r="9864" spans="2:2" x14ac:dyDescent="0.25">
      <c r="B9864" s="11"/>
    </row>
    <row r="9865" spans="2:2" x14ac:dyDescent="0.25">
      <c r="B9865" s="11"/>
    </row>
    <row r="9866" spans="2:2" x14ac:dyDescent="0.25">
      <c r="B9866" s="11"/>
    </row>
    <row r="9867" spans="2:2" x14ac:dyDescent="0.25">
      <c r="B9867" s="11"/>
    </row>
    <row r="9868" spans="2:2" x14ac:dyDescent="0.25">
      <c r="B9868" s="11"/>
    </row>
    <row r="9869" spans="2:2" x14ac:dyDescent="0.25">
      <c r="B9869" s="11"/>
    </row>
    <row r="9870" spans="2:2" x14ac:dyDescent="0.25">
      <c r="B9870" s="11"/>
    </row>
    <row r="9871" spans="2:2" x14ac:dyDescent="0.25">
      <c r="B9871" s="11"/>
    </row>
    <row r="9872" spans="2:2" x14ac:dyDescent="0.25">
      <c r="B9872" s="11"/>
    </row>
    <row r="9873" spans="2:2" x14ac:dyDescent="0.25">
      <c r="B9873" s="11"/>
    </row>
    <row r="9874" spans="2:2" x14ac:dyDescent="0.25">
      <c r="B9874" s="11"/>
    </row>
    <row r="9875" spans="2:2" x14ac:dyDescent="0.25">
      <c r="B9875" s="11"/>
    </row>
    <row r="9876" spans="2:2" x14ac:dyDescent="0.25">
      <c r="B9876" s="11"/>
    </row>
    <row r="9877" spans="2:2" x14ac:dyDescent="0.25">
      <c r="B9877" s="11"/>
    </row>
    <row r="9878" spans="2:2" x14ac:dyDescent="0.25">
      <c r="B9878" s="11"/>
    </row>
    <row r="9879" spans="2:2" x14ac:dyDescent="0.25">
      <c r="B9879" s="11"/>
    </row>
    <row r="9880" spans="2:2" x14ac:dyDescent="0.25">
      <c r="B9880" s="11"/>
    </row>
    <row r="9881" spans="2:2" x14ac:dyDescent="0.25">
      <c r="B9881" s="11"/>
    </row>
    <row r="9882" spans="2:2" x14ac:dyDescent="0.25">
      <c r="B9882" s="11"/>
    </row>
    <row r="9883" spans="2:2" x14ac:dyDescent="0.25">
      <c r="B9883" s="11"/>
    </row>
    <row r="9884" spans="2:2" x14ac:dyDescent="0.25">
      <c r="B9884" s="11"/>
    </row>
    <row r="9885" spans="2:2" x14ac:dyDescent="0.25">
      <c r="B9885" s="11"/>
    </row>
    <row r="9886" spans="2:2" x14ac:dyDescent="0.25">
      <c r="B9886" s="11"/>
    </row>
    <row r="9887" spans="2:2" x14ac:dyDescent="0.25">
      <c r="B9887" s="11"/>
    </row>
    <row r="9888" spans="2:2" x14ac:dyDescent="0.25">
      <c r="B9888" s="11"/>
    </row>
    <row r="9889" spans="2:2" x14ac:dyDescent="0.25">
      <c r="B9889" s="11"/>
    </row>
    <row r="9890" spans="2:2" x14ac:dyDescent="0.25">
      <c r="B9890" s="11"/>
    </row>
    <row r="9891" spans="2:2" x14ac:dyDescent="0.25">
      <c r="B9891" s="11"/>
    </row>
    <row r="9892" spans="2:2" x14ac:dyDescent="0.25">
      <c r="B9892" s="11"/>
    </row>
    <row r="9893" spans="2:2" x14ac:dyDescent="0.25">
      <c r="B9893" s="11"/>
    </row>
    <row r="9894" spans="2:2" x14ac:dyDescent="0.25">
      <c r="B9894" s="11"/>
    </row>
    <row r="9895" spans="2:2" x14ac:dyDescent="0.25">
      <c r="B9895" s="11"/>
    </row>
    <row r="9896" spans="2:2" x14ac:dyDescent="0.25">
      <c r="B9896" s="11"/>
    </row>
    <row r="9897" spans="2:2" x14ac:dyDescent="0.25">
      <c r="B9897" s="11"/>
    </row>
    <row r="9898" spans="2:2" x14ac:dyDescent="0.25">
      <c r="B9898" s="11"/>
    </row>
    <row r="9899" spans="2:2" x14ac:dyDescent="0.25">
      <c r="B9899" s="11"/>
    </row>
    <row r="9900" spans="2:2" x14ac:dyDescent="0.25">
      <c r="B9900" s="11"/>
    </row>
    <row r="9901" spans="2:2" x14ac:dyDescent="0.25">
      <c r="B9901" s="11"/>
    </row>
    <row r="9902" spans="2:2" x14ac:dyDescent="0.25">
      <c r="B9902" s="11"/>
    </row>
    <row r="9903" spans="2:2" x14ac:dyDescent="0.25">
      <c r="B9903" s="11"/>
    </row>
    <row r="9904" spans="2:2" x14ac:dyDescent="0.25">
      <c r="B9904" s="11"/>
    </row>
    <row r="9905" spans="2:2" x14ac:dyDescent="0.25">
      <c r="B9905" s="11"/>
    </row>
    <row r="9906" spans="2:2" x14ac:dyDescent="0.25">
      <c r="B9906" s="11"/>
    </row>
    <row r="9907" spans="2:2" x14ac:dyDescent="0.25">
      <c r="B9907" s="11"/>
    </row>
    <row r="9908" spans="2:2" x14ac:dyDescent="0.25">
      <c r="B9908" s="11"/>
    </row>
    <row r="9909" spans="2:2" x14ac:dyDescent="0.25">
      <c r="B9909" s="11"/>
    </row>
    <row r="9910" spans="2:2" x14ac:dyDescent="0.25">
      <c r="B9910" s="11"/>
    </row>
    <row r="9911" spans="2:2" x14ac:dyDescent="0.25">
      <c r="B9911" s="11"/>
    </row>
    <row r="9912" spans="2:2" x14ac:dyDescent="0.25">
      <c r="B9912" s="11"/>
    </row>
    <row r="9913" spans="2:2" x14ac:dyDescent="0.25">
      <c r="B9913" s="11"/>
    </row>
    <row r="9914" spans="2:2" x14ac:dyDescent="0.25">
      <c r="B9914" s="11"/>
    </row>
    <row r="9915" spans="2:2" x14ac:dyDescent="0.25">
      <c r="B9915" s="11"/>
    </row>
    <row r="9916" spans="2:2" x14ac:dyDescent="0.25">
      <c r="B9916" s="11"/>
    </row>
    <row r="9917" spans="2:2" x14ac:dyDescent="0.25">
      <c r="B9917" s="11"/>
    </row>
    <row r="9918" spans="2:2" x14ac:dyDescent="0.25">
      <c r="B9918" s="11"/>
    </row>
    <row r="9919" spans="2:2" x14ac:dyDescent="0.25">
      <c r="B9919" s="11"/>
    </row>
    <row r="9920" spans="2:2" x14ac:dyDescent="0.25">
      <c r="B9920" s="11"/>
    </row>
    <row r="9921" spans="2:2" x14ac:dyDescent="0.25">
      <c r="B9921" s="11"/>
    </row>
    <row r="9922" spans="2:2" x14ac:dyDescent="0.25">
      <c r="B9922" s="11"/>
    </row>
    <row r="9923" spans="2:2" x14ac:dyDescent="0.25">
      <c r="B9923" s="11"/>
    </row>
    <row r="9924" spans="2:2" x14ac:dyDescent="0.25">
      <c r="B9924" s="11"/>
    </row>
    <row r="9925" spans="2:2" x14ac:dyDescent="0.25">
      <c r="B9925" s="11"/>
    </row>
    <row r="9926" spans="2:2" x14ac:dyDescent="0.25">
      <c r="B9926" s="11"/>
    </row>
    <row r="9927" spans="2:2" x14ac:dyDescent="0.25">
      <c r="B9927" s="11"/>
    </row>
    <row r="9928" spans="2:2" x14ac:dyDescent="0.25">
      <c r="B9928" s="11"/>
    </row>
    <row r="9929" spans="2:2" x14ac:dyDescent="0.25">
      <c r="B9929" s="11"/>
    </row>
    <row r="9930" spans="2:2" x14ac:dyDescent="0.25">
      <c r="B9930" s="11"/>
    </row>
    <row r="9931" spans="2:2" x14ac:dyDescent="0.25">
      <c r="B9931" s="11"/>
    </row>
    <row r="9932" spans="2:2" x14ac:dyDescent="0.25">
      <c r="B9932" s="11"/>
    </row>
    <row r="9933" spans="2:2" x14ac:dyDescent="0.25">
      <c r="B9933" s="11"/>
    </row>
    <row r="9934" spans="2:2" x14ac:dyDescent="0.25">
      <c r="B9934" s="11"/>
    </row>
    <row r="9935" spans="2:2" x14ac:dyDescent="0.25">
      <c r="B9935" s="11"/>
    </row>
    <row r="9936" spans="2:2" x14ac:dyDescent="0.25">
      <c r="B9936" s="11"/>
    </row>
    <row r="9937" spans="2:2" x14ac:dyDescent="0.25">
      <c r="B9937" s="11"/>
    </row>
    <row r="9938" spans="2:2" x14ac:dyDescent="0.25">
      <c r="B9938" s="11"/>
    </row>
    <row r="9939" spans="2:2" x14ac:dyDescent="0.25">
      <c r="B9939" s="11"/>
    </row>
    <row r="9940" spans="2:2" x14ac:dyDescent="0.25">
      <c r="B9940" s="11"/>
    </row>
    <row r="9941" spans="2:2" x14ac:dyDescent="0.25">
      <c r="B9941" s="11"/>
    </row>
    <row r="9942" spans="2:2" x14ac:dyDescent="0.25">
      <c r="B9942" s="11"/>
    </row>
    <row r="9943" spans="2:2" x14ac:dyDescent="0.25">
      <c r="B9943" s="11"/>
    </row>
    <row r="9944" spans="2:2" x14ac:dyDescent="0.25">
      <c r="B9944" s="11"/>
    </row>
    <row r="9945" spans="2:2" x14ac:dyDescent="0.25">
      <c r="B9945" s="11"/>
    </row>
    <row r="9946" spans="2:2" x14ac:dyDescent="0.25">
      <c r="B9946" s="11"/>
    </row>
    <row r="9947" spans="2:2" x14ac:dyDescent="0.25">
      <c r="B9947" s="11"/>
    </row>
    <row r="9948" spans="2:2" x14ac:dyDescent="0.25">
      <c r="B9948" s="11"/>
    </row>
    <row r="9949" spans="2:2" x14ac:dyDescent="0.25">
      <c r="B9949" s="11"/>
    </row>
    <row r="9950" spans="2:2" x14ac:dyDescent="0.25">
      <c r="B9950" s="11"/>
    </row>
    <row r="9951" spans="2:2" x14ac:dyDescent="0.25">
      <c r="B9951" s="11"/>
    </row>
    <row r="9952" spans="2:2" x14ac:dyDescent="0.25">
      <c r="B9952" s="11"/>
    </row>
    <row r="9953" spans="2:2" x14ac:dyDescent="0.25">
      <c r="B9953" s="11"/>
    </row>
    <row r="9954" spans="2:2" x14ac:dyDescent="0.25">
      <c r="B9954" s="11"/>
    </row>
    <row r="9955" spans="2:2" x14ac:dyDescent="0.25">
      <c r="B9955" s="11"/>
    </row>
    <row r="9956" spans="2:2" x14ac:dyDescent="0.25">
      <c r="B9956" s="11"/>
    </row>
    <row r="9957" spans="2:2" x14ac:dyDescent="0.25">
      <c r="B9957" s="11"/>
    </row>
    <row r="9958" spans="2:2" x14ac:dyDescent="0.25">
      <c r="B9958" s="11"/>
    </row>
    <row r="9959" spans="2:2" x14ac:dyDescent="0.25">
      <c r="B9959" s="11"/>
    </row>
    <row r="9960" spans="2:2" x14ac:dyDescent="0.25">
      <c r="B9960" s="11"/>
    </row>
    <row r="9961" spans="2:2" x14ac:dyDescent="0.25">
      <c r="B9961" s="11"/>
    </row>
    <row r="9962" spans="2:2" x14ac:dyDescent="0.25">
      <c r="B9962" s="11"/>
    </row>
    <row r="9963" spans="2:2" x14ac:dyDescent="0.25">
      <c r="B9963" s="11"/>
    </row>
    <row r="9964" spans="2:2" x14ac:dyDescent="0.25">
      <c r="B9964" s="11"/>
    </row>
    <row r="9965" spans="2:2" x14ac:dyDescent="0.25">
      <c r="B9965" s="11"/>
    </row>
    <row r="9966" spans="2:2" x14ac:dyDescent="0.25">
      <c r="B9966" s="11"/>
    </row>
    <row r="9967" spans="2:2" x14ac:dyDescent="0.25">
      <c r="B9967" s="11"/>
    </row>
    <row r="9968" spans="2:2" x14ac:dyDescent="0.25">
      <c r="B9968" s="11"/>
    </row>
    <row r="9969" spans="2:2" x14ac:dyDescent="0.25">
      <c r="B9969" s="11"/>
    </row>
    <row r="9970" spans="2:2" x14ac:dyDescent="0.25">
      <c r="B9970" s="11"/>
    </row>
    <row r="9971" spans="2:2" x14ac:dyDescent="0.25">
      <c r="B9971" s="11"/>
    </row>
    <row r="9972" spans="2:2" x14ac:dyDescent="0.25">
      <c r="B9972" s="11"/>
    </row>
    <row r="9973" spans="2:2" x14ac:dyDescent="0.25">
      <c r="B9973" s="11"/>
    </row>
    <row r="9974" spans="2:2" x14ac:dyDescent="0.25">
      <c r="B9974" s="11"/>
    </row>
    <row r="9975" spans="2:2" x14ac:dyDescent="0.25">
      <c r="B9975" s="11"/>
    </row>
    <row r="9976" spans="2:2" x14ac:dyDescent="0.25">
      <c r="B9976" s="11"/>
    </row>
    <row r="9977" spans="2:2" x14ac:dyDescent="0.25">
      <c r="B9977" s="11"/>
    </row>
    <row r="9978" spans="2:2" x14ac:dyDescent="0.25">
      <c r="B9978" s="11"/>
    </row>
    <row r="9979" spans="2:2" x14ac:dyDescent="0.25">
      <c r="B9979" s="11"/>
    </row>
    <row r="9980" spans="2:2" x14ac:dyDescent="0.25">
      <c r="B9980" s="11"/>
    </row>
    <row r="9981" spans="2:2" x14ac:dyDescent="0.25">
      <c r="B9981" s="11"/>
    </row>
    <row r="9982" spans="2:2" x14ac:dyDescent="0.25">
      <c r="B9982" s="11"/>
    </row>
    <row r="9983" spans="2:2" x14ac:dyDescent="0.25">
      <c r="B9983" s="11"/>
    </row>
    <row r="9984" spans="2:2" x14ac:dyDescent="0.25">
      <c r="B9984" s="11"/>
    </row>
    <row r="9985" spans="2:2" x14ac:dyDescent="0.25">
      <c r="B9985" s="11"/>
    </row>
    <row r="9986" spans="2:2" x14ac:dyDescent="0.25">
      <c r="B9986" s="11"/>
    </row>
    <row r="9987" spans="2:2" x14ac:dyDescent="0.25">
      <c r="B9987" s="11"/>
    </row>
    <row r="9988" spans="2:2" x14ac:dyDescent="0.25">
      <c r="B9988" s="11"/>
    </row>
    <row r="9989" spans="2:2" x14ac:dyDescent="0.25">
      <c r="B9989" s="11"/>
    </row>
    <row r="9990" spans="2:2" x14ac:dyDescent="0.25">
      <c r="B9990" s="11"/>
    </row>
    <row r="9991" spans="2:2" x14ac:dyDescent="0.25">
      <c r="B9991" s="11"/>
    </row>
    <row r="9992" spans="2:2" x14ac:dyDescent="0.25">
      <c r="B9992" s="11"/>
    </row>
    <row r="9993" spans="2:2" x14ac:dyDescent="0.25">
      <c r="B9993" s="11"/>
    </row>
    <row r="9994" spans="2:2" x14ac:dyDescent="0.25">
      <c r="B9994" s="11"/>
    </row>
    <row r="9995" spans="2:2" x14ac:dyDescent="0.25">
      <c r="B9995" s="11"/>
    </row>
    <row r="9996" spans="2:2" x14ac:dyDescent="0.25">
      <c r="B9996" s="11"/>
    </row>
    <row r="9997" spans="2:2" x14ac:dyDescent="0.25">
      <c r="B9997" s="11"/>
    </row>
    <row r="9998" spans="2:2" x14ac:dyDescent="0.25">
      <c r="B9998" s="11"/>
    </row>
    <row r="9999" spans="2:2" x14ac:dyDescent="0.25">
      <c r="B9999" s="11"/>
    </row>
    <row r="10000" spans="2:2" x14ac:dyDescent="0.25">
      <c r="B10000" s="11"/>
    </row>
    <row r="10001" spans="2:2" x14ac:dyDescent="0.25">
      <c r="B10001" s="11"/>
    </row>
    <row r="10002" spans="2:2" x14ac:dyDescent="0.25">
      <c r="B10002" s="11"/>
    </row>
    <row r="10003" spans="2:2" x14ac:dyDescent="0.25">
      <c r="B10003" s="11"/>
    </row>
    <row r="10004" spans="2:2" x14ac:dyDescent="0.25">
      <c r="B10004" s="11"/>
    </row>
    <row r="10005" spans="2:2" x14ac:dyDescent="0.25">
      <c r="B10005" s="11"/>
    </row>
    <row r="10006" spans="2:2" x14ac:dyDescent="0.25">
      <c r="B10006" s="11"/>
    </row>
    <row r="10007" spans="2:2" x14ac:dyDescent="0.25">
      <c r="B10007" s="11"/>
    </row>
    <row r="10008" spans="2:2" x14ac:dyDescent="0.25">
      <c r="B10008" s="11"/>
    </row>
    <row r="10009" spans="2:2" x14ac:dyDescent="0.25">
      <c r="B10009" s="11"/>
    </row>
    <row r="10010" spans="2:2" x14ac:dyDescent="0.25">
      <c r="B10010" s="11"/>
    </row>
    <row r="10011" spans="2:2" x14ac:dyDescent="0.25">
      <c r="B10011" s="11"/>
    </row>
    <row r="10012" spans="2:2" x14ac:dyDescent="0.25">
      <c r="B10012" s="11"/>
    </row>
    <row r="10013" spans="2:2" x14ac:dyDescent="0.25">
      <c r="B10013" s="11"/>
    </row>
    <row r="10014" spans="2:2" x14ac:dyDescent="0.25">
      <c r="B10014" s="11"/>
    </row>
    <row r="10015" spans="2:2" x14ac:dyDescent="0.25">
      <c r="B10015" s="11"/>
    </row>
    <row r="10016" spans="2:2" x14ac:dyDescent="0.25">
      <c r="B10016" s="11"/>
    </row>
    <row r="10017" spans="2:2" x14ac:dyDescent="0.25">
      <c r="B10017" s="11"/>
    </row>
    <row r="10018" spans="2:2" x14ac:dyDescent="0.25">
      <c r="B10018" s="11"/>
    </row>
    <row r="10019" spans="2:2" x14ac:dyDescent="0.25">
      <c r="B10019" s="11"/>
    </row>
    <row r="10020" spans="2:2" x14ac:dyDescent="0.25">
      <c r="B10020" s="11"/>
    </row>
    <row r="10021" spans="2:2" x14ac:dyDescent="0.25">
      <c r="B10021" s="11"/>
    </row>
    <row r="10022" spans="2:2" x14ac:dyDescent="0.25">
      <c r="B10022" s="11"/>
    </row>
    <row r="10023" spans="2:2" x14ac:dyDescent="0.25">
      <c r="B10023" s="11"/>
    </row>
    <row r="10024" spans="2:2" x14ac:dyDescent="0.25">
      <c r="B10024" s="11"/>
    </row>
    <row r="10025" spans="2:2" x14ac:dyDescent="0.25">
      <c r="B10025" s="11"/>
    </row>
    <row r="10026" spans="2:2" x14ac:dyDescent="0.25">
      <c r="B10026" s="11"/>
    </row>
    <row r="10027" spans="2:2" x14ac:dyDescent="0.25">
      <c r="B10027" s="11"/>
    </row>
    <row r="10028" spans="2:2" x14ac:dyDescent="0.25">
      <c r="B10028" s="11"/>
    </row>
    <row r="10029" spans="2:2" x14ac:dyDescent="0.25">
      <c r="B10029" s="11"/>
    </row>
    <row r="10030" spans="2:2" x14ac:dyDescent="0.25">
      <c r="B10030" s="11"/>
    </row>
    <row r="10031" spans="2:2" x14ac:dyDescent="0.25">
      <c r="B10031" s="11"/>
    </row>
    <row r="10032" spans="2:2" x14ac:dyDescent="0.25">
      <c r="B10032" s="11"/>
    </row>
    <row r="10033" spans="2:2" x14ac:dyDescent="0.25">
      <c r="B10033" s="11"/>
    </row>
    <row r="10034" spans="2:2" x14ac:dyDescent="0.25">
      <c r="B10034" s="11"/>
    </row>
    <row r="10035" spans="2:2" x14ac:dyDescent="0.25">
      <c r="B10035" s="11"/>
    </row>
    <row r="10036" spans="2:2" x14ac:dyDescent="0.25">
      <c r="B10036" s="11"/>
    </row>
    <row r="10037" spans="2:2" x14ac:dyDescent="0.25">
      <c r="B10037" s="11"/>
    </row>
    <row r="10038" spans="2:2" x14ac:dyDescent="0.25">
      <c r="B10038" s="11"/>
    </row>
    <row r="10039" spans="2:2" x14ac:dyDescent="0.25">
      <c r="B10039" s="11"/>
    </row>
    <row r="10040" spans="2:2" x14ac:dyDescent="0.25">
      <c r="B10040" s="11"/>
    </row>
    <row r="10041" spans="2:2" x14ac:dyDescent="0.25">
      <c r="B10041" s="11"/>
    </row>
    <row r="10042" spans="2:2" x14ac:dyDescent="0.25">
      <c r="B10042" s="11"/>
    </row>
    <row r="10043" spans="2:2" x14ac:dyDescent="0.25">
      <c r="B10043" s="11"/>
    </row>
    <row r="10044" spans="2:2" x14ac:dyDescent="0.25">
      <c r="B10044" s="11"/>
    </row>
    <row r="10045" spans="2:2" x14ac:dyDescent="0.25">
      <c r="B10045" s="11"/>
    </row>
    <row r="10046" spans="2:2" x14ac:dyDescent="0.25">
      <c r="B10046" s="11"/>
    </row>
    <row r="10047" spans="2:2" x14ac:dyDescent="0.25">
      <c r="B10047" s="11"/>
    </row>
    <row r="10048" spans="2:2" x14ac:dyDescent="0.25">
      <c r="B10048" s="11"/>
    </row>
    <row r="10049" spans="2:2" x14ac:dyDescent="0.25">
      <c r="B10049" s="11"/>
    </row>
    <row r="10050" spans="2:2" x14ac:dyDescent="0.25">
      <c r="B10050" s="11"/>
    </row>
    <row r="10051" spans="2:2" x14ac:dyDescent="0.25">
      <c r="B10051" s="11"/>
    </row>
    <row r="10052" spans="2:2" x14ac:dyDescent="0.25">
      <c r="B10052" s="11"/>
    </row>
    <row r="10053" spans="2:2" x14ac:dyDescent="0.25">
      <c r="B10053" s="11"/>
    </row>
    <row r="10054" spans="2:2" x14ac:dyDescent="0.25">
      <c r="B10054" s="11"/>
    </row>
    <row r="10055" spans="2:2" x14ac:dyDescent="0.25">
      <c r="B10055" s="11"/>
    </row>
    <row r="10056" spans="2:2" x14ac:dyDescent="0.25">
      <c r="B10056" s="11"/>
    </row>
    <row r="10057" spans="2:2" x14ac:dyDescent="0.25">
      <c r="B10057" s="11"/>
    </row>
    <row r="10058" spans="2:2" x14ac:dyDescent="0.25">
      <c r="B10058" s="11"/>
    </row>
    <row r="10059" spans="2:2" x14ac:dyDescent="0.25">
      <c r="B10059" s="11"/>
    </row>
    <row r="10060" spans="2:2" x14ac:dyDescent="0.25">
      <c r="B10060" s="11"/>
    </row>
    <row r="10061" spans="2:2" x14ac:dyDescent="0.25">
      <c r="B10061" s="11"/>
    </row>
    <row r="10062" spans="2:2" x14ac:dyDescent="0.25">
      <c r="B10062" s="11"/>
    </row>
    <row r="10063" spans="2:2" x14ac:dyDescent="0.25">
      <c r="B10063" s="11"/>
    </row>
    <row r="10064" spans="2:2" x14ac:dyDescent="0.25">
      <c r="B10064" s="11"/>
    </row>
    <row r="10065" spans="2:2" x14ac:dyDescent="0.25">
      <c r="B10065" s="11"/>
    </row>
    <row r="10066" spans="2:2" x14ac:dyDescent="0.25">
      <c r="B10066" s="11"/>
    </row>
    <row r="10067" spans="2:2" x14ac:dyDescent="0.25">
      <c r="B10067" s="11"/>
    </row>
    <row r="10068" spans="2:2" x14ac:dyDescent="0.25">
      <c r="B10068" s="11"/>
    </row>
    <row r="10069" spans="2:2" x14ac:dyDescent="0.25">
      <c r="B10069" s="11"/>
    </row>
    <row r="10070" spans="2:2" x14ac:dyDescent="0.25">
      <c r="B10070" s="11"/>
    </row>
    <row r="10071" spans="2:2" x14ac:dyDescent="0.25">
      <c r="B10071" s="11"/>
    </row>
    <row r="10072" spans="2:2" x14ac:dyDescent="0.25">
      <c r="B10072" s="11"/>
    </row>
    <row r="10073" spans="2:2" x14ac:dyDescent="0.25">
      <c r="B10073" s="11"/>
    </row>
    <row r="10074" spans="2:2" x14ac:dyDescent="0.25">
      <c r="B10074" s="11"/>
    </row>
    <row r="10075" spans="2:2" x14ac:dyDescent="0.25">
      <c r="B10075" s="11"/>
    </row>
    <row r="10076" spans="2:2" x14ac:dyDescent="0.25">
      <c r="B10076" s="11"/>
    </row>
    <row r="10077" spans="2:2" x14ac:dyDescent="0.25">
      <c r="B10077" s="11"/>
    </row>
    <row r="10078" spans="2:2" x14ac:dyDescent="0.25">
      <c r="B10078" s="11"/>
    </row>
    <row r="10079" spans="2:2" x14ac:dyDescent="0.25">
      <c r="B10079" s="11"/>
    </row>
    <row r="10080" spans="2:2" x14ac:dyDescent="0.25">
      <c r="B10080" s="11"/>
    </row>
    <row r="10081" spans="2:2" x14ac:dyDescent="0.25">
      <c r="B10081" s="11"/>
    </row>
    <row r="10082" spans="2:2" x14ac:dyDescent="0.25">
      <c r="B10082" s="11"/>
    </row>
    <row r="10083" spans="2:2" x14ac:dyDescent="0.25">
      <c r="B10083" s="11"/>
    </row>
    <row r="10084" spans="2:2" x14ac:dyDescent="0.25">
      <c r="B10084" s="11"/>
    </row>
    <row r="10085" spans="2:2" x14ac:dyDescent="0.25">
      <c r="B10085" s="11"/>
    </row>
    <row r="10086" spans="2:2" x14ac:dyDescent="0.25">
      <c r="B10086" s="11"/>
    </row>
    <row r="10087" spans="2:2" x14ac:dyDescent="0.25">
      <c r="B10087" s="11"/>
    </row>
    <row r="10088" spans="2:2" x14ac:dyDescent="0.25">
      <c r="B10088" s="11"/>
    </row>
    <row r="10089" spans="2:2" x14ac:dyDescent="0.25">
      <c r="B10089" s="11"/>
    </row>
    <row r="10090" spans="2:2" x14ac:dyDescent="0.25">
      <c r="B10090" s="11"/>
    </row>
    <row r="10091" spans="2:2" x14ac:dyDescent="0.25">
      <c r="B10091" s="11"/>
    </row>
    <row r="10092" spans="2:2" x14ac:dyDescent="0.25">
      <c r="B10092" s="11"/>
    </row>
    <row r="10093" spans="2:2" x14ac:dyDescent="0.25">
      <c r="B10093" s="11"/>
    </row>
    <row r="10094" spans="2:2" x14ac:dyDescent="0.25">
      <c r="B10094" s="11"/>
    </row>
    <row r="10095" spans="2:2" x14ac:dyDescent="0.25">
      <c r="B10095" s="11"/>
    </row>
    <row r="10096" spans="2:2" x14ac:dyDescent="0.25">
      <c r="B10096" s="11"/>
    </row>
    <row r="10097" spans="2:2" x14ac:dyDescent="0.25">
      <c r="B10097" s="11"/>
    </row>
    <row r="10098" spans="2:2" x14ac:dyDescent="0.25">
      <c r="B10098" s="11"/>
    </row>
    <row r="10099" spans="2:2" x14ac:dyDescent="0.25">
      <c r="B10099" s="11"/>
    </row>
    <row r="10100" spans="2:2" x14ac:dyDescent="0.25">
      <c r="B10100" s="11"/>
    </row>
    <row r="10101" spans="2:2" x14ac:dyDescent="0.25">
      <c r="B10101" s="11"/>
    </row>
    <row r="10102" spans="2:2" x14ac:dyDescent="0.25">
      <c r="B10102" s="11"/>
    </row>
    <row r="10103" spans="2:2" x14ac:dyDescent="0.25">
      <c r="B10103" s="11"/>
    </row>
    <row r="10104" spans="2:2" x14ac:dyDescent="0.25">
      <c r="B10104" s="11"/>
    </row>
    <row r="10105" spans="2:2" x14ac:dyDescent="0.25">
      <c r="B10105" s="11"/>
    </row>
    <row r="10106" spans="2:2" x14ac:dyDescent="0.25">
      <c r="B10106" s="11"/>
    </row>
    <row r="10107" spans="2:2" x14ac:dyDescent="0.25">
      <c r="B10107" s="11"/>
    </row>
    <row r="10108" spans="2:2" x14ac:dyDescent="0.25">
      <c r="B10108" s="11"/>
    </row>
    <row r="10109" spans="2:2" x14ac:dyDescent="0.25">
      <c r="B10109" s="11"/>
    </row>
    <row r="10110" spans="2:2" x14ac:dyDescent="0.25">
      <c r="B10110" s="11"/>
    </row>
    <row r="10111" spans="2:2" x14ac:dyDescent="0.25">
      <c r="B10111" s="11"/>
    </row>
    <row r="10112" spans="2:2" x14ac:dyDescent="0.25">
      <c r="B10112" s="11"/>
    </row>
    <row r="10113" spans="2:2" x14ac:dyDescent="0.25">
      <c r="B10113" s="11"/>
    </row>
    <row r="10114" spans="2:2" x14ac:dyDescent="0.25">
      <c r="B10114" s="11"/>
    </row>
    <row r="10115" spans="2:2" x14ac:dyDescent="0.25">
      <c r="B10115" s="11"/>
    </row>
    <row r="10116" spans="2:2" x14ac:dyDescent="0.25">
      <c r="B10116" s="11"/>
    </row>
    <row r="10117" spans="2:2" x14ac:dyDescent="0.25">
      <c r="B10117" s="11"/>
    </row>
    <row r="10118" spans="2:2" x14ac:dyDescent="0.25">
      <c r="B10118" s="11"/>
    </row>
    <row r="10119" spans="2:2" x14ac:dyDescent="0.25">
      <c r="B10119" s="11"/>
    </row>
    <row r="10120" spans="2:2" x14ac:dyDescent="0.25">
      <c r="B10120" s="11"/>
    </row>
    <row r="10121" spans="2:2" x14ac:dyDescent="0.25">
      <c r="B10121" s="11"/>
    </row>
    <row r="10122" spans="2:2" x14ac:dyDescent="0.25">
      <c r="B10122" s="11"/>
    </row>
    <row r="10123" spans="2:2" x14ac:dyDescent="0.25">
      <c r="B10123" s="11"/>
    </row>
    <row r="10124" spans="2:2" x14ac:dyDescent="0.25">
      <c r="B10124" s="11"/>
    </row>
    <row r="10125" spans="2:2" x14ac:dyDescent="0.25">
      <c r="B10125" s="11"/>
    </row>
    <row r="10126" spans="2:2" x14ac:dyDescent="0.25">
      <c r="B10126" s="11"/>
    </row>
    <row r="10127" spans="2:2" x14ac:dyDescent="0.25">
      <c r="B10127" s="11"/>
    </row>
    <row r="10128" spans="2:2" x14ac:dyDescent="0.25">
      <c r="B10128" s="11"/>
    </row>
    <row r="10129" spans="2:2" x14ac:dyDescent="0.25">
      <c r="B10129" s="11"/>
    </row>
    <row r="10130" spans="2:2" x14ac:dyDescent="0.25">
      <c r="B10130" s="11"/>
    </row>
    <row r="10131" spans="2:2" x14ac:dyDescent="0.25">
      <c r="B10131" s="11"/>
    </row>
    <row r="10132" spans="2:2" x14ac:dyDescent="0.25">
      <c r="B10132" s="11"/>
    </row>
    <row r="10133" spans="2:2" x14ac:dyDescent="0.25">
      <c r="B10133" s="11"/>
    </row>
    <row r="10134" spans="2:2" x14ac:dyDescent="0.25">
      <c r="B10134" s="11"/>
    </row>
    <row r="10135" spans="2:2" x14ac:dyDescent="0.25">
      <c r="B10135" s="11"/>
    </row>
    <row r="10136" spans="2:2" x14ac:dyDescent="0.25">
      <c r="B10136" s="11"/>
    </row>
    <row r="10137" spans="2:2" x14ac:dyDescent="0.25">
      <c r="B10137" s="11"/>
    </row>
    <row r="10138" spans="2:2" x14ac:dyDescent="0.25">
      <c r="B10138" s="11"/>
    </row>
    <row r="10139" spans="2:2" x14ac:dyDescent="0.25">
      <c r="B10139" s="11"/>
    </row>
    <row r="10140" spans="2:2" x14ac:dyDescent="0.25">
      <c r="B10140" s="11"/>
    </row>
    <row r="10141" spans="2:2" x14ac:dyDescent="0.25">
      <c r="B10141" s="11"/>
    </row>
    <row r="10142" spans="2:2" x14ac:dyDescent="0.25">
      <c r="B10142" s="11"/>
    </row>
    <row r="10143" spans="2:2" x14ac:dyDescent="0.25">
      <c r="B10143" s="11"/>
    </row>
    <row r="10144" spans="2:2" x14ac:dyDescent="0.25">
      <c r="B10144" s="11"/>
    </row>
    <row r="10145" spans="2:2" x14ac:dyDescent="0.25">
      <c r="B10145" s="11"/>
    </row>
    <row r="10146" spans="2:2" x14ac:dyDescent="0.25">
      <c r="B10146" s="11"/>
    </row>
    <row r="10147" spans="2:2" x14ac:dyDescent="0.25">
      <c r="B10147" s="11"/>
    </row>
    <row r="10148" spans="2:2" x14ac:dyDescent="0.25">
      <c r="B10148" s="11"/>
    </row>
    <row r="10149" spans="2:2" x14ac:dyDescent="0.25">
      <c r="B10149" s="11"/>
    </row>
    <row r="10150" spans="2:2" x14ac:dyDescent="0.25">
      <c r="B10150" s="11"/>
    </row>
    <row r="10151" spans="2:2" x14ac:dyDescent="0.25">
      <c r="B10151" s="11"/>
    </row>
    <row r="10152" spans="2:2" x14ac:dyDescent="0.25">
      <c r="B10152" s="11"/>
    </row>
    <row r="10153" spans="2:2" x14ac:dyDescent="0.25">
      <c r="B10153" s="11"/>
    </row>
    <row r="10154" spans="2:2" x14ac:dyDescent="0.25">
      <c r="B10154" s="11"/>
    </row>
    <row r="10155" spans="2:2" x14ac:dyDescent="0.25">
      <c r="B10155" s="11"/>
    </row>
    <row r="10156" spans="2:2" x14ac:dyDescent="0.25">
      <c r="B10156" s="11"/>
    </row>
    <row r="10157" spans="2:2" x14ac:dyDescent="0.25">
      <c r="B10157" s="11"/>
    </row>
    <row r="10158" spans="2:2" x14ac:dyDescent="0.25">
      <c r="B10158" s="11"/>
    </row>
    <row r="10159" spans="2:2" x14ac:dyDescent="0.25">
      <c r="B10159" s="11"/>
    </row>
    <row r="10160" spans="2:2" x14ac:dyDescent="0.25">
      <c r="B10160" s="11"/>
    </row>
    <row r="10161" spans="2:2" x14ac:dyDescent="0.25">
      <c r="B10161" s="11"/>
    </row>
    <row r="10162" spans="2:2" x14ac:dyDescent="0.25">
      <c r="B10162" s="11"/>
    </row>
    <row r="10163" spans="2:2" x14ac:dyDescent="0.25">
      <c r="B10163" s="11"/>
    </row>
    <row r="10164" spans="2:2" x14ac:dyDescent="0.25">
      <c r="B10164" s="11"/>
    </row>
    <row r="10165" spans="2:2" x14ac:dyDescent="0.25">
      <c r="B10165" s="11"/>
    </row>
    <row r="10166" spans="2:2" x14ac:dyDescent="0.25">
      <c r="B10166" s="11"/>
    </row>
    <row r="10167" spans="2:2" x14ac:dyDescent="0.25">
      <c r="B10167" s="11"/>
    </row>
    <row r="10168" spans="2:2" x14ac:dyDescent="0.25">
      <c r="B10168" s="11"/>
    </row>
    <row r="10169" spans="2:2" x14ac:dyDescent="0.25">
      <c r="B10169" s="11"/>
    </row>
    <row r="10170" spans="2:2" x14ac:dyDescent="0.25">
      <c r="B10170" s="11"/>
    </row>
    <row r="10171" spans="2:2" x14ac:dyDescent="0.25">
      <c r="B10171" s="11"/>
    </row>
    <row r="10172" spans="2:2" x14ac:dyDescent="0.25">
      <c r="B10172" s="11"/>
    </row>
    <row r="10173" spans="2:2" x14ac:dyDescent="0.25">
      <c r="B10173" s="11"/>
    </row>
    <row r="10174" spans="2:2" x14ac:dyDescent="0.25">
      <c r="B10174" s="11"/>
    </row>
    <row r="10175" spans="2:2" x14ac:dyDescent="0.25">
      <c r="B10175" s="11"/>
    </row>
    <row r="10176" spans="2:2" x14ac:dyDescent="0.25">
      <c r="B10176" s="11"/>
    </row>
    <row r="10177" spans="2:2" x14ac:dyDescent="0.25">
      <c r="B10177" s="11"/>
    </row>
    <row r="10178" spans="2:2" x14ac:dyDescent="0.25">
      <c r="B10178" s="11"/>
    </row>
    <row r="10179" spans="2:2" x14ac:dyDescent="0.25">
      <c r="B10179" s="11"/>
    </row>
    <row r="10180" spans="2:2" x14ac:dyDescent="0.25">
      <c r="B10180" s="11"/>
    </row>
    <row r="10181" spans="2:2" x14ac:dyDescent="0.25">
      <c r="B10181" s="11"/>
    </row>
    <row r="10182" spans="2:2" x14ac:dyDescent="0.25">
      <c r="B10182" s="11"/>
    </row>
    <row r="10183" spans="2:2" x14ac:dyDescent="0.25">
      <c r="B10183" s="11"/>
    </row>
    <row r="10184" spans="2:2" x14ac:dyDescent="0.25">
      <c r="B10184" s="11"/>
    </row>
    <row r="10185" spans="2:2" x14ac:dyDescent="0.25">
      <c r="B10185" s="11"/>
    </row>
    <row r="10186" spans="2:2" x14ac:dyDescent="0.25">
      <c r="B10186" s="11"/>
    </row>
    <row r="10187" spans="2:2" x14ac:dyDescent="0.25">
      <c r="B10187" s="11"/>
    </row>
    <row r="10188" spans="2:2" x14ac:dyDescent="0.25">
      <c r="B10188" s="11"/>
    </row>
    <row r="10189" spans="2:2" x14ac:dyDescent="0.25">
      <c r="B10189" s="11"/>
    </row>
    <row r="10190" spans="2:2" x14ac:dyDescent="0.25">
      <c r="B10190" s="11"/>
    </row>
    <row r="10191" spans="2:2" x14ac:dyDescent="0.25">
      <c r="B10191" s="11"/>
    </row>
    <row r="10192" spans="2:2" x14ac:dyDescent="0.25">
      <c r="B10192" s="11"/>
    </row>
    <row r="10193" spans="2:2" x14ac:dyDescent="0.25">
      <c r="B10193" s="11"/>
    </row>
    <row r="10194" spans="2:2" x14ac:dyDescent="0.25">
      <c r="B10194" s="11"/>
    </row>
    <row r="10195" spans="2:2" x14ac:dyDescent="0.25">
      <c r="B10195" s="11"/>
    </row>
    <row r="10196" spans="2:2" x14ac:dyDescent="0.25">
      <c r="B10196" s="11"/>
    </row>
    <row r="10197" spans="2:2" x14ac:dyDescent="0.25">
      <c r="B10197" s="11"/>
    </row>
    <row r="10198" spans="2:2" x14ac:dyDescent="0.25">
      <c r="B10198" s="11"/>
    </row>
    <row r="10199" spans="2:2" x14ac:dyDescent="0.25">
      <c r="B10199" s="11"/>
    </row>
    <row r="10200" spans="2:2" x14ac:dyDescent="0.25">
      <c r="B10200" s="11"/>
    </row>
    <row r="10201" spans="2:2" x14ac:dyDescent="0.25">
      <c r="B10201" s="11"/>
    </row>
    <row r="10202" spans="2:2" x14ac:dyDescent="0.25">
      <c r="B10202" s="11"/>
    </row>
    <row r="10203" spans="2:2" x14ac:dyDescent="0.25">
      <c r="B10203" s="11"/>
    </row>
    <row r="10204" spans="2:2" x14ac:dyDescent="0.25">
      <c r="B10204" s="11"/>
    </row>
    <row r="10205" spans="2:2" x14ac:dyDescent="0.25">
      <c r="B10205" s="11"/>
    </row>
    <row r="10206" spans="2:2" x14ac:dyDescent="0.25">
      <c r="B10206" s="11"/>
    </row>
    <row r="10207" spans="2:2" x14ac:dyDescent="0.25">
      <c r="B10207" s="11"/>
    </row>
    <row r="10208" spans="2:2" x14ac:dyDescent="0.25">
      <c r="B10208" s="11"/>
    </row>
    <row r="10209" spans="2:2" x14ac:dyDescent="0.25">
      <c r="B10209" s="11"/>
    </row>
    <row r="10210" spans="2:2" x14ac:dyDescent="0.25">
      <c r="B10210" s="11"/>
    </row>
    <row r="10211" spans="2:2" x14ac:dyDescent="0.25">
      <c r="B10211" s="11"/>
    </row>
    <row r="10212" spans="2:2" x14ac:dyDescent="0.25">
      <c r="B10212" s="11"/>
    </row>
    <row r="10213" spans="2:2" x14ac:dyDescent="0.25">
      <c r="B10213" s="11"/>
    </row>
    <row r="10214" spans="2:2" x14ac:dyDescent="0.25">
      <c r="B10214" s="11"/>
    </row>
    <row r="10215" spans="2:2" x14ac:dyDescent="0.25">
      <c r="B10215" s="11"/>
    </row>
    <row r="10216" spans="2:2" x14ac:dyDescent="0.25">
      <c r="B10216" s="11"/>
    </row>
    <row r="10217" spans="2:2" x14ac:dyDescent="0.25">
      <c r="B10217" s="11"/>
    </row>
    <row r="10218" spans="2:2" x14ac:dyDescent="0.25">
      <c r="B10218" s="11"/>
    </row>
    <row r="10219" spans="2:2" x14ac:dyDescent="0.25">
      <c r="B10219" s="11"/>
    </row>
    <row r="10220" spans="2:2" x14ac:dyDescent="0.25">
      <c r="B10220" s="11"/>
    </row>
    <row r="10221" spans="2:2" x14ac:dyDescent="0.25">
      <c r="B10221" s="11"/>
    </row>
    <row r="10222" spans="2:2" x14ac:dyDescent="0.25">
      <c r="B10222" s="11"/>
    </row>
    <row r="10223" spans="2:2" x14ac:dyDescent="0.25">
      <c r="B10223" s="11"/>
    </row>
    <row r="10224" spans="2:2" x14ac:dyDescent="0.25">
      <c r="B10224" s="11"/>
    </row>
    <row r="10225" spans="2:2" x14ac:dyDescent="0.25">
      <c r="B10225" s="11"/>
    </row>
    <row r="10226" spans="2:2" x14ac:dyDescent="0.25">
      <c r="B10226" s="11"/>
    </row>
    <row r="10227" spans="2:2" x14ac:dyDescent="0.25">
      <c r="B10227" s="11"/>
    </row>
    <row r="10228" spans="2:2" x14ac:dyDescent="0.25">
      <c r="B10228" s="11"/>
    </row>
    <row r="10229" spans="2:2" x14ac:dyDescent="0.25">
      <c r="B10229" s="11"/>
    </row>
    <row r="10230" spans="2:2" x14ac:dyDescent="0.25">
      <c r="B10230" s="11"/>
    </row>
    <row r="10231" spans="2:2" x14ac:dyDescent="0.25">
      <c r="B10231" s="11"/>
    </row>
    <row r="10232" spans="2:2" x14ac:dyDescent="0.25">
      <c r="B10232" s="11"/>
    </row>
    <row r="10233" spans="2:2" x14ac:dyDescent="0.25">
      <c r="B10233" s="11"/>
    </row>
    <row r="10234" spans="2:2" x14ac:dyDescent="0.25">
      <c r="B10234" s="11"/>
    </row>
    <row r="10235" spans="2:2" x14ac:dyDescent="0.25">
      <c r="B10235" s="11"/>
    </row>
    <row r="10236" spans="2:2" x14ac:dyDescent="0.25">
      <c r="B10236" s="11"/>
    </row>
    <row r="10237" spans="2:2" x14ac:dyDescent="0.25">
      <c r="B10237" s="11"/>
    </row>
    <row r="10238" spans="2:2" x14ac:dyDescent="0.25">
      <c r="B10238" s="11"/>
    </row>
    <row r="10239" spans="2:2" x14ac:dyDescent="0.25">
      <c r="B10239" s="11"/>
    </row>
    <row r="10240" spans="2:2" x14ac:dyDescent="0.25">
      <c r="B10240" s="11"/>
    </row>
    <row r="10241" spans="2:2" x14ac:dyDescent="0.25">
      <c r="B10241" s="11"/>
    </row>
    <row r="10242" spans="2:2" x14ac:dyDescent="0.25">
      <c r="B10242" s="11"/>
    </row>
    <row r="10243" spans="2:2" x14ac:dyDescent="0.25">
      <c r="B10243" s="11"/>
    </row>
    <row r="10244" spans="2:2" x14ac:dyDescent="0.25">
      <c r="B10244" s="11"/>
    </row>
    <row r="10245" spans="2:2" x14ac:dyDescent="0.25">
      <c r="B10245" s="11"/>
    </row>
    <row r="10246" spans="2:2" x14ac:dyDescent="0.25">
      <c r="B10246" s="11"/>
    </row>
    <row r="10247" spans="2:2" x14ac:dyDescent="0.25">
      <c r="B10247" s="11"/>
    </row>
    <row r="10248" spans="2:2" x14ac:dyDescent="0.25">
      <c r="B10248" s="11"/>
    </row>
    <row r="10249" spans="2:2" x14ac:dyDescent="0.25">
      <c r="B10249" s="11"/>
    </row>
    <row r="10250" spans="2:2" x14ac:dyDescent="0.25">
      <c r="B10250" s="11"/>
    </row>
    <row r="10251" spans="2:2" x14ac:dyDescent="0.25">
      <c r="B10251" s="11"/>
    </row>
    <row r="10252" spans="2:2" x14ac:dyDescent="0.25">
      <c r="B10252" s="11"/>
    </row>
    <row r="10253" spans="2:2" x14ac:dyDescent="0.25">
      <c r="B10253" s="11"/>
    </row>
    <row r="10254" spans="2:2" x14ac:dyDescent="0.25">
      <c r="B10254" s="11"/>
    </row>
    <row r="10255" spans="2:2" x14ac:dyDescent="0.25">
      <c r="B10255" s="11"/>
    </row>
    <row r="10256" spans="2:2" x14ac:dyDescent="0.25">
      <c r="B10256" s="11"/>
    </row>
    <row r="10257" spans="2:2" x14ac:dyDescent="0.25">
      <c r="B10257" s="11"/>
    </row>
    <row r="10258" spans="2:2" x14ac:dyDescent="0.25">
      <c r="B10258" s="11"/>
    </row>
    <row r="10259" spans="2:2" x14ac:dyDescent="0.25">
      <c r="B10259" s="11"/>
    </row>
    <row r="10260" spans="2:2" x14ac:dyDescent="0.25">
      <c r="B10260" s="11"/>
    </row>
    <row r="10261" spans="2:2" x14ac:dyDescent="0.25">
      <c r="B10261" s="11"/>
    </row>
    <row r="10262" spans="2:2" x14ac:dyDescent="0.25">
      <c r="B10262" s="11"/>
    </row>
    <row r="10263" spans="2:2" x14ac:dyDescent="0.25">
      <c r="B10263" s="11"/>
    </row>
    <row r="10264" spans="2:2" x14ac:dyDescent="0.25">
      <c r="B10264" s="11"/>
    </row>
    <row r="10265" spans="2:2" x14ac:dyDescent="0.25">
      <c r="B10265" s="11"/>
    </row>
    <row r="10266" spans="2:2" x14ac:dyDescent="0.25">
      <c r="B10266" s="11"/>
    </row>
    <row r="10267" spans="2:2" x14ac:dyDescent="0.25">
      <c r="B10267" s="11"/>
    </row>
    <row r="10268" spans="2:2" x14ac:dyDescent="0.25">
      <c r="B10268" s="11"/>
    </row>
    <row r="10269" spans="2:2" x14ac:dyDescent="0.25">
      <c r="B10269" s="11"/>
    </row>
    <row r="10270" spans="2:2" x14ac:dyDescent="0.25">
      <c r="B10270" s="11"/>
    </row>
    <row r="10271" spans="2:2" x14ac:dyDescent="0.25">
      <c r="B10271" s="11"/>
    </row>
    <row r="10272" spans="2:2" x14ac:dyDescent="0.25">
      <c r="B10272" s="11"/>
    </row>
    <row r="10273" spans="2:2" x14ac:dyDescent="0.25">
      <c r="B10273" s="11"/>
    </row>
    <row r="10274" spans="2:2" x14ac:dyDescent="0.25">
      <c r="B10274" s="11"/>
    </row>
    <row r="10275" spans="2:2" x14ac:dyDescent="0.25">
      <c r="B10275" s="11"/>
    </row>
    <row r="10276" spans="2:2" x14ac:dyDescent="0.25">
      <c r="B10276" s="11"/>
    </row>
    <row r="10277" spans="2:2" x14ac:dyDescent="0.25">
      <c r="B10277" s="11"/>
    </row>
    <row r="10278" spans="2:2" x14ac:dyDescent="0.25">
      <c r="B10278" s="11"/>
    </row>
    <row r="10279" spans="2:2" x14ac:dyDescent="0.25">
      <c r="B10279" s="11"/>
    </row>
    <row r="10280" spans="2:2" x14ac:dyDescent="0.25">
      <c r="B10280" s="11"/>
    </row>
    <row r="10281" spans="2:2" x14ac:dyDescent="0.25">
      <c r="B10281" s="11"/>
    </row>
    <row r="10282" spans="2:2" x14ac:dyDescent="0.25">
      <c r="B10282" s="11"/>
    </row>
    <row r="10283" spans="2:2" x14ac:dyDescent="0.25">
      <c r="B10283" s="11"/>
    </row>
    <row r="10284" spans="2:2" x14ac:dyDescent="0.25">
      <c r="B10284" s="11"/>
    </row>
    <row r="10285" spans="2:2" x14ac:dyDescent="0.25">
      <c r="B10285" s="11"/>
    </row>
    <row r="10286" spans="2:2" x14ac:dyDescent="0.25">
      <c r="B10286" s="11"/>
    </row>
    <row r="10287" spans="2:2" x14ac:dyDescent="0.25">
      <c r="B10287" s="11"/>
    </row>
    <row r="10288" spans="2:2" x14ac:dyDescent="0.25">
      <c r="B10288" s="11"/>
    </row>
    <row r="10289" spans="2:2" x14ac:dyDescent="0.25">
      <c r="B10289" s="11"/>
    </row>
    <row r="10290" spans="2:2" x14ac:dyDescent="0.25">
      <c r="B10290" s="11"/>
    </row>
    <row r="10291" spans="2:2" x14ac:dyDescent="0.25">
      <c r="B10291" s="11"/>
    </row>
    <row r="10292" spans="2:2" x14ac:dyDescent="0.25">
      <c r="B10292" s="11"/>
    </row>
    <row r="10293" spans="2:2" x14ac:dyDescent="0.25">
      <c r="B10293" s="11"/>
    </row>
    <row r="10294" spans="2:2" x14ac:dyDescent="0.25">
      <c r="B10294" s="11"/>
    </row>
    <row r="10295" spans="2:2" x14ac:dyDescent="0.25">
      <c r="B10295" s="11"/>
    </row>
    <row r="10296" spans="2:2" x14ac:dyDescent="0.25">
      <c r="B10296" s="11"/>
    </row>
    <row r="10297" spans="2:2" x14ac:dyDescent="0.25">
      <c r="B10297" s="11"/>
    </row>
    <row r="10298" spans="2:2" x14ac:dyDescent="0.25">
      <c r="B10298" s="11"/>
    </row>
    <row r="10299" spans="2:2" x14ac:dyDescent="0.25">
      <c r="B10299" s="11"/>
    </row>
    <row r="10300" spans="2:2" x14ac:dyDescent="0.25">
      <c r="B10300" s="11"/>
    </row>
    <row r="10301" spans="2:2" x14ac:dyDescent="0.25">
      <c r="B10301" s="11"/>
    </row>
    <row r="10302" spans="2:2" x14ac:dyDescent="0.25">
      <c r="B10302" s="11"/>
    </row>
    <row r="10303" spans="2:2" x14ac:dyDescent="0.25">
      <c r="B10303" s="11"/>
    </row>
    <row r="10304" spans="2:2" x14ac:dyDescent="0.25">
      <c r="B10304" s="11"/>
    </row>
    <row r="10305" spans="2:2" x14ac:dyDescent="0.25">
      <c r="B10305" s="11"/>
    </row>
    <row r="10306" spans="2:2" x14ac:dyDescent="0.25">
      <c r="B10306" s="11"/>
    </row>
    <row r="10307" spans="2:2" x14ac:dyDescent="0.25">
      <c r="B10307" s="11"/>
    </row>
    <row r="10308" spans="2:2" x14ac:dyDescent="0.25">
      <c r="B10308" s="11"/>
    </row>
    <row r="10309" spans="2:2" x14ac:dyDescent="0.25">
      <c r="B10309" s="11"/>
    </row>
    <row r="10310" spans="2:2" x14ac:dyDescent="0.25">
      <c r="B10310" s="11"/>
    </row>
    <row r="10311" spans="2:2" x14ac:dyDescent="0.25">
      <c r="B10311" s="11"/>
    </row>
    <row r="10312" spans="2:2" x14ac:dyDescent="0.25">
      <c r="B10312" s="11"/>
    </row>
    <row r="10313" spans="2:2" x14ac:dyDescent="0.25">
      <c r="B10313" s="11"/>
    </row>
    <row r="10314" spans="2:2" x14ac:dyDescent="0.25">
      <c r="B10314" s="11"/>
    </row>
    <row r="10315" spans="2:2" x14ac:dyDescent="0.25">
      <c r="B10315" s="11"/>
    </row>
    <row r="10316" spans="2:2" x14ac:dyDescent="0.25">
      <c r="B10316" s="11"/>
    </row>
    <row r="10317" spans="2:2" x14ac:dyDescent="0.25">
      <c r="B10317" s="11"/>
    </row>
    <row r="10318" spans="2:2" x14ac:dyDescent="0.25">
      <c r="B10318" s="11"/>
    </row>
    <row r="10319" spans="2:2" x14ac:dyDescent="0.25">
      <c r="B10319" s="11"/>
    </row>
    <row r="10320" spans="2:2" x14ac:dyDescent="0.25">
      <c r="B10320" s="11"/>
    </row>
    <row r="10321" spans="2:2" x14ac:dyDescent="0.25">
      <c r="B10321" s="11"/>
    </row>
    <row r="10322" spans="2:2" x14ac:dyDescent="0.25">
      <c r="B10322" s="11"/>
    </row>
    <row r="10323" spans="2:2" x14ac:dyDescent="0.25">
      <c r="B10323" s="11"/>
    </row>
    <row r="10324" spans="2:2" x14ac:dyDescent="0.25">
      <c r="B10324" s="11"/>
    </row>
    <row r="10325" spans="2:2" x14ac:dyDescent="0.25">
      <c r="B10325" s="11"/>
    </row>
    <row r="10326" spans="2:2" x14ac:dyDescent="0.25">
      <c r="B10326" s="11"/>
    </row>
    <row r="10327" spans="2:2" x14ac:dyDescent="0.25">
      <c r="B10327" s="11"/>
    </row>
    <row r="10328" spans="2:2" x14ac:dyDescent="0.25">
      <c r="B10328" s="11"/>
    </row>
    <row r="10329" spans="2:2" x14ac:dyDescent="0.25">
      <c r="B10329" s="11"/>
    </row>
    <row r="10330" spans="2:2" x14ac:dyDescent="0.25">
      <c r="B10330" s="11"/>
    </row>
    <row r="10331" spans="2:2" x14ac:dyDescent="0.25">
      <c r="B10331" s="11"/>
    </row>
    <row r="10332" spans="2:2" x14ac:dyDescent="0.25">
      <c r="B10332" s="11"/>
    </row>
    <row r="10333" spans="2:2" x14ac:dyDescent="0.25">
      <c r="B10333" s="11"/>
    </row>
    <row r="10334" spans="2:2" x14ac:dyDescent="0.25">
      <c r="B10334" s="11"/>
    </row>
    <row r="10335" spans="2:2" x14ac:dyDescent="0.25">
      <c r="B10335" s="11"/>
    </row>
    <row r="10336" spans="2:2" x14ac:dyDescent="0.25">
      <c r="B10336" s="11"/>
    </row>
    <row r="10337" spans="2:2" x14ac:dyDescent="0.25">
      <c r="B10337" s="11"/>
    </row>
    <row r="10338" spans="2:2" x14ac:dyDescent="0.25">
      <c r="B10338" s="11"/>
    </row>
    <row r="10339" spans="2:2" x14ac:dyDescent="0.25">
      <c r="B10339" s="11"/>
    </row>
    <row r="10340" spans="2:2" x14ac:dyDescent="0.25">
      <c r="B10340" s="11"/>
    </row>
    <row r="10341" spans="2:2" x14ac:dyDescent="0.25">
      <c r="B10341" s="11"/>
    </row>
    <row r="10342" spans="2:2" x14ac:dyDescent="0.25">
      <c r="B10342" s="11"/>
    </row>
    <row r="10343" spans="2:2" x14ac:dyDescent="0.25">
      <c r="B10343" s="11"/>
    </row>
    <row r="10344" spans="2:2" x14ac:dyDescent="0.25">
      <c r="B10344" s="11"/>
    </row>
    <row r="10345" spans="2:2" x14ac:dyDescent="0.25">
      <c r="B10345" s="11"/>
    </row>
    <row r="10346" spans="2:2" x14ac:dyDescent="0.25">
      <c r="B10346" s="11"/>
    </row>
    <row r="10347" spans="2:2" x14ac:dyDescent="0.25">
      <c r="B10347" s="11"/>
    </row>
    <row r="10348" spans="2:2" x14ac:dyDescent="0.25">
      <c r="B10348" s="11"/>
    </row>
    <row r="10349" spans="2:2" x14ac:dyDescent="0.25">
      <c r="B10349" s="11"/>
    </row>
    <row r="10350" spans="2:2" x14ac:dyDescent="0.25">
      <c r="B10350" s="11"/>
    </row>
    <row r="10351" spans="2:2" x14ac:dyDescent="0.25">
      <c r="B10351" s="11"/>
    </row>
    <row r="10352" spans="2:2" x14ac:dyDescent="0.25">
      <c r="B10352" s="11"/>
    </row>
    <row r="10353" spans="2:2" x14ac:dyDescent="0.25">
      <c r="B10353" s="11"/>
    </row>
    <row r="10354" spans="2:2" x14ac:dyDescent="0.25">
      <c r="B10354" s="11"/>
    </row>
    <row r="10355" spans="2:2" x14ac:dyDescent="0.25">
      <c r="B10355" s="11"/>
    </row>
    <row r="10356" spans="2:2" x14ac:dyDescent="0.25">
      <c r="B10356" s="11"/>
    </row>
    <row r="10357" spans="2:2" x14ac:dyDescent="0.25">
      <c r="B10357" s="11"/>
    </row>
    <row r="10358" spans="2:2" x14ac:dyDescent="0.25">
      <c r="B10358" s="11"/>
    </row>
    <row r="10359" spans="2:2" x14ac:dyDescent="0.25">
      <c r="B10359" s="11"/>
    </row>
    <row r="10360" spans="2:2" x14ac:dyDescent="0.25">
      <c r="B10360" s="11"/>
    </row>
    <row r="10361" spans="2:2" x14ac:dyDescent="0.25">
      <c r="B10361" s="11"/>
    </row>
    <row r="10362" spans="2:2" x14ac:dyDescent="0.25">
      <c r="B10362" s="11"/>
    </row>
    <row r="10363" spans="2:2" x14ac:dyDescent="0.25">
      <c r="B10363" s="11"/>
    </row>
    <row r="10364" spans="2:2" x14ac:dyDescent="0.25">
      <c r="B10364" s="11"/>
    </row>
    <row r="10365" spans="2:2" x14ac:dyDescent="0.25">
      <c r="B10365" s="11"/>
    </row>
    <row r="10366" spans="2:2" x14ac:dyDescent="0.25">
      <c r="B10366" s="11"/>
    </row>
    <row r="10367" spans="2:2" x14ac:dyDescent="0.25">
      <c r="B10367" s="11"/>
    </row>
    <row r="10368" spans="2:2" x14ac:dyDescent="0.25">
      <c r="B10368" s="11"/>
    </row>
    <row r="10369" spans="2:2" x14ac:dyDescent="0.25">
      <c r="B10369" s="11"/>
    </row>
    <row r="10370" spans="2:2" x14ac:dyDescent="0.25">
      <c r="B10370" s="11"/>
    </row>
    <row r="10371" spans="2:2" x14ac:dyDescent="0.25">
      <c r="B10371" s="11"/>
    </row>
    <row r="10372" spans="2:2" x14ac:dyDescent="0.25">
      <c r="B10372" s="11"/>
    </row>
    <row r="10373" spans="2:2" x14ac:dyDescent="0.25">
      <c r="B10373" s="11"/>
    </row>
    <row r="10374" spans="2:2" x14ac:dyDescent="0.25">
      <c r="B10374" s="11"/>
    </row>
    <row r="10375" spans="2:2" x14ac:dyDescent="0.25">
      <c r="B10375" s="11"/>
    </row>
    <row r="10376" spans="2:2" x14ac:dyDescent="0.25">
      <c r="B10376" s="11"/>
    </row>
    <row r="10377" spans="2:2" x14ac:dyDescent="0.25">
      <c r="B10377" s="11"/>
    </row>
    <row r="10378" spans="2:2" x14ac:dyDescent="0.25">
      <c r="B10378" s="11"/>
    </row>
    <row r="10379" spans="2:2" x14ac:dyDescent="0.25">
      <c r="B10379" s="11"/>
    </row>
    <row r="10380" spans="2:2" x14ac:dyDescent="0.25">
      <c r="B10380" s="11"/>
    </row>
    <row r="10381" spans="2:2" x14ac:dyDescent="0.25">
      <c r="B10381" s="11"/>
    </row>
    <row r="10382" spans="2:2" x14ac:dyDescent="0.25">
      <c r="B10382" s="11"/>
    </row>
    <row r="10383" spans="2:2" x14ac:dyDescent="0.25">
      <c r="B10383" s="11"/>
    </row>
    <row r="10384" spans="2:2" x14ac:dyDescent="0.25">
      <c r="B10384" s="11"/>
    </row>
    <row r="10385" spans="2:2" x14ac:dyDescent="0.25">
      <c r="B10385" s="11"/>
    </row>
    <row r="10386" spans="2:2" x14ac:dyDescent="0.25">
      <c r="B10386" s="11"/>
    </row>
    <row r="10387" spans="2:2" x14ac:dyDescent="0.25">
      <c r="B10387" s="11"/>
    </row>
    <row r="10388" spans="2:2" x14ac:dyDescent="0.25">
      <c r="B10388" s="11"/>
    </row>
    <row r="10389" spans="2:2" x14ac:dyDescent="0.25">
      <c r="B10389" s="11"/>
    </row>
    <row r="10390" spans="2:2" x14ac:dyDescent="0.25">
      <c r="B10390" s="11"/>
    </row>
    <row r="10391" spans="2:2" x14ac:dyDescent="0.25">
      <c r="B10391" s="11"/>
    </row>
    <row r="10392" spans="2:2" x14ac:dyDescent="0.25">
      <c r="B10392" s="11"/>
    </row>
    <row r="10393" spans="2:2" x14ac:dyDescent="0.25">
      <c r="B10393" s="11"/>
    </row>
    <row r="10394" spans="2:2" x14ac:dyDescent="0.25">
      <c r="B10394" s="11"/>
    </row>
    <row r="10395" spans="2:2" x14ac:dyDescent="0.25">
      <c r="B10395" s="11"/>
    </row>
    <row r="10396" spans="2:2" x14ac:dyDescent="0.25">
      <c r="B10396" s="11"/>
    </row>
    <row r="10397" spans="2:2" x14ac:dyDescent="0.25">
      <c r="B10397" s="11"/>
    </row>
    <row r="10398" spans="2:2" x14ac:dyDescent="0.25">
      <c r="B10398" s="11"/>
    </row>
    <row r="10399" spans="2:2" x14ac:dyDescent="0.25">
      <c r="B10399" s="11"/>
    </row>
    <row r="10400" spans="2:2" x14ac:dyDescent="0.25">
      <c r="B10400" s="11"/>
    </row>
    <row r="10401" spans="2:2" x14ac:dyDescent="0.25">
      <c r="B10401" s="11"/>
    </row>
    <row r="10402" spans="2:2" x14ac:dyDescent="0.25">
      <c r="B10402" s="11"/>
    </row>
    <row r="10403" spans="2:2" x14ac:dyDescent="0.25">
      <c r="B10403" s="11"/>
    </row>
    <row r="10404" spans="2:2" x14ac:dyDescent="0.25">
      <c r="B10404" s="11"/>
    </row>
    <row r="10405" spans="2:2" x14ac:dyDescent="0.25">
      <c r="B10405" s="11"/>
    </row>
    <row r="10406" spans="2:2" x14ac:dyDescent="0.25">
      <c r="B10406" s="11"/>
    </row>
    <row r="10407" spans="2:2" x14ac:dyDescent="0.25">
      <c r="B10407" s="11"/>
    </row>
    <row r="10408" spans="2:2" x14ac:dyDescent="0.25">
      <c r="B10408" s="11"/>
    </row>
    <row r="10409" spans="2:2" x14ac:dyDescent="0.25">
      <c r="B10409" s="11"/>
    </row>
    <row r="10410" spans="2:2" x14ac:dyDescent="0.25">
      <c r="B10410" s="11"/>
    </row>
    <row r="10411" spans="2:2" x14ac:dyDescent="0.25">
      <c r="B10411" s="11"/>
    </row>
    <row r="10412" spans="2:2" x14ac:dyDescent="0.25">
      <c r="B10412" s="11"/>
    </row>
    <row r="10413" spans="2:2" x14ac:dyDescent="0.25">
      <c r="B10413" s="11"/>
    </row>
    <row r="10414" spans="2:2" x14ac:dyDescent="0.25">
      <c r="B10414" s="11"/>
    </row>
    <row r="10415" spans="2:2" x14ac:dyDescent="0.25">
      <c r="B10415" s="11"/>
    </row>
    <row r="10416" spans="2:2" x14ac:dyDescent="0.25">
      <c r="B10416" s="11"/>
    </row>
    <row r="10417" spans="2:2" x14ac:dyDescent="0.25">
      <c r="B10417" s="11"/>
    </row>
    <row r="10418" spans="2:2" x14ac:dyDescent="0.25">
      <c r="B10418" s="11"/>
    </row>
    <row r="10419" spans="2:2" x14ac:dyDescent="0.25">
      <c r="B10419" s="11"/>
    </row>
    <row r="10420" spans="2:2" x14ac:dyDescent="0.25">
      <c r="B10420" s="11"/>
    </row>
    <row r="10421" spans="2:2" x14ac:dyDescent="0.25">
      <c r="B10421" s="11"/>
    </row>
    <row r="10422" spans="2:2" x14ac:dyDescent="0.25">
      <c r="B10422" s="11"/>
    </row>
    <row r="10423" spans="2:2" x14ac:dyDescent="0.25">
      <c r="B10423" s="11"/>
    </row>
    <row r="10424" spans="2:2" x14ac:dyDescent="0.25">
      <c r="B10424" s="11"/>
    </row>
    <row r="10425" spans="2:2" x14ac:dyDescent="0.25">
      <c r="B10425" s="11"/>
    </row>
    <row r="10426" spans="2:2" x14ac:dyDescent="0.25">
      <c r="B10426" s="11"/>
    </row>
    <row r="10427" spans="2:2" x14ac:dyDescent="0.25">
      <c r="B10427" s="11"/>
    </row>
    <row r="10428" spans="2:2" x14ac:dyDescent="0.25">
      <c r="B10428" s="11"/>
    </row>
    <row r="10429" spans="2:2" x14ac:dyDescent="0.25">
      <c r="B10429" s="11"/>
    </row>
    <row r="10430" spans="2:2" x14ac:dyDescent="0.25">
      <c r="B10430" s="11"/>
    </row>
    <row r="10431" spans="2:2" x14ac:dyDescent="0.25">
      <c r="B10431" s="11"/>
    </row>
    <row r="10432" spans="2:2" x14ac:dyDescent="0.25">
      <c r="B10432" s="11"/>
    </row>
    <row r="10433" spans="2:2" x14ac:dyDescent="0.25">
      <c r="B10433" s="11"/>
    </row>
    <row r="10434" spans="2:2" x14ac:dyDescent="0.25">
      <c r="B10434" s="11"/>
    </row>
    <row r="10435" spans="2:2" x14ac:dyDescent="0.25">
      <c r="B10435" s="11"/>
    </row>
    <row r="10436" spans="2:2" x14ac:dyDescent="0.25">
      <c r="B10436" s="11"/>
    </row>
    <row r="10437" spans="2:2" x14ac:dyDescent="0.25">
      <c r="B10437" s="11"/>
    </row>
    <row r="10438" spans="2:2" x14ac:dyDescent="0.25">
      <c r="B10438" s="11"/>
    </row>
    <row r="10439" spans="2:2" x14ac:dyDescent="0.25">
      <c r="B10439" s="11"/>
    </row>
    <row r="10440" spans="2:2" x14ac:dyDescent="0.25">
      <c r="B10440" s="11"/>
    </row>
    <row r="10441" spans="2:2" x14ac:dyDescent="0.25">
      <c r="B10441" s="11"/>
    </row>
    <row r="10442" spans="2:2" x14ac:dyDescent="0.25">
      <c r="B10442" s="11"/>
    </row>
    <row r="10443" spans="2:2" x14ac:dyDescent="0.25">
      <c r="B10443" s="11"/>
    </row>
    <row r="10444" spans="2:2" x14ac:dyDescent="0.25">
      <c r="B10444" s="11"/>
    </row>
    <row r="10445" spans="2:2" x14ac:dyDescent="0.25">
      <c r="B10445" s="11"/>
    </row>
    <row r="10446" spans="2:2" x14ac:dyDescent="0.25">
      <c r="B10446" s="11"/>
    </row>
    <row r="10447" spans="2:2" x14ac:dyDescent="0.25">
      <c r="B10447" s="11"/>
    </row>
    <row r="10448" spans="2:2" x14ac:dyDescent="0.25">
      <c r="B10448" s="11"/>
    </row>
    <row r="10449" spans="2:2" x14ac:dyDescent="0.25">
      <c r="B10449" s="11"/>
    </row>
    <row r="10450" spans="2:2" x14ac:dyDescent="0.25">
      <c r="B10450" s="11"/>
    </row>
    <row r="10451" spans="2:2" x14ac:dyDescent="0.25">
      <c r="B10451" s="11"/>
    </row>
    <row r="10452" spans="2:2" x14ac:dyDescent="0.25">
      <c r="B10452" s="11"/>
    </row>
    <row r="10453" spans="2:2" x14ac:dyDescent="0.25">
      <c r="B10453" s="11"/>
    </row>
    <row r="10454" spans="2:2" x14ac:dyDescent="0.25">
      <c r="B10454" s="11"/>
    </row>
    <row r="10455" spans="2:2" x14ac:dyDescent="0.25">
      <c r="B10455" s="11"/>
    </row>
    <row r="10456" spans="2:2" x14ac:dyDescent="0.25">
      <c r="B10456" s="11"/>
    </row>
    <row r="10457" spans="2:2" x14ac:dyDescent="0.25">
      <c r="B10457" s="11"/>
    </row>
    <row r="10458" spans="2:2" x14ac:dyDescent="0.25">
      <c r="B10458" s="11"/>
    </row>
    <row r="10459" spans="2:2" x14ac:dyDescent="0.25">
      <c r="B10459" s="11"/>
    </row>
    <row r="10460" spans="2:2" x14ac:dyDescent="0.25">
      <c r="B10460" s="11"/>
    </row>
    <row r="10461" spans="2:2" x14ac:dyDescent="0.25">
      <c r="B10461" s="11"/>
    </row>
    <row r="10462" spans="2:2" x14ac:dyDescent="0.25">
      <c r="B10462" s="11"/>
    </row>
    <row r="10463" spans="2:2" x14ac:dyDescent="0.25">
      <c r="B10463" s="11"/>
    </row>
    <row r="10464" spans="2:2" x14ac:dyDescent="0.25">
      <c r="B10464" s="11"/>
    </row>
    <row r="10465" spans="2:2" x14ac:dyDescent="0.25">
      <c r="B10465" s="11"/>
    </row>
    <row r="10466" spans="2:2" x14ac:dyDescent="0.25">
      <c r="B10466" s="11"/>
    </row>
    <row r="10467" spans="2:2" x14ac:dyDescent="0.25">
      <c r="B10467" s="11"/>
    </row>
    <row r="10468" spans="2:2" x14ac:dyDescent="0.25">
      <c r="B10468" s="11"/>
    </row>
    <row r="10469" spans="2:2" x14ac:dyDescent="0.25">
      <c r="B10469" s="11"/>
    </row>
    <row r="10470" spans="2:2" x14ac:dyDescent="0.25">
      <c r="B10470" s="11"/>
    </row>
    <row r="10471" spans="2:2" x14ac:dyDescent="0.25">
      <c r="B10471" s="11"/>
    </row>
    <row r="10472" spans="2:2" x14ac:dyDescent="0.25">
      <c r="B10472" s="11"/>
    </row>
    <row r="10473" spans="2:2" x14ac:dyDescent="0.25">
      <c r="B10473" s="11"/>
    </row>
    <row r="10474" spans="2:2" x14ac:dyDescent="0.25">
      <c r="B10474" s="11"/>
    </row>
    <row r="10475" spans="2:2" x14ac:dyDescent="0.25">
      <c r="B10475" s="11"/>
    </row>
    <row r="10476" spans="2:2" x14ac:dyDescent="0.25">
      <c r="B10476" s="11"/>
    </row>
    <row r="10477" spans="2:2" x14ac:dyDescent="0.25">
      <c r="B10477" s="11"/>
    </row>
    <row r="10478" spans="2:2" x14ac:dyDescent="0.25">
      <c r="B10478" s="11"/>
    </row>
    <row r="10479" spans="2:2" x14ac:dyDescent="0.25">
      <c r="B10479" s="11"/>
    </row>
    <row r="10480" spans="2:2" x14ac:dyDescent="0.25">
      <c r="B10480" s="11"/>
    </row>
    <row r="10481" spans="2:2" x14ac:dyDescent="0.25">
      <c r="B10481" s="11"/>
    </row>
    <row r="10482" spans="2:2" x14ac:dyDescent="0.25">
      <c r="B10482" s="11"/>
    </row>
    <row r="10483" spans="2:2" x14ac:dyDescent="0.25">
      <c r="B10483" s="11"/>
    </row>
    <row r="10484" spans="2:2" x14ac:dyDescent="0.25">
      <c r="B10484" s="11"/>
    </row>
    <row r="10485" spans="2:2" x14ac:dyDescent="0.25">
      <c r="B10485" s="11"/>
    </row>
    <row r="10486" spans="2:2" x14ac:dyDescent="0.25">
      <c r="B10486" s="11"/>
    </row>
    <row r="10487" spans="2:2" x14ac:dyDescent="0.25">
      <c r="B10487" s="11"/>
    </row>
    <row r="10488" spans="2:2" x14ac:dyDescent="0.25">
      <c r="B10488" s="11"/>
    </row>
    <row r="10489" spans="2:2" x14ac:dyDescent="0.25">
      <c r="B10489" s="11"/>
    </row>
    <row r="10490" spans="2:2" x14ac:dyDescent="0.25">
      <c r="B10490" s="11"/>
    </row>
    <row r="10491" spans="2:2" x14ac:dyDescent="0.25">
      <c r="B10491" s="11"/>
    </row>
    <row r="10492" spans="2:2" x14ac:dyDescent="0.25">
      <c r="B10492" s="11"/>
    </row>
    <row r="10493" spans="2:2" x14ac:dyDescent="0.25">
      <c r="B10493" s="11"/>
    </row>
    <row r="10494" spans="2:2" x14ac:dyDescent="0.25">
      <c r="B10494" s="11"/>
    </row>
    <row r="10495" spans="2:2" x14ac:dyDescent="0.25">
      <c r="B10495" s="11"/>
    </row>
    <row r="10496" spans="2:2" x14ac:dyDescent="0.25">
      <c r="B10496" s="11"/>
    </row>
    <row r="10497" spans="2:2" x14ac:dyDescent="0.25">
      <c r="B10497" s="11"/>
    </row>
    <row r="10498" spans="2:2" x14ac:dyDescent="0.25">
      <c r="B10498" s="11"/>
    </row>
    <row r="10499" spans="2:2" x14ac:dyDescent="0.25">
      <c r="B10499" s="11"/>
    </row>
    <row r="10500" spans="2:2" x14ac:dyDescent="0.25">
      <c r="B10500" s="11"/>
    </row>
    <row r="10501" spans="2:2" x14ac:dyDescent="0.25">
      <c r="B10501" s="11"/>
    </row>
    <row r="10502" spans="2:2" x14ac:dyDescent="0.25">
      <c r="B10502" s="11"/>
    </row>
    <row r="10503" spans="2:2" x14ac:dyDescent="0.25">
      <c r="B10503" s="11"/>
    </row>
    <row r="10504" spans="2:2" x14ac:dyDescent="0.25">
      <c r="B10504" s="11"/>
    </row>
    <row r="10505" spans="2:2" x14ac:dyDescent="0.25">
      <c r="B10505" s="11"/>
    </row>
    <row r="10506" spans="2:2" x14ac:dyDescent="0.25">
      <c r="B10506" s="11"/>
    </row>
    <row r="10507" spans="2:2" x14ac:dyDescent="0.25">
      <c r="B10507" s="11"/>
    </row>
    <row r="10508" spans="2:2" x14ac:dyDescent="0.25">
      <c r="B10508" s="11"/>
    </row>
    <row r="10509" spans="2:2" x14ac:dyDescent="0.25">
      <c r="B10509" s="11"/>
    </row>
    <row r="10510" spans="2:2" x14ac:dyDescent="0.25">
      <c r="B10510" s="11"/>
    </row>
    <row r="10511" spans="2:2" x14ac:dyDescent="0.25">
      <c r="B10511" s="11"/>
    </row>
    <row r="10512" spans="2:2" x14ac:dyDescent="0.25">
      <c r="B10512" s="11"/>
    </row>
    <row r="10513" spans="2:2" x14ac:dyDescent="0.25">
      <c r="B10513" s="11"/>
    </row>
    <row r="10514" spans="2:2" x14ac:dyDescent="0.25">
      <c r="B10514" s="11"/>
    </row>
    <row r="10515" spans="2:2" x14ac:dyDescent="0.25">
      <c r="B10515" s="11"/>
    </row>
    <row r="10516" spans="2:2" x14ac:dyDescent="0.25">
      <c r="B10516" s="11"/>
    </row>
    <row r="10517" spans="2:2" x14ac:dyDescent="0.25">
      <c r="B10517" s="11"/>
    </row>
    <row r="10518" spans="2:2" x14ac:dyDescent="0.25">
      <c r="B10518" s="11"/>
    </row>
    <row r="10519" spans="2:2" x14ac:dyDescent="0.25">
      <c r="B10519" s="11"/>
    </row>
    <row r="10520" spans="2:2" x14ac:dyDescent="0.25">
      <c r="B10520" s="11"/>
    </row>
    <row r="10521" spans="2:2" x14ac:dyDescent="0.25">
      <c r="B10521" s="11"/>
    </row>
    <row r="10522" spans="2:2" x14ac:dyDescent="0.25">
      <c r="B10522" s="11"/>
    </row>
    <row r="10523" spans="2:2" x14ac:dyDescent="0.25">
      <c r="B10523" s="11"/>
    </row>
    <row r="10524" spans="2:2" x14ac:dyDescent="0.25">
      <c r="B10524" s="11"/>
    </row>
    <row r="10525" spans="2:2" x14ac:dyDescent="0.25">
      <c r="B10525" s="11"/>
    </row>
    <row r="10526" spans="2:2" x14ac:dyDescent="0.25">
      <c r="B10526" s="11"/>
    </row>
    <row r="10527" spans="2:2" x14ac:dyDescent="0.25">
      <c r="B10527" s="11"/>
    </row>
    <row r="10528" spans="2:2" x14ac:dyDescent="0.25">
      <c r="B10528" s="11"/>
    </row>
    <row r="10529" spans="2:2" x14ac:dyDescent="0.25">
      <c r="B10529" s="11"/>
    </row>
    <row r="10530" spans="2:2" x14ac:dyDescent="0.25">
      <c r="B10530" s="11"/>
    </row>
    <row r="10531" spans="2:2" x14ac:dyDescent="0.25">
      <c r="B10531" s="11"/>
    </row>
    <row r="10532" spans="2:2" x14ac:dyDescent="0.25">
      <c r="B10532" s="11"/>
    </row>
    <row r="10533" spans="2:2" x14ac:dyDescent="0.25">
      <c r="B10533" s="11"/>
    </row>
    <row r="10534" spans="2:2" x14ac:dyDescent="0.25">
      <c r="B10534" s="11"/>
    </row>
    <row r="10535" spans="2:2" x14ac:dyDescent="0.25">
      <c r="B10535" s="11"/>
    </row>
    <row r="10536" spans="2:2" x14ac:dyDescent="0.25">
      <c r="B10536" s="11"/>
    </row>
    <row r="10537" spans="2:2" x14ac:dyDescent="0.25">
      <c r="B10537" s="11"/>
    </row>
    <row r="10538" spans="2:2" x14ac:dyDescent="0.25">
      <c r="B10538" s="11"/>
    </row>
    <row r="10539" spans="2:2" x14ac:dyDescent="0.25">
      <c r="B10539" s="11"/>
    </row>
    <row r="10540" spans="2:2" x14ac:dyDescent="0.25">
      <c r="B10540" s="11"/>
    </row>
    <row r="10541" spans="2:2" x14ac:dyDescent="0.25">
      <c r="B10541" s="11"/>
    </row>
    <row r="10542" spans="2:2" x14ac:dyDescent="0.25">
      <c r="B10542" s="11"/>
    </row>
    <row r="10543" spans="2:2" x14ac:dyDescent="0.25">
      <c r="B10543" s="11"/>
    </row>
    <row r="10544" spans="2:2" x14ac:dyDescent="0.25">
      <c r="B10544" s="11"/>
    </row>
    <row r="10545" spans="2:2" x14ac:dyDescent="0.25">
      <c r="B10545" s="11"/>
    </row>
    <row r="10546" spans="2:2" x14ac:dyDescent="0.25">
      <c r="B10546" s="11"/>
    </row>
    <row r="10547" spans="2:2" x14ac:dyDescent="0.25">
      <c r="B10547" s="11"/>
    </row>
    <row r="10548" spans="2:2" x14ac:dyDescent="0.25">
      <c r="B10548" s="11"/>
    </row>
    <row r="10549" spans="2:2" x14ac:dyDescent="0.25">
      <c r="B10549" s="11"/>
    </row>
    <row r="10550" spans="2:2" x14ac:dyDescent="0.25">
      <c r="B10550" s="11"/>
    </row>
    <row r="10551" spans="2:2" x14ac:dyDescent="0.25">
      <c r="B10551" s="11"/>
    </row>
    <row r="10552" spans="2:2" x14ac:dyDescent="0.25">
      <c r="B10552" s="11"/>
    </row>
    <row r="10553" spans="2:2" x14ac:dyDescent="0.25">
      <c r="B10553" s="11"/>
    </row>
    <row r="10554" spans="2:2" x14ac:dyDescent="0.25">
      <c r="B10554" s="11"/>
    </row>
    <row r="10555" spans="2:2" x14ac:dyDescent="0.25">
      <c r="B10555" s="11"/>
    </row>
    <row r="10556" spans="2:2" x14ac:dyDescent="0.25">
      <c r="B10556" s="11"/>
    </row>
    <row r="10557" spans="2:2" x14ac:dyDescent="0.25">
      <c r="B10557" s="11"/>
    </row>
    <row r="10558" spans="2:2" x14ac:dyDescent="0.25">
      <c r="B10558" s="11"/>
    </row>
    <row r="10559" spans="2:2" x14ac:dyDescent="0.25">
      <c r="B10559" s="11"/>
    </row>
    <row r="10560" spans="2:2" x14ac:dyDescent="0.25">
      <c r="B10560" s="11"/>
    </row>
    <row r="10561" spans="2:2" x14ac:dyDescent="0.25">
      <c r="B10561" s="11"/>
    </row>
    <row r="10562" spans="2:2" x14ac:dyDescent="0.25">
      <c r="B10562" s="11"/>
    </row>
    <row r="10563" spans="2:2" x14ac:dyDescent="0.25">
      <c r="B10563" s="11"/>
    </row>
    <row r="10564" spans="2:2" x14ac:dyDescent="0.25">
      <c r="B10564" s="11"/>
    </row>
    <row r="10565" spans="2:2" x14ac:dyDescent="0.25">
      <c r="B10565" s="11"/>
    </row>
    <row r="10566" spans="2:2" x14ac:dyDescent="0.25">
      <c r="B10566" s="11"/>
    </row>
    <row r="10567" spans="2:2" x14ac:dyDescent="0.25">
      <c r="B10567" s="11"/>
    </row>
    <row r="10568" spans="2:2" x14ac:dyDescent="0.25">
      <c r="B10568" s="11"/>
    </row>
    <row r="10569" spans="2:2" x14ac:dyDescent="0.25">
      <c r="B10569" s="11"/>
    </row>
    <row r="10570" spans="2:2" x14ac:dyDescent="0.25">
      <c r="B10570" s="11"/>
    </row>
    <row r="10571" spans="2:2" x14ac:dyDescent="0.25">
      <c r="B10571" s="11"/>
    </row>
    <row r="10572" spans="2:2" x14ac:dyDescent="0.25">
      <c r="B10572" s="11"/>
    </row>
    <row r="10573" spans="2:2" x14ac:dyDescent="0.25">
      <c r="B10573" s="11"/>
    </row>
    <row r="10574" spans="2:2" x14ac:dyDescent="0.25">
      <c r="B10574" s="11"/>
    </row>
    <row r="10575" spans="2:2" x14ac:dyDescent="0.25">
      <c r="B10575" s="11"/>
    </row>
    <row r="10576" spans="2:2" x14ac:dyDescent="0.25">
      <c r="B10576" s="11"/>
    </row>
    <row r="10577" spans="2:2" x14ac:dyDescent="0.25">
      <c r="B10577" s="11"/>
    </row>
    <row r="10578" spans="2:2" x14ac:dyDescent="0.25">
      <c r="B10578" s="11"/>
    </row>
    <row r="10579" spans="2:2" x14ac:dyDescent="0.25">
      <c r="B10579" s="11"/>
    </row>
    <row r="10580" spans="2:2" x14ac:dyDescent="0.25">
      <c r="B10580" s="11"/>
    </row>
    <row r="10581" spans="2:2" x14ac:dyDescent="0.25">
      <c r="B10581" s="11"/>
    </row>
    <row r="10582" spans="2:2" x14ac:dyDescent="0.25">
      <c r="B10582" s="11"/>
    </row>
    <row r="10583" spans="2:2" x14ac:dyDescent="0.25">
      <c r="B10583" s="11"/>
    </row>
    <row r="10584" spans="2:2" x14ac:dyDescent="0.25">
      <c r="B10584" s="11"/>
    </row>
    <row r="10585" spans="2:2" x14ac:dyDescent="0.25">
      <c r="B10585" s="11"/>
    </row>
    <row r="10586" spans="2:2" x14ac:dyDescent="0.25">
      <c r="B10586" s="11"/>
    </row>
    <row r="10587" spans="2:2" x14ac:dyDescent="0.25">
      <c r="B10587" s="11"/>
    </row>
    <row r="10588" spans="2:2" x14ac:dyDescent="0.25">
      <c r="B10588" s="11"/>
    </row>
    <row r="10589" spans="2:2" x14ac:dyDescent="0.25">
      <c r="B10589" s="11"/>
    </row>
    <row r="10590" spans="2:2" x14ac:dyDescent="0.25">
      <c r="B10590" s="11"/>
    </row>
    <row r="10591" spans="2:2" x14ac:dyDescent="0.25">
      <c r="B10591" s="11"/>
    </row>
    <row r="10592" spans="2:2" x14ac:dyDescent="0.25">
      <c r="B10592" s="11"/>
    </row>
    <row r="10593" spans="2:2" x14ac:dyDescent="0.25">
      <c r="B10593" s="11"/>
    </row>
    <row r="10594" spans="2:2" x14ac:dyDescent="0.25">
      <c r="B10594" s="11"/>
    </row>
    <row r="10595" spans="2:2" x14ac:dyDescent="0.25">
      <c r="B10595" s="11"/>
    </row>
    <row r="10596" spans="2:2" x14ac:dyDescent="0.25">
      <c r="B10596" s="11"/>
    </row>
    <row r="10597" spans="2:2" x14ac:dyDescent="0.25">
      <c r="B10597" s="11"/>
    </row>
    <row r="10598" spans="2:2" x14ac:dyDescent="0.25">
      <c r="B10598" s="11"/>
    </row>
    <row r="10599" spans="2:2" x14ac:dyDescent="0.25">
      <c r="B10599" s="11"/>
    </row>
    <row r="10600" spans="2:2" x14ac:dyDescent="0.25">
      <c r="B10600" s="11"/>
    </row>
    <row r="10601" spans="2:2" x14ac:dyDescent="0.25">
      <c r="B10601" s="11"/>
    </row>
    <row r="10602" spans="2:2" x14ac:dyDescent="0.25">
      <c r="B10602" s="11"/>
    </row>
    <row r="10603" spans="2:2" x14ac:dyDescent="0.25">
      <c r="B10603" s="11"/>
    </row>
    <row r="10604" spans="2:2" x14ac:dyDescent="0.25">
      <c r="B10604" s="11"/>
    </row>
    <row r="10605" spans="2:2" x14ac:dyDescent="0.25">
      <c r="B10605" s="11"/>
    </row>
    <row r="10606" spans="2:2" x14ac:dyDescent="0.25">
      <c r="B10606" s="11"/>
    </row>
    <row r="10607" spans="2:2" x14ac:dyDescent="0.25">
      <c r="B10607" s="11"/>
    </row>
    <row r="10608" spans="2:2" x14ac:dyDescent="0.25">
      <c r="B10608" s="11"/>
    </row>
    <row r="10609" spans="2:2" x14ac:dyDescent="0.25">
      <c r="B10609" s="11"/>
    </row>
    <row r="10610" spans="2:2" x14ac:dyDescent="0.25">
      <c r="B10610" s="11"/>
    </row>
    <row r="10611" spans="2:2" x14ac:dyDescent="0.25">
      <c r="B10611" s="11"/>
    </row>
    <row r="10612" spans="2:2" x14ac:dyDescent="0.25">
      <c r="B10612" s="11"/>
    </row>
    <row r="10613" spans="2:2" x14ac:dyDescent="0.25">
      <c r="B10613" s="11"/>
    </row>
    <row r="10614" spans="2:2" x14ac:dyDescent="0.25">
      <c r="B10614" s="11"/>
    </row>
    <row r="10615" spans="2:2" x14ac:dyDescent="0.25">
      <c r="B10615" s="11"/>
    </row>
    <row r="10616" spans="2:2" x14ac:dyDescent="0.25">
      <c r="B10616" s="11"/>
    </row>
    <row r="10617" spans="2:2" x14ac:dyDescent="0.25">
      <c r="B10617" s="11"/>
    </row>
    <row r="10618" spans="2:2" x14ac:dyDescent="0.25">
      <c r="B10618" s="11"/>
    </row>
    <row r="10619" spans="2:2" x14ac:dyDescent="0.25">
      <c r="B10619" s="11"/>
    </row>
    <row r="10620" spans="2:2" x14ac:dyDescent="0.25">
      <c r="B10620" s="11"/>
    </row>
    <row r="10621" spans="2:2" x14ac:dyDescent="0.25">
      <c r="B10621" s="11"/>
    </row>
    <row r="10622" spans="2:2" x14ac:dyDescent="0.25">
      <c r="B10622" s="11"/>
    </row>
    <row r="10623" spans="2:2" x14ac:dyDescent="0.25">
      <c r="B10623" s="11"/>
    </row>
    <row r="10624" spans="2:2" x14ac:dyDescent="0.25">
      <c r="B10624" s="11"/>
    </row>
    <row r="10625" spans="2:2" x14ac:dyDescent="0.25">
      <c r="B10625" s="11"/>
    </row>
    <row r="10626" spans="2:2" x14ac:dyDescent="0.25">
      <c r="B10626" s="11"/>
    </row>
    <row r="10627" spans="2:2" x14ac:dyDescent="0.25">
      <c r="B10627" s="11"/>
    </row>
    <row r="10628" spans="2:2" x14ac:dyDescent="0.25">
      <c r="B10628" s="11"/>
    </row>
    <row r="10629" spans="2:2" x14ac:dyDescent="0.25">
      <c r="B10629" s="11"/>
    </row>
    <row r="10630" spans="2:2" x14ac:dyDescent="0.25">
      <c r="B10630" s="11"/>
    </row>
    <row r="10631" spans="2:2" x14ac:dyDescent="0.25">
      <c r="B10631" s="11"/>
    </row>
    <row r="10632" spans="2:2" x14ac:dyDescent="0.25">
      <c r="B10632" s="11"/>
    </row>
    <row r="10633" spans="2:2" x14ac:dyDescent="0.25">
      <c r="B10633" s="11"/>
    </row>
    <row r="10634" spans="2:2" x14ac:dyDescent="0.25">
      <c r="B10634" s="11"/>
    </row>
    <row r="10635" spans="2:2" x14ac:dyDescent="0.25">
      <c r="B10635" s="11"/>
    </row>
    <row r="10636" spans="2:2" x14ac:dyDescent="0.25">
      <c r="B10636" s="11"/>
    </row>
    <row r="10637" spans="2:2" x14ac:dyDescent="0.25">
      <c r="B10637" s="11"/>
    </row>
    <row r="10638" spans="2:2" x14ac:dyDescent="0.25">
      <c r="B10638" s="11"/>
    </row>
    <row r="10639" spans="2:2" x14ac:dyDescent="0.25">
      <c r="B10639" s="11"/>
    </row>
    <row r="10640" spans="2:2" x14ac:dyDescent="0.25">
      <c r="B10640" s="11"/>
    </row>
    <row r="10641" spans="2:2" x14ac:dyDescent="0.25">
      <c r="B10641" s="11"/>
    </row>
    <row r="10642" spans="2:2" x14ac:dyDescent="0.25">
      <c r="B10642" s="11"/>
    </row>
    <row r="10643" spans="2:2" x14ac:dyDescent="0.25">
      <c r="B10643" s="11"/>
    </row>
    <row r="10644" spans="2:2" x14ac:dyDescent="0.25">
      <c r="B10644" s="11"/>
    </row>
    <row r="10645" spans="2:2" x14ac:dyDescent="0.25">
      <c r="B10645" s="11"/>
    </row>
    <row r="10646" spans="2:2" x14ac:dyDescent="0.25">
      <c r="B10646" s="11"/>
    </row>
    <row r="10647" spans="2:2" x14ac:dyDescent="0.25">
      <c r="B10647" s="11"/>
    </row>
    <row r="10648" spans="2:2" x14ac:dyDescent="0.25">
      <c r="B10648" s="11"/>
    </row>
    <row r="10649" spans="2:2" x14ac:dyDescent="0.25">
      <c r="B10649" s="11"/>
    </row>
    <row r="10650" spans="2:2" x14ac:dyDescent="0.25">
      <c r="B10650" s="11"/>
    </row>
    <row r="10651" spans="2:2" x14ac:dyDescent="0.25">
      <c r="B10651" s="11"/>
    </row>
    <row r="10652" spans="2:2" x14ac:dyDescent="0.25">
      <c r="B10652" s="11"/>
    </row>
    <row r="10653" spans="2:2" x14ac:dyDescent="0.25">
      <c r="B10653" s="11"/>
    </row>
    <row r="10654" spans="2:2" x14ac:dyDescent="0.25">
      <c r="B10654" s="11"/>
    </row>
    <row r="10655" spans="2:2" x14ac:dyDescent="0.25">
      <c r="B10655" s="11"/>
    </row>
    <row r="10656" spans="2:2" x14ac:dyDescent="0.25">
      <c r="B10656" s="11"/>
    </row>
    <row r="10657" spans="2:2" x14ac:dyDescent="0.25">
      <c r="B10657" s="11"/>
    </row>
    <row r="10658" spans="2:2" x14ac:dyDescent="0.25">
      <c r="B10658" s="11"/>
    </row>
    <row r="10659" spans="2:2" x14ac:dyDescent="0.25">
      <c r="B10659" s="11"/>
    </row>
    <row r="10660" spans="2:2" x14ac:dyDescent="0.25">
      <c r="B10660" s="11"/>
    </row>
    <row r="10661" spans="2:2" x14ac:dyDescent="0.25">
      <c r="B10661" s="11"/>
    </row>
    <row r="10662" spans="2:2" x14ac:dyDescent="0.25">
      <c r="B10662" s="11"/>
    </row>
    <row r="10663" spans="2:2" x14ac:dyDescent="0.25">
      <c r="B10663" s="11"/>
    </row>
    <row r="10664" spans="2:2" x14ac:dyDescent="0.25">
      <c r="B10664" s="11"/>
    </row>
    <row r="10665" spans="2:2" x14ac:dyDescent="0.25">
      <c r="B10665" s="11"/>
    </row>
    <row r="10666" spans="2:2" x14ac:dyDescent="0.25">
      <c r="B10666" s="11"/>
    </row>
    <row r="10667" spans="2:2" x14ac:dyDescent="0.25">
      <c r="B10667" s="11"/>
    </row>
    <row r="10668" spans="2:2" x14ac:dyDescent="0.25">
      <c r="B10668" s="11"/>
    </row>
    <row r="10669" spans="2:2" x14ac:dyDescent="0.25">
      <c r="B10669" s="11"/>
    </row>
    <row r="10670" spans="2:2" x14ac:dyDescent="0.25">
      <c r="B10670" s="11"/>
    </row>
    <row r="10671" spans="2:2" x14ac:dyDescent="0.25">
      <c r="B10671" s="11"/>
    </row>
    <row r="10672" spans="2:2" x14ac:dyDescent="0.25">
      <c r="B10672" s="11"/>
    </row>
    <row r="10673" spans="2:2" x14ac:dyDescent="0.25">
      <c r="B10673" s="11"/>
    </row>
    <row r="10674" spans="2:2" x14ac:dyDescent="0.25">
      <c r="B10674" s="11"/>
    </row>
    <row r="10675" spans="2:2" x14ac:dyDescent="0.25">
      <c r="B10675" s="11"/>
    </row>
    <row r="10676" spans="2:2" x14ac:dyDescent="0.25">
      <c r="B10676" s="11"/>
    </row>
    <row r="10677" spans="2:2" x14ac:dyDescent="0.25">
      <c r="B10677" s="11"/>
    </row>
    <row r="10678" spans="2:2" x14ac:dyDescent="0.25">
      <c r="B10678" s="11"/>
    </row>
    <row r="10679" spans="2:2" x14ac:dyDescent="0.25">
      <c r="B10679" s="11"/>
    </row>
    <row r="10680" spans="2:2" x14ac:dyDescent="0.25">
      <c r="B10680" s="11"/>
    </row>
    <row r="10681" spans="2:2" x14ac:dyDescent="0.25">
      <c r="B10681" s="11"/>
    </row>
    <row r="10682" spans="2:2" x14ac:dyDescent="0.25">
      <c r="B10682" s="11"/>
    </row>
    <row r="10683" spans="2:2" x14ac:dyDescent="0.25">
      <c r="B10683" s="11"/>
    </row>
    <row r="10684" spans="2:2" x14ac:dyDescent="0.25">
      <c r="B10684" s="11"/>
    </row>
    <row r="10685" spans="2:2" x14ac:dyDescent="0.25">
      <c r="B10685" s="11"/>
    </row>
    <row r="10686" spans="2:2" x14ac:dyDescent="0.25">
      <c r="B10686" s="11"/>
    </row>
    <row r="10687" spans="2:2" x14ac:dyDescent="0.25">
      <c r="B10687" s="11"/>
    </row>
    <row r="10688" spans="2:2" x14ac:dyDescent="0.25">
      <c r="B10688" s="11"/>
    </row>
    <row r="10689" spans="2:2" x14ac:dyDescent="0.25">
      <c r="B10689" s="11"/>
    </row>
    <row r="10690" spans="2:2" x14ac:dyDescent="0.25">
      <c r="B10690" s="11"/>
    </row>
    <row r="10691" spans="2:2" x14ac:dyDescent="0.25">
      <c r="B10691" s="11"/>
    </row>
    <row r="10692" spans="2:2" x14ac:dyDescent="0.25">
      <c r="B10692" s="11"/>
    </row>
    <row r="10693" spans="2:2" x14ac:dyDescent="0.25">
      <c r="B10693" s="11"/>
    </row>
    <row r="10694" spans="2:2" x14ac:dyDescent="0.25">
      <c r="B10694" s="11"/>
    </row>
    <row r="10695" spans="2:2" x14ac:dyDescent="0.25">
      <c r="B10695" s="11"/>
    </row>
    <row r="10696" spans="2:2" x14ac:dyDescent="0.25">
      <c r="B10696" s="11"/>
    </row>
    <row r="10697" spans="2:2" x14ac:dyDescent="0.25">
      <c r="B10697" s="11"/>
    </row>
    <row r="10698" spans="2:2" x14ac:dyDescent="0.25">
      <c r="B10698" s="11"/>
    </row>
    <row r="10699" spans="2:2" x14ac:dyDescent="0.25">
      <c r="B10699" s="11"/>
    </row>
    <row r="10700" spans="2:2" x14ac:dyDescent="0.25">
      <c r="B10700" s="11"/>
    </row>
    <row r="10701" spans="2:2" x14ac:dyDescent="0.25">
      <c r="B10701" s="11"/>
    </row>
    <row r="10702" spans="2:2" x14ac:dyDescent="0.25">
      <c r="B10702" s="11"/>
    </row>
    <row r="10703" spans="2:2" x14ac:dyDescent="0.25">
      <c r="B10703" s="11"/>
    </row>
    <row r="10704" spans="2:2" x14ac:dyDescent="0.25">
      <c r="B10704" s="11"/>
    </row>
    <row r="10705" spans="2:2" x14ac:dyDescent="0.25">
      <c r="B10705" s="11"/>
    </row>
    <row r="10706" spans="2:2" x14ac:dyDescent="0.25">
      <c r="B10706" s="11"/>
    </row>
    <row r="10707" spans="2:2" x14ac:dyDescent="0.25">
      <c r="B10707" s="11"/>
    </row>
    <row r="10708" spans="2:2" x14ac:dyDescent="0.25">
      <c r="B10708" s="11"/>
    </row>
    <row r="10709" spans="2:2" x14ac:dyDescent="0.25">
      <c r="B10709" s="11"/>
    </row>
    <row r="10710" spans="2:2" x14ac:dyDescent="0.25">
      <c r="B10710" s="11"/>
    </row>
    <row r="10711" spans="2:2" x14ac:dyDescent="0.25">
      <c r="B10711" s="11"/>
    </row>
    <row r="10712" spans="2:2" x14ac:dyDescent="0.25">
      <c r="B10712" s="11"/>
    </row>
    <row r="10713" spans="2:2" x14ac:dyDescent="0.25">
      <c r="B10713" s="11"/>
    </row>
    <row r="10714" spans="2:2" x14ac:dyDescent="0.25">
      <c r="B10714" s="11"/>
    </row>
    <row r="10715" spans="2:2" x14ac:dyDescent="0.25">
      <c r="B10715" s="11"/>
    </row>
    <row r="10716" spans="2:2" x14ac:dyDescent="0.25">
      <c r="B10716" s="11"/>
    </row>
    <row r="10717" spans="2:2" x14ac:dyDescent="0.25">
      <c r="B10717" s="11"/>
    </row>
    <row r="10718" spans="2:2" x14ac:dyDescent="0.25">
      <c r="B10718" s="11"/>
    </row>
    <row r="10719" spans="2:2" x14ac:dyDescent="0.25">
      <c r="B10719" s="11"/>
    </row>
    <row r="10720" spans="2:2" x14ac:dyDescent="0.25">
      <c r="B10720" s="11"/>
    </row>
    <row r="10721" spans="2:2" x14ac:dyDescent="0.25">
      <c r="B10721" s="11"/>
    </row>
    <row r="10722" spans="2:2" x14ac:dyDescent="0.25">
      <c r="B10722" s="11"/>
    </row>
    <row r="10723" spans="2:2" x14ac:dyDescent="0.25">
      <c r="B10723" s="11"/>
    </row>
    <row r="10724" spans="2:2" x14ac:dyDescent="0.25">
      <c r="B10724" s="11"/>
    </row>
    <row r="10725" spans="2:2" x14ac:dyDescent="0.25">
      <c r="B10725" s="11"/>
    </row>
    <row r="10726" spans="2:2" x14ac:dyDescent="0.25">
      <c r="B10726" s="11"/>
    </row>
    <row r="10727" spans="2:2" x14ac:dyDescent="0.25">
      <c r="B10727" s="11"/>
    </row>
    <row r="10728" spans="2:2" x14ac:dyDescent="0.25">
      <c r="B10728" s="11"/>
    </row>
    <row r="10729" spans="2:2" x14ac:dyDescent="0.25">
      <c r="B10729" s="11"/>
    </row>
    <row r="10730" spans="2:2" x14ac:dyDescent="0.25">
      <c r="B10730" s="11"/>
    </row>
    <row r="10731" spans="2:2" x14ac:dyDescent="0.25">
      <c r="B10731" s="11"/>
    </row>
    <row r="10732" spans="2:2" x14ac:dyDescent="0.25">
      <c r="B10732" s="11"/>
    </row>
    <row r="10733" spans="2:2" x14ac:dyDescent="0.25">
      <c r="B10733" s="11"/>
    </row>
    <row r="10734" spans="2:2" x14ac:dyDescent="0.25">
      <c r="B10734" s="11"/>
    </row>
    <row r="10735" spans="2:2" x14ac:dyDescent="0.25">
      <c r="B10735" s="11"/>
    </row>
    <row r="10736" spans="2:2" x14ac:dyDescent="0.25">
      <c r="B10736" s="11"/>
    </row>
    <row r="10737" spans="2:2" x14ac:dyDescent="0.25">
      <c r="B10737" s="11"/>
    </row>
    <row r="10738" spans="2:2" x14ac:dyDescent="0.25">
      <c r="B10738" s="11"/>
    </row>
    <row r="10739" spans="2:2" x14ac:dyDescent="0.25">
      <c r="B10739" s="11"/>
    </row>
    <row r="10740" spans="2:2" x14ac:dyDescent="0.25">
      <c r="B10740" s="11"/>
    </row>
    <row r="10741" spans="2:2" x14ac:dyDescent="0.25">
      <c r="B10741" s="11"/>
    </row>
    <row r="10742" spans="2:2" x14ac:dyDescent="0.25">
      <c r="B10742" s="11"/>
    </row>
    <row r="10743" spans="2:2" x14ac:dyDescent="0.25">
      <c r="B10743" s="11"/>
    </row>
    <row r="10744" spans="2:2" x14ac:dyDescent="0.25">
      <c r="B10744" s="11"/>
    </row>
    <row r="10745" spans="2:2" x14ac:dyDescent="0.25">
      <c r="B10745" s="11"/>
    </row>
    <row r="10746" spans="2:2" x14ac:dyDescent="0.25">
      <c r="B10746" s="11"/>
    </row>
    <row r="10747" spans="2:2" x14ac:dyDescent="0.25">
      <c r="B10747" s="11"/>
    </row>
    <row r="10748" spans="2:2" x14ac:dyDescent="0.25">
      <c r="B10748" s="11"/>
    </row>
    <row r="10749" spans="2:2" x14ac:dyDescent="0.25">
      <c r="B10749" s="11"/>
    </row>
    <row r="10750" spans="2:2" x14ac:dyDescent="0.25">
      <c r="B10750" s="11"/>
    </row>
    <row r="10751" spans="2:2" x14ac:dyDescent="0.25">
      <c r="B10751" s="11"/>
    </row>
    <row r="10752" spans="2:2" x14ac:dyDescent="0.25">
      <c r="B10752" s="11"/>
    </row>
    <row r="10753" spans="2:2" x14ac:dyDescent="0.25">
      <c r="B10753" s="11"/>
    </row>
    <row r="10754" spans="2:2" x14ac:dyDescent="0.25">
      <c r="B10754" s="11"/>
    </row>
    <row r="10755" spans="2:2" x14ac:dyDescent="0.25">
      <c r="B10755" s="11"/>
    </row>
    <row r="10756" spans="2:2" x14ac:dyDescent="0.25">
      <c r="B10756" s="11"/>
    </row>
    <row r="10757" spans="2:2" x14ac:dyDescent="0.25">
      <c r="B10757" s="11"/>
    </row>
    <row r="10758" spans="2:2" x14ac:dyDescent="0.25">
      <c r="B10758" s="11"/>
    </row>
    <row r="10759" spans="2:2" x14ac:dyDescent="0.25">
      <c r="B10759" s="11"/>
    </row>
    <row r="10760" spans="2:2" x14ac:dyDescent="0.25">
      <c r="B10760" s="11"/>
    </row>
    <row r="10761" spans="2:2" x14ac:dyDescent="0.25">
      <c r="B10761" s="11"/>
    </row>
    <row r="10762" spans="2:2" x14ac:dyDescent="0.25">
      <c r="B10762" s="11"/>
    </row>
    <row r="10763" spans="2:2" x14ac:dyDescent="0.25">
      <c r="B10763" s="11"/>
    </row>
    <row r="10764" spans="2:2" x14ac:dyDescent="0.25">
      <c r="B10764" s="11"/>
    </row>
    <row r="10765" spans="2:2" x14ac:dyDescent="0.25">
      <c r="B10765" s="11"/>
    </row>
    <row r="10766" spans="2:2" x14ac:dyDescent="0.25">
      <c r="B10766" s="11"/>
    </row>
    <row r="10767" spans="2:2" x14ac:dyDescent="0.25">
      <c r="B10767" s="11"/>
    </row>
    <row r="10768" spans="2:2" x14ac:dyDescent="0.25">
      <c r="B10768" s="11"/>
    </row>
    <row r="10769" spans="2:2" x14ac:dyDescent="0.25">
      <c r="B10769" s="11"/>
    </row>
    <row r="10770" spans="2:2" x14ac:dyDescent="0.25">
      <c r="B10770" s="11"/>
    </row>
    <row r="10771" spans="2:2" x14ac:dyDescent="0.25">
      <c r="B10771" s="11"/>
    </row>
    <row r="10772" spans="2:2" x14ac:dyDescent="0.25">
      <c r="B10772" s="11"/>
    </row>
    <row r="10773" spans="2:2" x14ac:dyDescent="0.25">
      <c r="B10773" s="11"/>
    </row>
    <row r="10774" spans="2:2" x14ac:dyDescent="0.25">
      <c r="B10774" s="11"/>
    </row>
    <row r="10775" spans="2:2" x14ac:dyDescent="0.25">
      <c r="B10775" s="11"/>
    </row>
    <row r="10776" spans="2:2" x14ac:dyDescent="0.25">
      <c r="B10776" s="11"/>
    </row>
    <row r="10777" spans="2:2" x14ac:dyDescent="0.25">
      <c r="B10777" s="11"/>
    </row>
    <row r="10778" spans="2:2" x14ac:dyDescent="0.25">
      <c r="B10778" s="11"/>
    </row>
    <row r="10779" spans="2:2" x14ac:dyDescent="0.25">
      <c r="B10779" s="11"/>
    </row>
    <row r="10780" spans="2:2" x14ac:dyDescent="0.25">
      <c r="B10780" s="11"/>
    </row>
    <row r="10781" spans="2:2" x14ac:dyDescent="0.25">
      <c r="B10781" s="11"/>
    </row>
    <row r="10782" spans="2:2" x14ac:dyDescent="0.25">
      <c r="B10782" s="11"/>
    </row>
    <row r="10783" spans="2:2" x14ac:dyDescent="0.25">
      <c r="B10783" s="11"/>
    </row>
    <row r="10784" spans="2:2" x14ac:dyDescent="0.25">
      <c r="B10784" s="11"/>
    </row>
    <row r="10785" spans="2:2" x14ac:dyDescent="0.25">
      <c r="B10785" s="11"/>
    </row>
    <row r="10786" spans="2:2" x14ac:dyDescent="0.25">
      <c r="B10786" s="11"/>
    </row>
    <row r="10787" spans="2:2" x14ac:dyDescent="0.25">
      <c r="B10787" s="11"/>
    </row>
    <row r="10788" spans="2:2" x14ac:dyDescent="0.25">
      <c r="B10788" s="11"/>
    </row>
    <row r="10789" spans="2:2" x14ac:dyDescent="0.25">
      <c r="B10789" s="11"/>
    </row>
    <row r="10790" spans="2:2" x14ac:dyDescent="0.25">
      <c r="B10790" s="11"/>
    </row>
    <row r="10791" spans="2:2" x14ac:dyDescent="0.25">
      <c r="B10791" s="11"/>
    </row>
    <row r="10792" spans="2:2" x14ac:dyDescent="0.25">
      <c r="B10792" s="11"/>
    </row>
    <row r="10793" spans="2:2" x14ac:dyDescent="0.25">
      <c r="B10793" s="11"/>
    </row>
    <row r="10794" spans="2:2" x14ac:dyDescent="0.25">
      <c r="B10794" s="11"/>
    </row>
    <row r="10795" spans="2:2" x14ac:dyDescent="0.25">
      <c r="B10795" s="11"/>
    </row>
    <row r="10796" spans="2:2" x14ac:dyDescent="0.25">
      <c r="B10796" s="11"/>
    </row>
    <row r="10797" spans="2:2" x14ac:dyDescent="0.25">
      <c r="B10797" s="11"/>
    </row>
    <row r="10798" spans="2:2" x14ac:dyDescent="0.25">
      <c r="B10798" s="11"/>
    </row>
    <row r="10799" spans="2:2" x14ac:dyDescent="0.25">
      <c r="B10799" s="11"/>
    </row>
    <row r="10800" spans="2:2" x14ac:dyDescent="0.25">
      <c r="B10800" s="11"/>
    </row>
    <row r="10801" spans="2:2" x14ac:dyDescent="0.25">
      <c r="B10801" s="11"/>
    </row>
    <row r="10802" spans="2:2" x14ac:dyDescent="0.25">
      <c r="B10802" s="11"/>
    </row>
    <row r="10803" spans="2:2" x14ac:dyDescent="0.25">
      <c r="B10803" s="11"/>
    </row>
    <row r="10804" spans="2:2" x14ac:dyDescent="0.25">
      <c r="B10804" s="11"/>
    </row>
    <row r="10805" spans="2:2" x14ac:dyDescent="0.25">
      <c r="B10805" s="11"/>
    </row>
    <row r="10806" spans="2:2" x14ac:dyDescent="0.25">
      <c r="B10806" s="11"/>
    </row>
    <row r="10807" spans="2:2" x14ac:dyDescent="0.25">
      <c r="B10807" s="11"/>
    </row>
    <row r="10808" spans="2:2" x14ac:dyDescent="0.25">
      <c r="B10808" s="11"/>
    </row>
    <row r="10809" spans="2:2" x14ac:dyDescent="0.25">
      <c r="B10809" s="11"/>
    </row>
    <row r="10810" spans="2:2" x14ac:dyDescent="0.25">
      <c r="B10810" s="11"/>
    </row>
    <row r="10811" spans="2:2" x14ac:dyDescent="0.25">
      <c r="B10811" s="11"/>
    </row>
    <row r="10812" spans="2:2" x14ac:dyDescent="0.25">
      <c r="B10812" s="11"/>
    </row>
    <row r="10813" spans="2:2" x14ac:dyDescent="0.25">
      <c r="B10813" s="11"/>
    </row>
    <row r="10814" spans="2:2" x14ac:dyDescent="0.25">
      <c r="B10814" s="11"/>
    </row>
    <row r="10815" spans="2:2" x14ac:dyDescent="0.25">
      <c r="B10815" s="11"/>
    </row>
    <row r="10816" spans="2:2" x14ac:dyDescent="0.25">
      <c r="B10816" s="11"/>
    </row>
    <row r="10817" spans="2:2" x14ac:dyDescent="0.25">
      <c r="B10817" s="11"/>
    </row>
    <row r="10818" spans="2:2" x14ac:dyDescent="0.25">
      <c r="B10818" s="11"/>
    </row>
    <row r="10819" spans="2:2" x14ac:dyDescent="0.25">
      <c r="B10819" s="11"/>
    </row>
    <row r="10820" spans="2:2" x14ac:dyDescent="0.25">
      <c r="B10820" s="11"/>
    </row>
    <row r="10821" spans="2:2" x14ac:dyDescent="0.25">
      <c r="B10821" s="11"/>
    </row>
    <row r="10822" spans="2:2" x14ac:dyDescent="0.25">
      <c r="B10822" s="11"/>
    </row>
    <row r="10823" spans="2:2" x14ac:dyDescent="0.25">
      <c r="B10823" s="11"/>
    </row>
    <row r="10824" spans="2:2" x14ac:dyDescent="0.25">
      <c r="B10824" s="11"/>
    </row>
    <row r="10825" spans="2:2" x14ac:dyDescent="0.25">
      <c r="B10825" s="11"/>
    </row>
    <row r="10826" spans="2:2" x14ac:dyDescent="0.25">
      <c r="B10826" s="11"/>
    </row>
    <row r="10827" spans="2:2" x14ac:dyDescent="0.25">
      <c r="B10827" s="11"/>
    </row>
    <row r="10828" spans="2:2" x14ac:dyDescent="0.25">
      <c r="B10828" s="11"/>
    </row>
    <row r="10829" spans="2:2" x14ac:dyDescent="0.25">
      <c r="B10829" s="11"/>
    </row>
    <row r="10830" spans="2:2" x14ac:dyDescent="0.25">
      <c r="B10830" s="11"/>
    </row>
    <row r="10831" spans="2:2" x14ac:dyDescent="0.25">
      <c r="B10831" s="11"/>
    </row>
    <row r="10832" spans="2:2" x14ac:dyDescent="0.25">
      <c r="B10832" s="11"/>
    </row>
    <row r="10833" spans="2:2" x14ac:dyDescent="0.25">
      <c r="B10833" s="11"/>
    </row>
    <row r="10834" spans="2:2" x14ac:dyDescent="0.25">
      <c r="B10834" s="11"/>
    </row>
    <row r="10835" spans="2:2" x14ac:dyDescent="0.25">
      <c r="B10835" s="11"/>
    </row>
    <row r="10836" spans="2:2" x14ac:dyDescent="0.25">
      <c r="B10836" s="11"/>
    </row>
    <row r="10837" spans="2:2" x14ac:dyDescent="0.25">
      <c r="B10837" s="11"/>
    </row>
    <row r="10838" spans="2:2" x14ac:dyDescent="0.25">
      <c r="B10838" s="11"/>
    </row>
    <row r="10839" spans="2:2" x14ac:dyDescent="0.25">
      <c r="B10839" s="11"/>
    </row>
    <row r="10840" spans="2:2" x14ac:dyDescent="0.25">
      <c r="B10840" s="11"/>
    </row>
    <row r="10841" spans="2:2" x14ac:dyDescent="0.25">
      <c r="B10841" s="11"/>
    </row>
    <row r="10842" spans="2:2" x14ac:dyDescent="0.25">
      <c r="B10842" s="11"/>
    </row>
    <row r="10843" spans="2:2" x14ac:dyDescent="0.25">
      <c r="B10843" s="11"/>
    </row>
    <row r="10844" spans="2:2" x14ac:dyDescent="0.25">
      <c r="B10844" s="11"/>
    </row>
    <row r="10845" spans="2:2" x14ac:dyDescent="0.25">
      <c r="B10845" s="11"/>
    </row>
    <row r="10846" spans="2:2" x14ac:dyDescent="0.25">
      <c r="B10846" s="11"/>
    </row>
    <row r="10847" spans="2:2" x14ac:dyDescent="0.25">
      <c r="B10847" s="11"/>
    </row>
    <row r="10848" spans="2:2" x14ac:dyDescent="0.25">
      <c r="B10848" s="11"/>
    </row>
    <row r="10849" spans="2:2" x14ac:dyDescent="0.25">
      <c r="B10849" s="11"/>
    </row>
    <row r="10850" spans="2:2" x14ac:dyDescent="0.25">
      <c r="B10850" s="11"/>
    </row>
    <row r="10851" spans="2:2" x14ac:dyDescent="0.25">
      <c r="B10851" s="11"/>
    </row>
    <row r="10852" spans="2:2" x14ac:dyDescent="0.25">
      <c r="B10852" s="11"/>
    </row>
    <row r="10853" spans="2:2" x14ac:dyDescent="0.25">
      <c r="B10853" s="11"/>
    </row>
    <row r="10854" spans="2:2" x14ac:dyDescent="0.25">
      <c r="B10854" s="11"/>
    </row>
    <row r="10855" spans="2:2" x14ac:dyDescent="0.25">
      <c r="B10855" s="11"/>
    </row>
    <row r="10856" spans="2:2" x14ac:dyDescent="0.25">
      <c r="B10856" s="11"/>
    </row>
    <row r="10857" spans="2:2" x14ac:dyDescent="0.25">
      <c r="B10857" s="11"/>
    </row>
    <row r="10858" spans="2:2" x14ac:dyDescent="0.25">
      <c r="B10858" s="11"/>
    </row>
    <row r="10859" spans="2:2" x14ac:dyDescent="0.25">
      <c r="B10859" s="11"/>
    </row>
    <row r="10860" spans="2:2" x14ac:dyDescent="0.25">
      <c r="B10860" s="11"/>
    </row>
    <row r="10861" spans="2:2" x14ac:dyDescent="0.25">
      <c r="B10861" s="11"/>
    </row>
    <row r="10862" spans="2:2" x14ac:dyDescent="0.25">
      <c r="B10862" s="11"/>
    </row>
    <row r="10863" spans="2:2" x14ac:dyDescent="0.25">
      <c r="B10863" s="11"/>
    </row>
    <row r="10864" spans="2:2" x14ac:dyDescent="0.25">
      <c r="B10864" s="11"/>
    </row>
    <row r="10865" spans="2:2" x14ac:dyDescent="0.25">
      <c r="B10865" s="11"/>
    </row>
    <row r="10866" spans="2:2" x14ac:dyDescent="0.25">
      <c r="B10866" s="11"/>
    </row>
    <row r="10867" spans="2:2" x14ac:dyDescent="0.25">
      <c r="B10867" s="11"/>
    </row>
    <row r="10868" spans="2:2" x14ac:dyDescent="0.25">
      <c r="B10868" s="11"/>
    </row>
    <row r="10869" spans="2:2" x14ac:dyDescent="0.25">
      <c r="B10869" s="11"/>
    </row>
    <row r="10870" spans="2:2" x14ac:dyDescent="0.25">
      <c r="B10870" s="11"/>
    </row>
    <row r="10871" spans="2:2" x14ac:dyDescent="0.25">
      <c r="B10871" s="11"/>
    </row>
    <row r="10872" spans="2:2" x14ac:dyDescent="0.25">
      <c r="B10872" s="11"/>
    </row>
    <row r="10873" spans="2:2" x14ac:dyDescent="0.25">
      <c r="B10873" s="11"/>
    </row>
    <row r="10874" spans="2:2" x14ac:dyDescent="0.25">
      <c r="B10874" s="11"/>
    </row>
    <row r="10875" spans="2:2" x14ac:dyDescent="0.25">
      <c r="B10875" s="11"/>
    </row>
    <row r="10876" spans="2:2" x14ac:dyDescent="0.25">
      <c r="B10876" s="11"/>
    </row>
    <row r="10877" spans="2:2" x14ac:dyDescent="0.25">
      <c r="B10877" s="11"/>
    </row>
    <row r="10878" spans="2:2" x14ac:dyDescent="0.25">
      <c r="B10878" s="11"/>
    </row>
    <row r="10879" spans="2:2" x14ac:dyDescent="0.25">
      <c r="B10879" s="11"/>
    </row>
    <row r="10880" spans="2:2" x14ac:dyDescent="0.25">
      <c r="B10880" s="11"/>
    </row>
    <row r="10881" spans="2:2" x14ac:dyDescent="0.25">
      <c r="B10881" s="11"/>
    </row>
    <row r="10882" spans="2:2" x14ac:dyDescent="0.25">
      <c r="B10882" s="11"/>
    </row>
    <row r="10883" spans="2:2" x14ac:dyDescent="0.25">
      <c r="B10883" s="11"/>
    </row>
    <row r="10884" spans="2:2" x14ac:dyDescent="0.25">
      <c r="B10884" s="11"/>
    </row>
    <row r="10885" spans="2:2" x14ac:dyDescent="0.25">
      <c r="B10885" s="11"/>
    </row>
    <row r="10886" spans="2:2" x14ac:dyDescent="0.25">
      <c r="B10886" s="11"/>
    </row>
    <row r="10887" spans="2:2" x14ac:dyDescent="0.25">
      <c r="B10887" s="11"/>
    </row>
    <row r="10888" spans="2:2" x14ac:dyDescent="0.25">
      <c r="B10888" s="11"/>
    </row>
    <row r="10889" spans="2:2" x14ac:dyDescent="0.25">
      <c r="B10889" s="11"/>
    </row>
    <row r="10890" spans="2:2" x14ac:dyDescent="0.25">
      <c r="B10890" s="11"/>
    </row>
    <row r="10891" spans="2:2" x14ac:dyDescent="0.25">
      <c r="B10891" s="11"/>
    </row>
    <row r="10892" spans="2:2" x14ac:dyDescent="0.25">
      <c r="B10892" s="11"/>
    </row>
    <row r="10893" spans="2:2" x14ac:dyDescent="0.25">
      <c r="B10893" s="11"/>
    </row>
    <row r="10894" spans="2:2" x14ac:dyDescent="0.25">
      <c r="B10894" s="11"/>
    </row>
    <row r="10895" spans="2:2" x14ac:dyDescent="0.25">
      <c r="B10895" s="11"/>
    </row>
    <row r="10896" spans="2:2" x14ac:dyDescent="0.25">
      <c r="B10896" s="11"/>
    </row>
    <row r="10897" spans="2:2" x14ac:dyDescent="0.25">
      <c r="B10897" s="11"/>
    </row>
    <row r="10898" spans="2:2" x14ac:dyDescent="0.25">
      <c r="B10898" s="11"/>
    </row>
    <row r="10899" spans="2:2" x14ac:dyDescent="0.25">
      <c r="B10899" s="11"/>
    </row>
    <row r="10900" spans="2:2" x14ac:dyDescent="0.25">
      <c r="B10900" s="11"/>
    </row>
    <row r="10901" spans="2:2" x14ac:dyDescent="0.25">
      <c r="B10901" s="11"/>
    </row>
    <row r="10902" spans="2:2" x14ac:dyDescent="0.25">
      <c r="B10902" s="11"/>
    </row>
    <row r="10903" spans="2:2" x14ac:dyDescent="0.25">
      <c r="B10903" s="11"/>
    </row>
    <row r="10904" spans="2:2" x14ac:dyDescent="0.25">
      <c r="B10904" s="11"/>
    </row>
    <row r="10905" spans="2:2" x14ac:dyDescent="0.25">
      <c r="B10905" s="11"/>
    </row>
    <row r="10906" spans="2:2" x14ac:dyDescent="0.25">
      <c r="B10906" s="11"/>
    </row>
    <row r="10907" spans="2:2" x14ac:dyDescent="0.25">
      <c r="B10907" s="11"/>
    </row>
    <row r="10908" spans="2:2" x14ac:dyDescent="0.25">
      <c r="B10908" s="11"/>
    </row>
    <row r="10909" spans="2:2" x14ac:dyDescent="0.25">
      <c r="B10909" s="11"/>
    </row>
    <row r="10910" spans="2:2" x14ac:dyDescent="0.25">
      <c r="B10910" s="11"/>
    </row>
    <row r="10911" spans="2:2" x14ac:dyDescent="0.25">
      <c r="B10911" s="11"/>
    </row>
    <row r="10912" spans="2:2" x14ac:dyDescent="0.25">
      <c r="B10912" s="11"/>
    </row>
    <row r="10913" spans="2:2" x14ac:dyDescent="0.25">
      <c r="B10913" s="11"/>
    </row>
    <row r="10914" spans="2:2" x14ac:dyDescent="0.25">
      <c r="B10914" s="11"/>
    </row>
    <row r="10915" spans="2:2" x14ac:dyDescent="0.25">
      <c r="B10915" s="11"/>
    </row>
    <row r="10916" spans="2:2" x14ac:dyDescent="0.25">
      <c r="B10916" s="11"/>
    </row>
    <row r="10917" spans="2:2" x14ac:dyDescent="0.25">
      <c r="B10917" s="11"/>
    </row>
    <row r="10918" spans="2:2" x14ac:dyDescent="0.25">
      <c r="B10918" s="11"/>
    </row>
    <row r="10919" spans="2:2" x14ac:dyDescent="0.25">
      <c r="B10919" s="11"/>
    </row>
    <row r="10920" spans="2:2" x14ac:dyDescent="0.25">
      <c r="B10920" s="11"/>
    </row>
    <row r="10921" spans="2:2" x14ac:dyDescent="0.25">
      <c r="B10921" s="11"/>
    </row>
    <row r="10922" spans="2:2" x14ac:dyDescent="0.25">
      <c r="B10922" s="11"/>
    </row>
    <row r="10923" spans="2:2" x14ac:dyDescent="0.25">
      <c r="B10923" s="11"/>
    </row>
    <row r="10924" spans="2:2" x14ac:dyDescent="0.25">
      <c r="B10924" s="11"/>
    </row>
    <row r="10925" spans="2:2" x14ac:dyDescent="0.25">
      <c r="B10925" s="11"/>
    </row>
    <row r="10926" spans="2:2" x14ac:dyDescent="0.25">
      <c r="B10926" s="11"/>
    </row>
    <row r="10927" spans="2:2" x14ac:dyDescent="0.25">
      <c r="B10927" s="11"/>
    </row>
    <row r="10928" spans="2:2" x14ac:dyDescent="0.25">
      <c r="B10928" s="11"/>
    </row>
    <row r="10929" spans="2:2" x14ac:dyDescent="0.25">
      <c r="B10929" s="11"/>
    </row>
    <row r="10930" spans="2:2" x14ac:dyDescent="0.25">
      <c r="B10930" s="11"/>
    </row>
    <row r="10931" spans="2:2" x14ac:dyDescent="0.25">
      <c r="B10931" s="11"/>
    </row>
    <row r="10932" spans="2:2" x14ac:dyDescent="0.25">
      <c r="B10932" s="11"/>
    </row>
    <row r="10933" spans="2:2" x14ac:dyDescent="0.25">
      <c r="B10933" s="11"/>
    </row>
    <row r="10934" spans="2:2" x14ac:dyDescent="0.25">
      <c r="B10934" s="11"/>
    </row>
    <row r="10935" spans="2:2" x14ac:dyDescent="0.25">
      <c r="B10935" s="11"/>
    </row>
    <row r="10936" spans="2:2" x14ac:dyDescent="0.25">
      <c r="B10936" s="11"/>
    </row>
    <row r="10937" spans="2:2" x14ac:dyDescent="0.25">
      <c r="B10937" s="11"/>
    </row>
    <row r="10938" spans="2:2" x14ac:dyDescent="0.25">
      <c r="B10938" s="11"/>
    </row>
    <row r="10939" spans="2:2" x14ac:dyDescent="0.25">
      <c r="B10939" s="11"/>
    </row>
    <row r="10940" spans="2:2" x14ac:dyDescent="0.25">
      <c r="B10940" s="11"/>
    </row>
    <row r="10941" spans="2:2" x14ac:dyDescent="0.25">
      <c r="B10941" s="11"/>
    </row>
    <row r="10942" spans="2:2" x14ac:dyDescent="0.25">
      <c r="B10942" s="11"/>
    </row>
    <row r="10943" spans="2:2" x14ac:dyDescent="0.25">
      <c r="B10943" s="11"/>
    </row>
    <row r="10944" spans="2:2" x14ac:dyDescent="0.25">
      <c r="B10944" s="11"/>
    </row>
    <row r="10945" spans="2:2" x14ac:dyDescent="0.25">
      <c r="B10945" s="11"/>
    </row>
    <row r="10946" spans="2:2" x14ac:dyDescent="0.25">
      <c r="B10946" s="11"/>
    </row>
    <row r="10947" spans="2:2" x14ac:dyDescent="0.25">
      <c r="B10947" s="11"/>
    </row>
    <row r="10948" spans="2:2" x14ac:dyDescent="0.25">
      <c r="B10948" s="11"/>
    </row>
    <row r="10949" spans="2:2" x14ac:dyDescent="0.25">
      <c r="B10949" s="11"/>
    </row>
    <row r="10950" spans="2:2" x14ac:dyDescent="0.25">
      <c r="B10950" s="11"/>
    </row>
    <row r="10951" spans="2:2" x14ac:dyDescent="0.25">
      <c r="B10951" s="11"/>
    </row>
    <row r="10952" spans="2:2" x14ac:dyDescent="0.25">
      <c r="B10952" s="11"/>
    </row>
    <row r="10953" spans="2:2" x14ac:dyDescent="0.25">
      <c r="B10953" s="11"/>
    </row>
    <row r="10954" spans="2:2" x14ac:dyDescent="0.25">
      <c r="B10954" s="11"/>
    </row>
    <row r="10955" spans="2:2" x14ac:dyDescent="0.25">
      <c r="B10955" s="11"/>
    </row>
    <row r="10956" spans="2:2" x14ac:dyDescent="0.25">
      <c r="B10956" s="11"/>
    </row>
    <row r="10957" spans="2:2" x14ac:dyDescent="0.25">
      <c r="B10957" s="11"/>
    </row>
    <row r="10958" spans="2:2" x14ac:dyDescent="0.25">
      <c r="B10958" s="11"/>
    </row>
    <row r="10959" spans="2:2" x14ac:dyDescent="0.25">
      <c r="B10959" s="11"/>
    </row>
    <row r="10960" spans="2:2" x14ac:dyDescent="0.25">
      <c r="B10960" s="11"/>
    </row>
    <row r="10961" spans="2:2" x14ac:dyDescent="0.25">
      <c r="B10961" s="11"/>
    </row>
    <row r="10962" spans="2:2" x14ac:dyDescent="0.25">
      <c r="B10962" s="11"/>
    </row>
    <row r="10963" spans="2:2" x14ac:dyDescent="0.25">
      <c r="B10963" s="11"/>
    </row>
    <row r="10964" spans="2:2" x14ac:dyDescent="0.25">
      <c r="B10964" s="11"/>
    </row>
    <row r="10965" spans="2:2" x14ac:dyDescent="0.25">
      <c r="B10965" s="11"/>
    </row>
    <row r="10966" spans="2:2" x14ac:dyDescent="0.25">
      <c r="B10966" s="11"/>
    </row>
    <row r="10967" spans="2:2" x14ac:dyDescent="0.25">
      <c r="B10967" s="11"/>
    </row>
    <row r="10968" spans="2:2" x14ac:dyDescent="0.25">
      <c r="B10968" s="11"/>
    </row>
    <row r="10969" spans="2:2" x14ac:dyDescent="0.25">
      <c r="B10969" s="11"/>
    </row>
    <row r="10970" spans="2:2" x14ac:dyDescent="0.25">
      <c r="B10970" s="11"/>
    </row>
    <row r="10971" spans="2:2" x14ac:dyDescent="0.25">
      <c r="B10971" s="11"/>
    </row>
    <row r="10972" spans="2:2" x14ac:dyDescent="0.25">
      <c r="B10972" s="11"/>
    </row>
    <row r="10973" spans="2:2" x14ac:dyDescent="0.25">
      <c r="B10973" s="11"/>
    </row>
    <row r="10974" spans="2:2" x14ac:dyDescent="0.25">
      <c r="B10974" s="11"/>
    </row>
    <row r="10975" spans="2:2" x14ac:dyDescent="0.25">
      <c r="B10975" s="11"/>
    </row>
    <row r="10976" spans="2:2" x14ac:dyDescent="0.25">
      <c r="B10976" s="11"/>
    </row>
    <row r="10977" spans="2:2" x14ac:dyDescent="0.25">
      <c r="B10977" s="11"/>
    </row>
    <row r="10978" spans="2:2" x14ac:dyDescent="0.25">
      <c r="B10978" s="11"/>
    </row>
    <row r="10979" spans="2:2" x14ac:dyDescent="0.25">
      <c r="B10979" s="11"/>
    </row>
    <row r="10980" spans="2:2" x14ac:dyDescent="0.25">
      <c r="B10980" s="11"/>
    </row>
    <row r="10981" spans="2:2" x14ac:dyDescent="0.25">
      <c r="B10981" s="11"/>
    </row>
    <row r="10982" spans="2:2" x14ac:dyDescent="0.25">
      <c r="B10982" s="11"/>
    </row>
    <row r="10983" spans="2:2" x14ac:dyDescent="0.25">
      <c r="B10983" s="11"/>
    </row>
    <row r="10984" spans="2:2" x14ac:dyDescent="0.25">
      <c r="B10984" s="11"/>
    </row>
    <row r="10985" spans="2:2" x14ac:dyDescent="0.25">
      <c r="B10985" s="11"/>
    </row>
    <row r="10986" spans="2:2" x14ac:dyDescent="0.25">
      <c r="B10986" s="11"/>
    </row>
    <row r="10987" spans="2:2" x14ac:dyDescent="0.25">
      <c r="B10987" s="11"/>
    </row>
    <row r="10988" spans="2:2" x14ac:dyDescent="0.25">
      <c r="B10988" s="11"/>
    </row>
    <row r="10989" spans="2:2" x14ac:dyDescent="0.25">
      <c r="B10989" s="11"/>
    </row>
    <row r="10990" spans="2:2" x14ac:dyDescent="0.25">
      <c r="B10990" s="11"/>
    </row>
    <row r="10991" spans="2:2" x14ac:dyDescent="0.25">
      <c r="B10991" s="11"/>
    </row>
    <row r="10992" spans="2:2" x14ac:dyDescent="0.25">
      <c r="B10992" s="11"/>
    </row>
    <row r="10993" spans="2:2" x14ac:dyDescent="0.25">
      <c r="B10993" s="11"/>
    </row>
    <row r="10994" spans="2:2" x14ac:dyDescent="0.25">
      <c r="B10994" s="11"/>
    </row>
    <row r="10995" spans="2:2" x14ac:dyDescent="0.25">
      <c r="B10995" s="11"/>
    </row>
    <row r="10996" spans="2:2" x14ac:dyDescent="0.25">
      <c r="B10996" s="11"/>
    </row>
    <row r="10997" spans="2:2" x14ac:dyDescent="0.25">
      <c r="B10997" s="11"/>
    </row>
    <row r="10998" spans="2:2" x14ac:dyDescent="0.25">
      <c r="B10998" s="11"/>
    </row>
    <row r="10999" spans="2:2" x14ac:dyDescent="0.25">
      <c r="B10999" s="11"/>
    </row>
    <row r="11000" spans="2:2" x14ac:dyDescent="0.25">
      <c r="B11000" s="11"/>
    </row>
    <row r="11001" spans="2:2" x14ac:dyDescent="0.25">
      <c r="B11001" s="11"/>
    </row>
    <row r="11002" spans="2:2" x14ac:dyDescent="0.25">
      <c r="B11002" s="11"/>
    </row>
    <row r="11003" spans="2:2" x14ac:dyDescent="0.25">
      <c r="B11003" s="11"/>
    </row>
    <row r="11004" spans="2:2" x14ac:dyDescent="0.25">
      <c r="B11004" s="11"/>
    </row>
    <row r="11005" spans="2:2" x14ac:dyDescent="0.25">
      <c r="B11005" s="11"/>
    </row>
    <row r="11006" spans="2:2" x14ac:dyDescent="0.25">
      <c r="B11006" s="11"/>
    </row>
    <row r="11007" spans="2:2" x14ac:dyDescent="0.25">
      <c r="B11007" s="11"/>
    </row>
    <row r="11008" spans="2:2" x14ac:dyDescent="0.25">
      <c r="B11008" s="11"/>
    </row>
    <row r="11009" spans="2:2" x14ac:dyDescent="0.25">
      <c r="B11009" s="11"/>
    </row>
    <row r="11010" spans="2:2" x14ac:dyDescent="0.25">
      <c r="B11010" s="11"/>
    </row>
    <row r="11011" spans="2:2" x14ac:dyDescent="0.25">
      <c r="B11011" s="11"/>
    </row>
    <row r="11012" spans="2:2" x14ac:dyDescent="0.25">
      <c r="B11012" s="11"/>
    </row>
    <row r="11013" spans="2:2" x14ac:dyDescent="0.25">
      <c r="B11013" s="11"/>
    </row>
    <row r="11014" spans="2:2" x14ac:dyDescent="0.25">
      <c r="B11014" s="11"/>
    </row>
    <row r="11015" spans="2:2" x14ac:dyDescent="0.25">
      <c r="B11015" s="11"/>
    </row>
    <row r="11016" spans="2:2" x14ac:dyDescent="0.25">
      <c r="B11016" s="11"/>
    </row>
    <row r="11017" spans="2:2" x14ac:dyDescent="0.25">
      <c r="B11017" s="11"/>
    </row>
    <row r="11018" spans="2:2" x14ac:dyDescent="0.25">
      <c r="B11018" s="11"/>
    </row>
    <row r="11019" spans="2:2" x14ac:dyDescent="0.25">
      <c r="B11019" s="11"/>
    </row>
    <row r="11020" spans="2:2" x14ac:dyDescent="0.25">
      <c r="B11020" s="11"/>
    </row>
    <row r="11021" spans="2:2" x14ac:dyDescent="0.25">
      <c r="B11021" s="11"/>
    </row>
    <row r="11022" spans="2:2" x14ac:dyDescent="0.25">
      <c r="B11022" s="11"/>
    </row>
    <row r="11023" spans="2:2" x14ac:dyDescent="0.25">
      <c r="B11023" s="11"/>
    </row>
    <row r="11024" spans="2:2" x14ac:dyDescent="0.25">
      <c r="B11024" s="11"/>
    </row>
    <row r="11025" spans="2:2" x14ac:dyDescent="0.25">
      <c r="B11025" s="11"/>
    </row>
    <row r="11026" spans="2:2" x14ac:dyDescent="0.25">
      <c r="B11026" s="11"/>
    </row>
    <row r="11027" spans="2:2" x14ac:dyDescent="0.25">
      <c r="B11027" s="11"/>
    </row>
    <row r="11028" spans="2:2" x14ac:dyDescent="0.25">
      <c r="B11028" s="11"/>
    </row>
    <row r="11029" spans="2:2" x14ac:dyDescent="0.25">
      <c r="B11029" s="11"/>
    </row>
    <row r="11030" spans="2:2" x14ac:dyDescent="0.25">
      <c r="B11030" s="11"/>
    </row>
    <row r="11031" spans="2:2" x14ac:dyDescent="0.25">
      <c r="B11031" s="11"/>
    </row>
    <row r="11032" spans="2:2" x14ac:dyDescent="0.25">
      <c r="B11032" s="11"/>
    </row>
    <row r="11033" spans="2:2" x14ac:dyDescent="0.25">
      <c r="B11033" s="11"/>
    </row>
    <row r="11034" spans="2:2" x14ac:dyDescent="0.25">
      <c r="B11034" s="11"/>
    </row>
    <row r="11035" spans="2:2" x14ac:dyDescent="0.25">
      <c r="B11035" s="11"/>
    </row>
    <row r="11036" spans="2:2" x14ac:dyDescent="0.25">
      <c r="B11036" s="11"/>
    </row>
    <row r="11037" spans="2:2" x14ac:dyDescent="0.25">
      <c r="B11037" s="11"/>
    </row>
    <row r="11038" spans="2:2" x14ac:dyDescent="0.25">
      <c r="B11038" s="11"/>
    </row>
    <row r="11039" spans="2:2" x14ac:dyDescent="0.25">
      <c r="B11039" s="11"/>
    </row>
    <row r="11040" spans="2:2" x14ac:dyDescent="0.25">
      <c r="B11040" s="11"/>
    </row>
    <row r="11041" spans="2:2" x14ac:dyDescent="0.25">
      <c r="B11041" s="11"/>
    </row>
    <row r="11042" spans="2:2" x14ac:dyDescent="0.25">
      <c r="B11042" s="11"/>
    </row>
    <row r="11043" spans="2:2" x14ac:dyDescent="0.25">
      <c r="B11043" s="11"/>
    </row>
    <row r="11044" spans="2:2" x14ac:dyDescent="0.25">
      <c r="B11044" s="11"/>
    </row>
    <row r="11045" spans="2:2" x14ac:dyDescent="0.25">
      <c r="B11045" s="11"/>
    </row>
    <row r="11046" spans="2:2" x14ac:dyDescent="0.25">
      <c r="B11046" s="11"/>
    </row>
    <row r="11047" spans="2:2" x14ac:dyDescent="0.25">
      <c r="B11047" s="11"/>
    </row>
    <row r="11048" spans="2:2" x14ac:dyDescent="0.25">
      <c r="B11048" s="11"/>
    </row>
    <row r="11049" spans="2:2" x14ac:dyDescent="0.25">
      <c r="B11049" s="11"/>
    </row>
    <row r="11050" spans="2:2" x14ac:dyDescent="0.25">
      <c r="B11050" s="11"/>
    </row>
    <row r="11051" spans="2:2" x14ac:dyDescent="0.25">
      <c r="B11051" s="11"/>
    </row>
    <row r="11052" spans="2:2" x14ac:dyDescent="0.25">
      <c r="B11052" s="11"/>
    </row>
    <row r="11053" spans="2:2" x14ac:dyDescent="0.25">
      <c r="B11053" s="11"/>
    </row>
    <row r="11054" spans="2:2" x14ac:dyDescent="0.25">
      <c r="B11054" s="11"/>
    </row>
    <row r="11055" spans="2:2" x14ac:dyDescent="0.25">
      <c r="B11055" s="11"/>
    </row>
    <row r="11056" spans="2:2" x14ac:dyDescent="0.25">
      <c r="B11056" s="11"/>
    </row>
    <row r="11057" spans="2:2" x14ac:dyDescent="0.25">
      <c r="B11057" s="11"/>
    </row>
    <row r="11058" spans="2:2" x14ac:dyDescent="0.25">
      <c r="B11058" s="11"/>
    </row>
    <row r="11059" spans="2:2" x14ac:dyDescent="0.25">
      <c r="B11059" s="11"/>
    </row>
    <row r="11060" spans="2:2" x14ac:dyDescent="0.25">
      <c r="B11060" s="11"/>
    </row>
    <row r="11061" spans="2:2" x14ac:dyDescent="0.25">
      <c r="B11061" s="11"/>
    </row>
    <row r="11062" spans="2:2" x14ac:dyDescent="0.25">
      <c r="B11062" s="11"/>
    </row>
    <row r="11063" spans="2:2" x14ac:dyDescent="0.25">
      <c r="B11063" s="11"/>
    </row>
    <row r="11064" spans="2:2" x14ac:dyDescent="0.25">
      <c r="B11064" s="11"/>
    </row>
    <row r="11065" spans="2:2" x14ac:dyDescent="0.25">
      <c r="B11065" s="11"/>
    </row>
    <row r="11066" spans="2:2" x14ac:dyDescent="0.25">
      <c r="B11066" s="11"/>
    </row>
    <row r="11067" spans="2:2" x14ac:dyDescent="0.25">
      <c r="B11067" s="11"/>
    </row>
    <row r="11068" spans="2:2" x14ac:dyDescent="0.25">
      <c r="B11068" s="11"/>
    </row>
    <row r="11069" spans="2:2" x14ac:dyDescent="0.25">
      <c r="B11069" s="11"/>
    </row>
    <row r="11070" spans="2:2" x14ac:dyDescent="0.25">
      <c r="B11070" s="11"/>
    </row>
    <row r="11071" spans="2:2" x14ac:dyDescent="0.25">
      <c r="B11071" s="11"/>
    </row>
    <row r="11072" spans="2:2" x14ac:dyDescent="0.25">
      <c r="B11072" s="11"/>
    </row>
    <row r="11073" spans="2:2" x14ac:dyDescent="0.25">
      <c r="B11073" s="11"/>
    </row>
    <row r="11074" spans="2:2" x14ac:dyDescent="0.25">
      <c r="B11074" s="11"/>
    </row>
    <row r="11075" spans="2:2" x14ac:dyDescent="0.25">
      <c r="B11075" s="11"/>
    </row>
    <row r="11076" spans="2:2" x14ac:dyDescent="0.25">
      <c r="B11076" s="11"/>
    </row>
    <row r="11077" spans="2:2" x14ac:dyDescent="0.25">
      <c r="B11077" s="11"/>
    </row>
    <row r="11078" spans="2:2" x14ac:dyDescent="0.25">
      <c r="B11078" s="11"/>
    </row>
    <row r="11079" spans="2:2" x14ac:dyDescent="0.25">
      <c r="B11079" s="11"/>
    </row>
    <row r="11080" spans="2:2" x14ac:dyDescent="0.25">
      <c r="B11080" s="11"/>
    </row>
    <row r="11081" spans="2:2" x14ac:dyDescent="0.25">
      <c r="B11081" s="11"/>
    </row>
    <row r="11082" spans="2:2" x14ac:dyDescent="0.25">
      <c r="B11082" s="11"/>
    </row>
    <row r="11083" spans="2:2" x14ac:dyDescent="0.25">
      <c r="B11083" s="11"/>
    </row>
    <row r="11084" spans="2:2" x14ac:dyDescent="0.25">
      <c r="B11084" s="11"/>
    </row>
    <row r="11085" spans="2:2" x14ac:dyDescent="0.25">
      <c r="B11085" s="11"/>
    </row>
    <row r="11086" spans="2:2" x14ac:dyDescent="0.25">
      <c r="B11086" s="11"/>
    </row>
    <row r="11087" spans="2:2" x14ac:dyDescent="0.25">
      <c r="B11087" s="11"/>
    </row>
    <row r="11088" spans="2:2" x14ac:dyDescent="0.25">
      <c r="B11088" s="11"/>
    </row>
    <row r="11089" spans="2:2" x14ac:dyDescent="0.25">
      <c r="B11089" s="11"/>
    </row>
    <row r="11090" spans="2:2" x14ac:dyDescent="0.25">
      <c r="B11090" s="11"/>
    </row>
    <row r="11091" spans="2:2" x14ac:dyDescent="0.25">
      <c r="B11091" s="11"/>
    </row>
    <row r="11092" spans="2:2" x14ac:dyDescent="0.25">
      <c r="B11092" s="11"/>
    </row>
    <row r="11093" spans="2:2" x14ac:dyDescent="0.25">
      <c r="B11093" s="11"/>
    </row>
    <row r="11094" spans="2:2" x14ac:dyDescent="0.25">
      <c r="B11094" s="11"/>
    </row>
    <row r="11095" spans="2:2" x14ac:dyDescent="0.25">
      <c r="B11095" s="11"/>
    </row>
    <row r="11096" spans="2:2" x14ac:dyDescent="0.25">
      <c r="B11096" s="11"/>
    </row>
    <row r="11097" spans="2:2" x14ac:dyDescent="0.25">
      <c r="B11097" s="11"/>
    </row>
    <row r="11098" spans="2:2" x14ac:dyDescent="0.25">
      <c r="B11098" s="11"/>
    </row>
    <row r="11099" spans="2:2" x14ac:dyDescent="0.25">
      <c r="B11099" s="11"/>
    </row>
    <row r="11100" spans="2:2" x14ac:dyDescent="0.25">
      <c r="B11100" s="11"/>
    </row>
    <row r="11101" spans="2:2" x14ac:dyDescent="0.25">
      <c r="B11101" s="11"/>
    </row>
    <row r="11102" spans="2:2" x14ac:dyDescent="0.25">
      <c r="B11102" s="11"/>
    </row>
    <row r="11103" spans="2:2" x14ac:dyDescent="0.25">
      <c r="B11103" s="11"/>
    </row>
    <row r="11104" spans="2:2" x14ac:dyDescent="0.25">
      <c r="B11104" s="11"/>
    </row>
    <row r="11105" spans="2:2" x14ac:dyDescent="0.25">
      <c r="B11105" s="11"/>
    </row>
    <row r="11106" spans="2:2" x14ac:dyDescent="0.25">
      <c r="B11106" s="11"/>
    </row>
    <row r="11107" spans="2:2" x14ac:dyDescent="0.25">
      <c r="B11107" s="11"/>
    </row>
    <row r="11108" spans="2:2" x14ac:dyDescent="0.25">
      <c r="B11108" s="11"/>
    </row>
    <row r="11109" spans="2:2" x14ac:dyDescent="0.25">
      <c r="B11109" s="11"/>
    </row>
    <row r="11110" spans="2:2" x14ac:dyDescent="0.25">
      <c r="B11110" s="11"/>
    </row>
    <row r="11111" spans="2:2" x14ac:dyDescent="0.25">
      <c r="B11111" s="11"/>
    </row>
    <row r="11112" spans="2:2" x14ac:dyDescent="0.25">
      <c r="B11112" s="11"/>
    </row>
    <row r="11113" spans="2:2" x14ac:dyDescent="0.25">
      <c r="B11113" s="11"/>
    </row>
    <row r="11114" spans="2:2" x14ac:dyDescent="0.25">
      <c r="B11114" s="11"/>
    </row>
    <row r="11115" spans="2:2" x14ac:dyDescent="0.25">
      <c r="B11115" s="11"/>
    </row>
    <row r="11116" spans="2:2" x14ac:dyDescent="0.25">
      <c r="B11116" s="11"/>
    </row>
    <row r="11117" spans="2:2" x14ac:dyDescent="0.25">
      <c r="B11117" s="11"/>
    </row>
    <row r="11118" spans="2:2" x14ac:dyDescent="0.25">
      <c r="B11118" s="11"/>
    </row>
    <row r="11119" spans="2:2" x14ac:dyDescent="0.25">
      <c r="B11119" s="11"/>
    </row>
    <row r="11120" spans="2:2" x14ac:dyDescent="0.25">
      <c r="B11120" s="11"/>
    </row>
    <row r="11121" spans="2:2" x14ac:dyDescent="0.25">
      <c r="B11121" s="11"/>
    </row>
    <row r="11122" spans="2:2" x14ac:dyDescent="0.25">
      <c r="B11122" s="11"/>
    </row>
    <row r="11123" spans="2:2" x14ac:dyDescent="0.25">
      <c r="B11123" s="11"/>
    </row>
    <row r="11124" spans="2:2" x14ac:dyDescent="0.25">
      <c r="B11124" s="11"/>
    </row>
    <row r="11125" spans="2:2" x14ac:dyDescent="0.25">
      <c r="B11125" s="11"/>
    </row>
    <row r="11126" spans="2:2" x14ac:dyDescent="0.25">
      <c r="B11126" s="11"/>
    </row>
    <row r="11127" spans="2:2" x14ac:dyDescent="0.25">
      <c r="B11127" s="11"/>
    </row>
    <row r="11128" spans="2:2" x14ac:dyDescent="0.25">
      <c r="B11128" s="11"/>
    </row>
    <row r="11129" spans="2:2" x14ac:dyDescent="0.25">
      <c r="B11129" s="11"/>
    </row>
    <row r="11130" spans="2:2" x14ac:dyDescent="0.25">
      <c r="B11130" s="11"/>
    </row>
    <row r="11131" spans="2:2" x14ac:dyDescent="0.25">
      <c r="B11131" s="11"/>
    </row>
    <row r="11132" spans="2:2" x14ac:dyDescent="0.25">
      <c r="B11132" s="11"/>
    </row>
    <row r="11133" spans="2:2" x14ac:dyDescent="0.25">
      <c r="B11133" s="11"/>
    </row>
    <row r="11134" spans="2:2" x14ac:dyDescent="0.25">
      <c r="B11134" s="11"/>
    </row>
    <row r="11135" spans="2:2" x14ac:dyDescent="0.25">
      <c r="B11135" s="11"/>
    </row>
    <row r="11136" spans="2:2" x14ac:dyDescent="0.25">
      <c r="B11136" s="11"/>
    </row>
    <row r="11137" spans="2:2" x14ac:dyDescent="0.25">
      <c r="B11137" s="11"/>
    </row>
    <row r="11138" spans="2:2" x14ac:dyDescent="0.25">
      <c r="B11138" s="11"/>
    </row>
    <row r="11139" spans="2:2" x14ac:dyDescent="0.25">
      <c r="B11139" s="11"/>
    </row>
    <row r="11140" spans="2:2" x14ac:dyDescent="0.25">
      <c r="B11140" s="11"/>
    </row>
    <row r="11141" spans="2:2" x14ac:dyDescent="0.25">
      <c r="B11141" s="11"/>
    </row>
    <row r="11142" spans="2:2" x14ac:dyDescent="0.25">
      <c r="B11142" s="11"/>
    </row>
    <row r="11143" spans="2:2" x14ac:dyDescent="0.25">
      <c r="B11143" s="11"/>
    </row>
    <row r="11144" spans="2:2" x14ac:dyDescent="0.25">
      <c r="B11144" s="11"/>
    </row>
    <row r="11145" spans="2:2" x14ac:dyDescent="0.25">
      <c r="B11145" s="11"/>
    </row>
    <row r="11146" spans="2:2" x14ac:dyDescent="0.25">
      <c r="B11146" s="11"/>
    </row>
    <row r="11147" spans="2:2" x14ac:dyDescent="0.25">
      <c r="B11147" s="11"/>
    </row>
    <row r="11148" spans="2:2" x14ac:dyDescent="0.25">
      <c r="B11148" s="11"/>
    </row>
    <row r="11149" spans="2:2" x14ac:dyDescent="0.25">
      <c r="B11149" s="11"/>
    </row>
    <row r="11150" spans="2:2" x14ac:dyDescent="0.25">
      <c r="B11150" s="11"/>
    </row>
    <row r="11151" spans="2:2" x14ac:dyDescent="0.25">
      <c r="B11151" s="11"/>
    </row>
    <row r="11152" spans="2:2" x14ac:dyDescent="0.25">
      <c r="B11152" s="11"/>
    </row>
    <row r="11153" spans="2:2" x14ac:dyDescent="0.25">
      <c r="B11153" s="11"/>
    </row>
    <row r="11154" spans="2:2" x14ac:dyDescent="0.25">
      <c r="B11154" s="11"/>
    </row>
    <row r="11155" spans="2:2" x14ac:dyDescent="0.25">
      <c r="B11155" s="11"/>
    </row>
    <row r="11156" spans="2:2" x14ac:dyDescent="0.25">
      <c r="B11156" s="11"/>
    </row>
    <row r="11157" spans="2:2" x14ac:dyDescent="0.25">
      <c r="B11157" s="11"/>
    </row>
    <row r="11158" spans="2:2" x14ac:dyDescent="0.25">
      <c r="B11158" s="11"/>
    </row>
    <row r="11159" spans="2:2" x14ac:dyDescent="0.25">
      <c r="B11159" s="11"/>
    </row>
    <row r="11160" spans="2:2" x14ac:dyDescent="0.25">
      <c r="B11160" s="11"/>
    </row>
    <row r="11161" spans="2:2" x14ac:dyDescent="0.25">
      <c r="B11161" s="11"/>
    </row>
    <row r="11162" spans="2:2" x14ac:dyDescent="0.25">
      <c r="B11162" s="11"/>
    </row>
    <row r="11163" spans="2:2" x14ac:dyDescent="0.25">
      <c r="B11163" s="11"/>
    </row>
    <row r="11164" spans="2:2" x14ac:dyDescent="0.25">
      <c r="B11164" s="11"/>
    </row>
    <row r="11165" spans="2:2" x14ac:dyDescent="0.25">
      <c r="B11165" s="11"/>
    </row>
    <row r="11166" spans="2:2" x14ac:dyDescent="0.25">
      <c r="B11166" s="11"/>
    </row>
    <row r="11167" spans="2:2" x14ac:dyDescent="0.25">
      <c r="B11167" s="11"/>
    </row>
    <row r="11168" spans="2:2" x14ac:dyDescent="0.25">
      <c r="B11168" s="11"/>
    </row>
    <row r="11169" spans="2:2" x14ac:dyDescent="0.25">
      <c r="B11169" s="11"/>
    </row>
    <row r="11170" spans="2:2" x14ac:dyDescent="0.25">
      <c r="B11170" s="11"/>
    </row>
    <row r="11171" spans="2:2" x14ac:dyDescent="0.25">
      <c r="B11171" s="11"/>
    </row>
    <row r="11172" spans="2:2" x14ac:dyDescent="0.25">
      <c r="B11172" s="11"/>
    </row>
    <row r="11173" spans="2:2" x14ac:dyDescent="0.25">
      <c r="B11173" s="11"/>
    </row>
    <row r="11174" spans="2:2" x14ac:dyDescent="0.25">
      <c r="B11174" s="11"/>
    </row>
    <row r="11175" spans="2:2" x14ac:dyDescent="0.25">
      <c r="B11175" s="11"/>
    </row>
    <row r="11176" spans="2:2" x14ac:dyDescent="0.25">
      <c r="B11176" s="11"/>
    </row>
    <row r="11177" spans="2:2" x14ac:dyDescent="0.25">
      <c r="B11177" s="11"/>
    </row>
    <row r="11178" spans="2:2" x14ac:dyDescent="0.25">
      <c r="B11178" s="11"/>
    </row>
    <row r="11179" spans="2:2" x14ac:dyDescent="0.25">
      <c r="B11179" s="11"/>
    </row>
    <row r="11180" spans="2:2" x14ac:dyDescent="0.25">
      <c r="B11180" s="11"/>
    </row>
    <row r="11181" spans="2:2" x14ac:dyDescent="0.25">
      <c r="B11181" s="11"/>
    </row>
    <row r="11182" spans="2:2" x14ac:dyDescent="0.25">
      <c r="B11182" s="11"/>
    </row>
    <row r="11183" spans="2:2" x14ac:dyDescent="0.25">
      <c r="B11183" s="11"/>
    </row>
    <row r="11184" spans="2:2" x14ac:dyDescent="0.25">
      <c r="B11184" s="11"/>
    </row>
    <row r="11185" spans="2:2" x14ac:dyDescent="0.25">
      <c r="B11185" s="11"/>
    </row>
    <row r="11186" spans="2:2" x14ac:dyDescent="0.25">
      <c r="B11186" s="11"/>
    </row>
    <row r="11187" spans="2:2" x14ac:dyDescent="0.25">
      <c r="B11187" s="11"/>
    </row>
    <row r="11188" spans="2:2" x14ac:dyDescent="0.25">
      <c r="B11188" s="11"/>
    </row>
    <row r="11189" spans="2:2" x14ac:dyDescent="0.25">
      <c r="B11189" s="11"/>
    </row>
    <row r="11190" spans="2:2" x14ac:dyDescent="0.25">
      <c r="B11190" s="11"/>
    </row>
    <row r="11191" spans="2:2" x14ac:dyDescent="0.25">
      <c r="B11191" s="11"/>
    </row>
    <row r="11192" spans="2:2" x14ac:dyDescent="0.25">
      <c r="B11192" s="11"/>
    </row>
    <row r="11193" spans="2:2" x14ac:dyDescent="0.25">
      <c r="B11193" s="11"/>
    </row>
    <row r="11194" spans="2:2" x14ac:dyDescent="0.25">
      <c r="B11194" s="11"/>
    </row>
    <row r="11195" spans="2:2" x14ac:dyDescent="0.25">
      <c r="B11195" s="11"/>
    </row>
    <row r="11196" spans="2:2" x14ac:dyDescent="0.25">
      <c r="B11196" s="11"/>
    </row>
    <row r="11197" spans="2:2" x14ac:dyDescent="0.25">
      <c r="B11197" s="11"/>
    </row>
    <row r="11198" spans="2:2" x14ac:dyDescent="0.25">
      <c r="B11198" s="11"/>
    </row>
    <row r="11199" spans="2:2" x14ac:dyDescent="0.25">
      <c r="B11199" s="11"/>
    </row>
    <row r="11200" spans="2:2" x14ac:dyDescent="0.25">
      <c r="B11200" s="11"/>
    </row>
    <row r="11201" spans="2:2" x14ac:dyDescent="0.25">
      <c r="B11201" s="11"/>
    </row>
    <row r="11202" spans="2:2" x14ac:dyDescent="0.25">
      <c r="B11202" s="11"/>
    </row>
    <row r="11203" spans="2:2" x14ac:dyDescent="0.25">
      <c r="B11203" s="11"/>
    </row>
    <row r="11204" spans="2:2" x14ac:dyDescent="0.25">
      <c r="B11204" s="11"/>
    </row>
    <row r="11205" spans="2:2" x14ac:dyDescent="0.25">
      <c r="B11205" s="11"/>
    </row>
    <row r="11206" spans="2:2" x14ac:dyDescent="0.25">
      <c r="B11206" s="11"/>
    </row>
    <row r="11207" spans="2:2" x14ac:dyDescent="0.25">
      <c r="B11207" s="11"/>
    </row>
    <row r="11208" spans="2:2" x14ac:dyDescent="0.25">
      <c r="B11208" s="11"/>
    </row>
    <row r="11209" spans="2:2" x14ac:dyDescent="0.25">
      <c r="B11209" s="11"/>
    </row>
    <row r="11210" spans="2:2" x14ac:dyDescent="0.25">
      <c r="B11210" s="11"/>
    </row>
    <row r="11211" spans="2:2" x14ac:dyDescent="0.25">
      <c r="B11211" s="11"/>
    </row>
    <row r="11212" spans="2:2" x14ac:dyDescent="0.25">
      <c r="B11212" s="11"/>
    </row>
    <row r="11213" spans="2:2" x14ac:dyDescent="0.25">
      <c r="B11213" s="11"/>
    </row>
    <row r="11214" spans="2:2" x14ac:dyDescent="0.25">
      <c r="B11214" s="11"/>
    </row>
    <row r="11215" spans="2:2" x14ac:dyDescent="0.25">
      <c r="B11215" s="11"/>
    </row>
    <row r="11216" spans="2:2" x14ac:dyDescent="0.25">
      <c r="B11216" s="11"/>
    </row>
    <row r="11217" spans="2:2" x14ac:dyDescent="0.25">
      <c r="B11217" s="11"/>
    </row>
    <row r="11218" spans="2:2" x14ac:dyDescent="0.25">
      <c r="B11218" s="11"/>
    </row>
    <row r="11219" spans="2:2" x14ac:dyDescent="0.25">
      <c r="B11219" s="11"/>
    </row>
    <row r="11220" spans="2:2" x14ac:dyDescent="0.25">
      <c r="B11220" s="11"/>
    </row>
    <row r="11221" spans="2:2" x14ac:dyDescent="0.25">
      <c r="B11221" s="11"/>
    </row>
    <row r="11222" spans="2:2" x14ac:dyDescent="0.25">
      <c r="B11222" s="11"/>
    </row>
    <row r="11223" spans="2:2" x14ac:dyDescent="0.25">
      <c r="B11223" s="11"/>
    </row>
    <row r="11224" spans="2:2" x14ac:dyDescent="0.25">
      <c r="B11224" s="11"/>
    </row>
    <row r="11225" spans="2:2" x14ac:dyDescent="0.25">
      <c r="B11225" s="11"/>
    </row>
    <row r="11226" spans="2:2" x14ac:dyDescent="0.25">
      <c r="B11226" s="11"/>
    </row>
    <row r="11227" spans="2:2" x14ac:dyDescent="0.25">
      <c r="B11227" s="11"/>
    </row>
    <row r="11228" spans="2:2" x14ac:dyDescent="0.25">
      <c r="B11228" s="11"/>
    </row>
    <row r="11229" spans="2:2" x14ac:dyDescent="0.25">
      <c r="B11229" s="11"/>
    </row>
    <row r="11230" spans="2:2" x14ac:dyDescent="0.25">
      <c r="B11230" s="11"/>
    </row>
    <row r="11231" spans="2:2" x14ac:dyDescent="0.25">
      <c r="B11231" s="11"/>
    </row>
    <row r="11232" spans="2:2" x14ac:dyDescent="0.25">
      <c r="B11232" s="11"/>
    </row>
    <row r="11233" spans="2:2" x14ac:dyDescent="0.25">
      <c r="B11233" s="11"/>
    </row>
    <row r="11234" spans="2:2" x14ac:dyDescent="0.25">
      <c r="B11234" s="11"/>
    </row>
    <row r="11235" spans="2:2" x14ac:dyDescent="0.25">
      <c r="B11235" s="11"/>
    </row>
    <row r="11236" spans="2:2" x14ac:dyDescent="0.25">
      <c r="B11236" s="11"/>
    </row>
    <row r="11237" spans="2:2" x14ac:dyDescent="0.25">
      <c r="B11237" s="11"/>
    </row>
    <row r="11238" spans="2:2" x14ac:dyDescent="0.25">
      <c r="B11238" s="11"/>
    </row>
    <row r="11239" spans="2:2" x14ac:dyDescent="0.25">
      <c r="B11239" s="11"/>
    </row>
    <row r="11240" spans="2:2" x14ac:dyDescent="0.25">
      <c r="B11240" s="11"/>
    </row>
    <row r="11241" spans="2:2" x14ac:dyDescent="0.25">
      <c r="B11241" s="11"/>
    </row>
    <row r="11242" spans="2:2" x14ac:dyDescent="0.25">
      <c r="B11242" s="11"/>
    </row>
    <row r="11243" spans="2:2" x14ac:dyDescent="0.25">
      <c r="B11243" s="11"/>
    </row>
    <row r="11244" spans="2:2" x14ac:dyDescent="0.25">
      <c r="B11244" s="11"/>
    </row>
    <row r="11245" spans="2:2" x14ac:dyDescent="0.25">
      <c r="B11245" s="11"/>
    </row>
    <row r="11246" spans="2:2" x14ac:dyDescent="0.25">
      <c r="B11246" s="11"/>
    </row>
    <row r="11247" spans="2:2" x14ac:dyDescent="0.25">
      <c r="B11247" s="11"/>
    </row>
    <row r="11248" spans="2:2" x14ac:dyDescent="0.25">
      <c r="B11248" s="11"/>
    </row>
    <row r="11249" spans="2:2" x14ac:dyDescent="0.25">
      <c r="B11249" s="11"/>
    </row>
    <row r="11250" spans="2:2" x14ac:dyDescent="0.25">
      <c r="B11250" s="11"/>
    </row>
    <row r="11251" spans="2:2" x14ac:dyDescent="0.25">
      <c r="B11251" s="11"/>
    </row>
    <row r="11252" spans="2:2" x14ac:dyDescent="0.25">
      <c r="B11252" s="11"/>
    </row>
    <row r="11253" spans="2:2" x14ac:dyDescent="0.25">
      <c r="B11253" s="11"/>
    </row>
    <row r="11254" spans="2:2" x14ac:dyDescent="0.25">
      <c r="B11254" s="11"/>
    </row>
    <row r="11255" spans="2:2" x14ac:dyDescent="0.25">
      <c r="B11255" s="11"/>
    </row>
    <row r="11256" spans="2:2" x14ac:dyDescent="0.25">
      <c r="B11256" s="11"/>
    </row>
    <row r="11257" spans="2:2" x14ac:dyDescent="0.25">
      <c r="B11257" s="11"/>
    </row>
    <row r="11258" spans="2:2" x14ac:dyDescent="0.25">
      <c r="B11258" s="11"/>
    </row>
    <row r="11259" spans="2:2" x14ac:dyDescent="0.25">
      <c r="B11259" s="11"/>
    </row>
    <row r="11260" spans="2:2" x14ac:dyDescent="0.25">
      <c r="B11260" s="11"/>
    </row>
    <row r="11261" spans="2:2" x14ac:dyDescent="0.25">
      <c r="B11261" s="11"/>
    </row>
    <row r="11262" spans="2:2" x14ac:dyDescent="0.25">
      <c r="B11262" s="11"/>
    </row>
    <row r="11263" spans="2:2" x14ac:dyDescent="0.25">
      <c r="B11263" s="11"/>
    </row>
    <row r="11264" spans="2:2" x14ac:dyDescent="0.25">
      <c r="B11264" s="11"/>
    </row>
    <row r="11265" spans="2:2" x14ac:dyDescent="0.25">
      <c r="B11265" s="11"/>
    </row>
    <row r="11266" spans="2:2" x14ac:dyDescent="0.25">
      <c r="B11266" s="11"/>
    </row>
    <row r="11267" spans="2:2" x14ac:dyDescent="0.25">
      <c r="B11267" s="11"/>
    </row>
    <row r="11268" spans="2:2" x14ac:dyDescent="0.25">
      <c r="B11268" s="11"/>
    </row>
    <row r="11269" spans="2:2" x14ac:dyDescent="0.25">
      <c r="B11269" s="11"/>
    </row>
    <row r="11270" spans="2:2" x14ac:dyDescent="0.25">
      <c r="B11270" s="11"/>
    </row>
    <row r="11271" spans="2:2" x14ac:dyDescent="0.25">
      <c r="B11271" s="11"/>
    </row>
    <row r="11272" spans="2:2" x14ac:dyDescent="0.25">
      <c r="B11272" s="11"/>
    </row>
    <row r="11273" spans="2:2" x14ac:dyDescent="0.25">
      <c r="B11273" s="11"/>
    </row>
    <row r="11274" spans="2:2" x14ac:dyDescent="0.25">
      <c r="B11274" s="11"/>
    </row>
    <row r="11275" spans="2:2" x14ac:dyDescent="0.25">
      <c r="B11275" s="11"/>
    </row>
    <row r="11276" spans="2:2" x14ac:dyDescent="0.25">
      <c r="B11276" s="11"/>
    </row>
    <row r="11277" spans="2:2" x14ac:dyDescent="0.25">
      <c r="B11277" s="11"/>
    </row>
    <row r="11278" spans="2:2" x14ac:dyDescent="0.25">
      <c r="B11278" s="11"/>
    </row>
    <row r="11279" spans="2:2" x14ac:dyDescent="0.25">
      <c r="B11279" s="11"/>
    </row>
    <row r="11280" spans="2:2" x14ac:dyDescent="0.25">
      <c r="B11280" s="11"/>
    </row>
    <row r="11281" spans="2:2" x14ac:dyDescent="0.25">
      <c r="B11281" s="11"/>
    </row>
    <row r="11282" spans="2:2" x14ac:dyDescent="0.25">
      <c r="B11282" s="11"/>
    </row>
    <row r="11283" spans="2:2" x14ac:dyDescent="0.25">
      <c r="B11283" s="11"/>
    </row>
    <row r="11284" spans="2:2" x14ac:dyDescent="0.25">
      <c r="B11284" s="11"/>
    </row>
    <row r="11285" spans="2:2" x14ac:dyDescent="0.25">
      <c r="B11285" s="11"/>
    </row>
    <row r="11286" spans="2:2" x14ac:dyDescent="0.25">
      <c r="B11286" s="11"/>
    </row>
    <row r="11287" spans="2:2" x14ac:dyDescent="0.25">
      <c r="B11287" s="11"/>
    </row>
    <row r="11288" spans="2:2" x14ac:dyDescent="0.25">
      <c r="B11288" s="11"/>
    </row>
    <row r="11289" spans="2:2" x14ac:dyDescent="0.25">
      <c r="B11289" s="11"/>
    </row>
    <row r="11290" spans="2:2" x14ac:dyDescent="0.25">
      <c r="B11290" s="11"/>
    </row>
    <row r="11291" spans="2:2" x14ac:dyDescent="0.25">
      <c r="B11291" s="11"/>
    </row>
    <row r="11292" spans="2:2" x14ac:dyDescent="0.25">
      <c r="B11292" s="11"/>
    </row>
    <row r="11293" spans="2:2" x14ac:dyDescent="0.25">
      <c r="B11293" s="11"/>
    </row>
    <row r="11294" spans="2:2" x14ac:dyDescent="0.25">
      <c r="B11294" s="11"/>
    </row>
    <row r="11295" spans="2:2" x14ac:dyDescent="0.25">
      <c r="B11295" s="11"/>
    </row>
    <row r="11296" spans="2:2" x14ac:dyDescent="0.25">
      <c r="B11296" s="11"/>
    </row>
    <row r="11297" spans="2:2" x14ac:dyDescent="0.25">
      <c r="B11297" s="11"/>
    </row>
    <row r="11298" spans="2:2" x14ac:dyDescent="0.25">
      <c r="B11298" s="11"/>
    </row>
    <row r="11299" spans="2:2" x14ac:dyDescent="0.25">
      <c r="B11299" s="11"/>
    </row>
    <row r="11300" spans="2:2" x14ac:dyDescent="0.25">
      <c r="B11300" s="11"/>
    </row>
    <row r="11301" spans="2:2" x14ac:dyDescent="0.25">
      <c r="B11301" s="11"/>
    </row>
    <row r="11302" spans="2:2" x14ac:dyDescent="0.25">
      <c r="B11302" s="11"/>
    </row>
    <row r="11303" spans="2:2" x14ac:dyDescent="0.25">
      <c r="B11303" s="11"/>
    </row>
    <row r="11304" spans="2:2" x14ac:dyDescent="0.25">
      <c r="B11304" s="11"/>
    </row>
    <row r="11305" spans="2:2" x14ac:dyDescent="0.25">
      <c r="B11305" s="11"/>
    </row>
    <row r="11306" spans="2:2" x14ac:dyDescent="0.25">
      <c r="B11306" s="11"/>
    </row>
    <row r="11307" spans="2:2" x14ac:dyDescent="0.25">
      <c r="B11307" s="11"/>
    </row>
    <row r="11308" spans="2:2" x14ac:dyDescent="0.25">
      <c r="B11308" s="11"/>
    </row>
    <row r="11309" spans="2:2" x14ac:dyDescent="0.25">
      <c r="B11309" s="11"/>
    </row>
    <row r="11310" spans="2:2" x14ac:dyDescent="0.25">
      <c r="B11310" s="11"/>
    </row>
    <row r="11311" spans="2:2" x14ac:dyDescent="0.25">
      <c r="B11311" s="11"/>
    </row>
    <row r="11312" spans="2:2" x14ac:dyDescent="0.25">
      <c r="B11312" s="11"/>
    </row>
    <row r="11313" spans="2:2" x14ac:dyDescent="0.25">
      <c r="B11313" s="11"/>
    </row>
    <row r="11314" spans="2:2" x14ac:dyDescent="0.25">
      <c r="B11314" s="11"/>
    </row>
    <row r="11315" spans="2:2" x14ac:dyDescent="0.25">
      <c r="B11315" s="11"/>
    </row>
    <row r="11316" spans="2:2" x14ac:dyDescent="0.25">
      <c r="B11316" s="11"/>
    </row>
    <row r="11317" spans="2:2" x14ac:dyDescent="0.25">
      <c r="B11317" s="11"/>
    </row>
    <row r="11318" spans="2:2" x14ac:dyDescent="0.25">
      <c r="B11318" s="11"/>
    </row>
    <row r="11319" spans="2:2" x14ac:dyDescent="0.25">
      <c r="B11319" s="11"/>
    </row>
    <row r="11320" spans="2:2" x14ac:dyDescent="0.25">
      <c r="B11320" s="11"/>
    </row>
    <row r="11321" spans="2:2" x14ac:dyDescent="0.25">
      <c r="B11321" s="11"/>
    </row>
    <row r="11322" spans="2:2" x14ac:dyDescent="0.25">
      <c r="B11322" s="11"/>
    </row>
    <row r="11323" spans="2:2" x14ac:dyDescent="0.25">
      <c r="B11323" s="11"/>
    </row>
    <row r="11324" spans="2:2" x14ac:dyDescent="0.25">
      <c r="B11324" s="11"/>
    </row>
    <row r="11325" spans="2:2" x14ac:dyDescent="0.25">
      <c r="B11325" s="11"/>
    </row>
    <row r="11326" spans="2:2" x14ac:dyDescent="0.25">
      <c r="B11326" s="11"/>
    </row>
    <row r="11327" spans="2:2" x14ac:dyDescent="0.25">
      <c r="B11327" s="11"/>
    </row>
    <row r="11328" spans="2:2" x14ac:dyDescent="0.25">
      <c r="B11328" s="11"/>
    </row>
    <row r="11329" spans="2:2" x14ac:dyDescent="0.25">
      <c r="B11329" s="11"/>
    </row>
    <row r="11330" spans="2:2" x14ac:dyDescent="0.25">
      <c r="B11330" s="11"/>
    </row>
    <row r="11331" spans="2:2" x14ac:dyDescent="0.25">
      <c r="B11331" s="11"/>
    </row>
    <row r="11332" spans="2:2" x14ac:dyDescent="0.25">
      <c r="B11332" s="11"/>
    </row>
    <row r="11333" spans="2:2" x14ac:dyDescent="0.25">
      <c r="B11333" s="11"/>
    </row>
    <row r="11334" spans="2:2" x14ac:dyDescent="0.25">
      <c r="B11334" s="11"/>
    </row>
    <row r="11335" spans="2:2" x14ac:dyDescent="0.25">
      <c r="B11335" s="11"/>
    </row>
    <row r="11336" spans="2:2" x14ac:dyDescent="0.25">
      <c r="B11336" s="11"/>
    </row>
    <row r="11337" spans="2:2" x14ac:dyDescent="0.25">
      <c r="B11337" s="11"/>
    </row>
    <row r="11338" spans="2:2" x14ac:dyDescent="0.25">
      <c r="B11338" s="11"/>
    </row>
    <row r="11339" spans="2:2" x14ac:dyDescent="0.25">
      <c r="B11339" s="11"/>
    </row>
    <row r="11340" spans="2:2" x14ac:dyDescent="0.25">
      <c r="B11340" s="11"/>
    </row>
    <row r="11341" spans="2:2" x14ac:dyDescent="0.25">
      <c r="B11341" s="11"/>
    </row>
    <row r="11342" spans="2:2" x14ac:dyDescent="0.25">
      <c r="B11342" s="11"/>
    </row>
    <row r="11343" spans="2:2" x14ac:dyDescent="0.25">
      <c r="B11343" s="11"/>
    </row>
    <row r="11344" spans="2:2" x14ac:dyDescent="0.25">
      <c r="B11344" s="11"/>
    </row>
    <row r="11345" spans="2:2" x14ac:dyDescent="0.25">
      <c r="B11345" s="11"/>
    </row>
    <row r="11346" spans="2:2" x14ac:dyDescent="0.25">
      <c r="B11346" s="11"/>
    </row>
    <row r="11347" spans="2:2" x14ac:dyDescent="0.25">
      <c r="B11347" s="11"/>
    </row>
    <row r="11348" spans="2:2" x14ac:dyDescent="0.25">
      <c r="B11348" s="11"/>
    </row>
    <row r="11349" spans="2:2" x14ac:dyDescent="0.25">
      <c r="B11349" s="11"/>
    </row>
    <row r="11350" spans="2:2" x14ac:dyDescent="0.25">
      <c r="B11350" s="11"/>
    </row>
    <row r="11351" spans="2:2" x14ac:dyDescent="0.25">
      <c r="B11351" s="11"/>
    </row>
    <row r="11352" spans="2:2" x14ac:dyDescent="0.25">
      <c r="B11352" s="11"/>
    </row>
    <row r="11353" spans="2:2" x14ac:dyDescent="0.25">
      <c r="B11353" s="11"/>
    </row>
    <row r="11354" spans="2:2" x14ac:dyDescent="0.25">
      <c r="B11354" s="11"/>
    </row>
    <row r="11355" spans="2:2" x14ac:dyDescent="0.25">
      <c r="B11355" s="11"/>
    </row>
    <row r="11356" spans="2:2" x14ac:dyDescent="0.25">
      <c r="B11356" s="11"/>
    </row>
    <row r="11357" spans="2:2" x14ac:dyDescent="0.25">
      <c r="B11357" s="11"/>
    </row>
    <row r="11358" spans="2:2" x14ac:dyDescent="0.25">
      <c r="B11358" s="11"/>
    </row>
    <row r="11359" spans="2:2" x14ac:dyDescent="0.25">
      <c r="B11359" s="11"/>
    </row>
    <row r="11360" spans="2:2" x14ac:dyDescent="0.25">
      <c r="B11360" s="11"/>
    </row>
    <row r="11361" spans="2:2" x14ac:dyDescent="0.25">
      <c r="B11361" s="11"/>
    </row>
    <row r="11362" spans="2:2" x14ac:dyDescent="0.25">
      <c r="B11362" s="11"/>
    </row>
    <row r="11363" spans="2:2" x14ac:dyDescent="0.25">
      <c r="B11363" s="11"/>
    </row>
    <row r="11364" spans="2:2" x14ac:dyDescent="0.25">
      <c r="B11364" s="11"/>
    </row>
    <row r="11365" spans="2:2" x14ac:dyDescent="0.25">
      <c r="B11365" s="11"/>
    </row>
    <row r="11366" spans="2:2" x14ac:dyDescent="0.25">
      <c r="B11366" s="11"/>
    </row>
    <row r="11367" spans="2:2" x14ac:dyDescent="0.25">
      <c r="B11367" s="11"/>
    </row>
    <row r="11368" spans="2:2" x14ac:dyDescent="0.25">
      <c r="B11368" s="11"/>
    </row>
    <row r="11369" spans="2:2" x14ac:dyDescent="0.25">
      <c r="B11369" s="11"/>
    </row>
    <row r="11370" spans="2:2" x14ac:dyDescent="0.25">
      <c r="B11370" s="11"/>
    </row>
    <row r="11371" spans="2:2" x14ac:dyDescent="0.25">
      <c r="B11371" s="11"/>
    </row>
    <row r="11372" spans="2:2" x14ac:dyDescent="0.25">
      <c r="B11372" s="11"/>
    </row>
    <row r="11373" spans="2:2" x14ac:dyDescent="0.25">
      <c r="B11373" s="11"/>
    </row>
    <row r="11374" spans="2:2" x14ac:dyDescent="0.25">
      <c r="B11374" s="11"/>
    </row>
    <row r="11375" spans="2:2" x14ac:dyDescent="0.25">
      <c r="B11375" s="11"/>
    </row>
    <row r="11376" spans="2:2" x14ac:dyDescent="0.25">
      <c r="B11376" s="11"/>
    </row>
    <row r="11377" spans="2:2" x14ac:dyDescent="0.25">
      <c r="B11377" s="11"/>
    </row>
    <row r="11378" spans="2:2" x14ac:dyDescent="0.25">
      <c r="B11378" s="11"/>
    </row>
    <row r="11379" spans="2:2" x14ac:dyDescent="0.25">
      <c r="B11379" s="11"/>
    </row>
    <row r="11380" spans="2:2" x14ac:dyDescent="0.25">
      <c r="B11380" s="11"/>
    </row>
    <row r="11381" spans="2:2" x14ac:dyDescent="0.25">
      <c r="B11381" s="11"/>
    </row>
    <row r="11382" spans="2:2" x14ac:dyDescent="0.25">
      <c r="B11382" s="11"/>
    </row>
    <row r="11383" spans="2:2" x14ac:dyDescent="0.25">
      <c r="B11383" s="11"/>
    </row>
    <row r="11384" spans="2:2" x14ac:dyDescent="0.25">
      <c r="B11384" s="11"/>
    </row>
    <row r="11385" spans="2:2" x14ac:dyDescent="0.25">
      <c r="B11385" s="11"/>
    </row>
    <row r="11386" spans="2:2" x14ac:dyDescent="0.25">
      <c r="B11386" s="11"/>
    </row>
    <row r="11387" spans="2:2" x14ac:dyDescent="0.25">
      <c r="B11387" s="11"/>
    </row>
    <row r="11388" spans="2:2" x14ac:dyDescent="0.25">
      <c r="B11388" s="11"/>
    </row>
    <row r="11389" spans="2:2" x14ac:dyDescent="0.25">
      <c r="B11389" s="11"/>
    </row>
    <row r="11390" spans="2:2" x14ac:dyDescent="0.25">
      <c r="B11390" s="11"/>
    </row>
    <row r="11391" spans="2:2" x14ac:dyDescent="0.25">
      <c r="B11391" s="11"/>
    </row>
    <row r="11392" spans="2:2" x14ac:dyDescent="0.25">
      <c r="B11392" s="11"/>
    </row>
    <row r="11393" spans="2:2" x14ac:dyDescent="0.25">
      <c r="B11393" s="11"/>
    </row>
    <row r="11394" spans="2:2" x14ac:dyDescent="0.25">
      <c r="B11394" s="11"/>
    </row>
    <row r="11395" spans="2:2" x14ac:dyDescent="0.25">
      <c r="B11395" s="11"/>
    </row>
    <row r="11396" spans="2:2" x14ac:dyDescent="0.25">
      <c r="B11396" s="11"/>
    </row>
    <row r="11397" spans="2:2" x14ac:dyDescent="0.25">
      <c r="B11397" s="11"/>
    </row>
    <row r="11398" spans="2:2" x14ac:dyDescent="0.25">
      <c r="B11398" s="11"/>
    </row>
    <row r="11399" spans="2:2" x14ac:dyDescent="0.25">
      <c r="B11399" s="11"/>
    </row>
    <row r="11400" spans="2:2" x14ac:dyDescent="0.25">
      <c r="B11400" s="11"/>
    </row>
    <row r="11401" spans="2:2" x14ac:dyDescent="0.25">
      <c r="B11401" s="11"/>
    </row>
    <row r="11402" spans="2:2" x14ac:dyDescent="0.25">
      <c r="B11402" s="11"/>
    </row>
    <row r="11403" spans="2:2" x14ac:dyDescent="0.25">
      <c r="B11403" s="11"/>
    </row>
    <row r="11404" spans="2:2" x14ac:dyDescent="0.25">
      <c r="B11404" s="11"/>
    </row>
    <row r="11405" spans="2:2" x14ac:dyDescent="0.25">
      <c r="B11405" s="11"/>
    </row>
    <row r="11406" spans="2:2" x14ac:dyDescent="0.25">
      <c r="B11406" s="11"/>
    </row>
    <row r="11407" spans="2:2" x14ac:dyDescent="0.25">
      <c r="B11407" s="11"/>
    </row>
    <row r="11408" spans="2:2" x14ac:dyDescent="0.25">
      <c r="B11408" s="11"/>
    </row>
    <row r="11409" spans="2:2" x14ac:dyDescent="0.25">
      <c r="B11409" s="11"/>
    </row>
    <row r="11410" spans="2:2" x14ac:dyDescent="0.25">
      <c r="B11410" s="11"/>
    </row>
    <row r="11411" spans="2:2" x14ac:dyDescent="0.25">
      <c r="B11411" s="11"/>
    </row>
    <row r="11412" spans="2:2" x14ac:dyDescent="0.25">
      <c r="B11412" s="11"/>
    </row>
    <row r="11413" spans="2:2" x14ac:dyDescent="0.25">
      <c r="B11413" s="11"/>
    </row>
    <row r="11414" spans="2:2" x14ac:dyDescent="0.25">
      <c r="B11414" s="11"/>
    </row>
    <row r="11415" spans="2:2" x14ac:dyDescent="0.25">
      <c r="B11415" s="11"/>
    </row>
    <row r="11416" spans="2:2" x14ac:dyDescent="0.25">
      <c r="B11416" s="11"/>
    </row>
    <row r="11417" spans="2:2" x14ac:dyDescent="0.25">
      <c r="B11417" s="11"/>
    </row>
    <row r="11418" spans="2:2" x14ac:dyDescent="0.25">
      <c r="B11418" s="11"/>
    </row>
    <row r="11419" spans="2:2" x14ac:dyDescent="0.25">
      <c r="B11419" s="11"/>
    </row>
    <row r="11420" spans="2:2" x14ac:dyDescent="0.25">
      <c r="B11420" s="11"/>
    </row>
    <row r="11421" spans="2:2" x14ac:dyDescent="0.25">
      <c r="B11421" s="11"/>
    </row>
    <row r="11422" spans="2:2" x14ac:dyDescent="0.25">
      <c r="B11422" s="11"/>
    </row>
    <row r="11423" spans="2:2" x14ac:dyDescent="0.25">
      <c r="B11423" s="11"/>
    </row>
    <row r="11424" spans="2:2" x14ac:dyDescent="0.25">
      <c r="B11424" s="11"/>
    </row>
    <row r="11425" spans="2:2" x14ac:dyDescent="0.25">
      <c r="B11425" s="11"/>
    </row>
    <row r="11426" spans="2:2" x14ac:dyDescent="0.25">
      <c r="B11426" s="11"/>
    </row>
    <row r="11427" spans="2:2" x14ac:dyDescent="0.25">
      <c r="B11427" s="11"/>
    </row>
    <row r="11428" spans="2:2" x14ac:dyDescent="0.25">
      <c r="B11428" s="11"/>
    </row>
    <row r="11429" spans="2:2" x14ac:dyDescent="0.25">
      <c r="B11429" s="11"/>
    </row>
    <row r="11430" spans="2:2" x14ac:dyDescent="0.25">
      <c r="B11430" s="11"/>
    </row>
    <row r="11431" spans="2:2" x14ac:dyDescent="0.25">
      <c r="B11431" s="11"/>
    </row>
    <row r="11432" spans="2:2" x14ac:dyDescent="0.25">
      <c r="B11432" s="11"/>
    </row>
    <row r="11433" spans="2:2" x14ac:dyDescent="0.25">
      <c r="B11433" s="11"/>
    </row>
    <row r="11434" spans="2:2" x14ac:dyDescent="0.25">
      <c r="B11434" s="11"/>
    </row>
    <row r="11435" spans="2:2" x14ac:dyDescent="0.25">
      <c r="B11435" s="11"/>
    </row>
    <row r="11436" spans="2:2" x14ac:dyDescent="0.25">
      <c r="B11436" s="11"/>
    </row>
    <row r="11437" spans="2:2" x14ac:dyDescent="0.25">
      <c r="B11437" s="11"/>
    </row>
    <row r="11438" spans="2:2" x14ac:dyDescent="0.25">
      <c r="B11438" s="11"/>
    </row>
    <row r="11439" spans="2:2" x14ac:dyDescent="0.25">
      <c r="B11439" s="11"/>
    </row>
    <row r="11440" spans="2:2" x14ac:dyDescent="0.25">
      <c r="B11440" s="11"/>
    </row>
    <row r="11441" spans="2:2" x14ac:dyDescent="0.25">
      <c r="B11441" s="11"/>
    </row>
    <row r="11442" spans="2:2" x14ac:dyDescent="0.25">
      <c r="B11442" s="11"/>
    </row>
    <row r="11443" spans="2:2" x14ac:dyDescent="0.25">
      <c r="B11443" s="11"/>
    </row>
    <row r="11444" spans="2:2" x14ac:dyDescent="0.25">
      <c r="B11444" s="11"/>
    </row>
    <row r="11445" spans="2:2" x14ac:dyDescent="0.25">
      <c r="B11445" s="11"/>
    </row>
    <row r="11446" spans="2:2" x14ac:dyDescent="0.25">
      <c r="B11446" s="11"/>
    </row>
    <row r="11447" spans="2:2" x14ac:dyDescent="0.25">
      <c r="B11447" s="11"/>
    </row>
    <row r="11448" spans="2:2" x14ac:dyDescent="0.25">
      <c r="B11448" s="11"/>
    </row>
    <row r="11449" spans="2:2" x14ac:dyDescent="0.25">
      <c r="B11449" s="11"/>
    </row>
    <row r="11450" spans="2:2" x14ac:dyDescent="0.25">
      <c r="B11450" s="11"/>
    </row>
    <row r="11451" spans="2:2" x14ac:dyDescent="0.25">
      <c r="B11451" s="11"/>
    </row>
    <row r="11452" spans="2:2" x14ac:dyDescent="0.25">
      <c r="B11452" s="11"/>
    </row>
    <row r="11453" spans="2:2" x14ac:dyDescent="0.25">
      <c r="B11453" s="11"/>
    </row>
    <row r="11454" spans="2:2" x14ac:dyDescent="0.25">
      <c r="B11454" s="11"/>
    </row>
    <row r="11455" spans="2:2" x14ac:dyDescent="0.25">
      <c r="B11455" s="11"/>
    </row>
    <row r="11456" spans="2:2" x14ac:dyDescent="0.25">
      <c r="B11456" s="11"/>
    </row>
    <row r="11457" spans="2:2" x14ac:dyDescent="0.25">
      <c r="B11457" s="11"/>
    </row>
    <row r="11458" spans="2:2" x14ac:dyDescent="0.25">
      <c r="B11458" s="11"/>
    </row>
    <row r="11459" spans="2:2" x14ac:dyDescent="0.25">
      <c r="B11459" s="11"/>
    </row>
    <row r="11460" spans="2:2" x14ac:dyDescent="0.25">
      <c r="B11460" s="11"/>
    </row>
    <row r="11461" spans="2:2" x14ac:dyDescent="0.25">
      <c r="B11461" s="11"/>
    </row>
    <row r="11462" spans="2:2" x14ac:dyDescent="0.25">
      <c r="B11462" s="11"/>
    </row>
    <row r="11463" spans="2:2" x14ac:dyDescent="0.25">
      <c r="B11463" s="11"/>
    </row>
    <row r="11464" spans="2:2" x14ac:dyDescent="0.25">
      <c r="B11464" s="11"/>
    </row>
    <row r="11465" spans="2:2" x14ac:dyDescent="0.25">
      <c r="B11465" s="11"/>
    </row>
    <row r="11466" spans="2:2" x14ac:dyDescent="0.25">
      <c r="B11466" s="11"/>
    </row>
    <row r="11467" spans="2:2" x14ac:dyDescent="0.25">
      <c r="B11467" s="11"/>
    </row>
    <row r="11468" spans="2:2" x14ac:dyDescent="0.25">
      <c r="B11468" s="11"/>
    </row>
    <row r="11469" spans="2:2" x14ac:dyDescent="0.25">
      <c r="B11469" s="11"/>
    </row>
    <row r="11470" spans="2:2" x14ac:dyDescent="0.25">
      <c r="B11470" s="11"/>
    </row>
    <row r="11471" spans="2:2" x14ac:dyDescent="0.25">
      <c r="B11471" s="11"/>
    </row>
    <row r="11472" spans="2:2" x14ac:dyDescent="0.25">
      <c r="B11472" s="11"/>
    </row>
    <row r="11473" spans="2:2" x14ac:dyDescent="0.25">
      <c r="B11473" s="11"/>
    </row>
    <row r="11474" spans="2:2" x14ac:dyDescent="0.25">
      <c r="B11474" s="11"/>
    </row>
    <row r="11475" spans="2:2" x14ac:dyDescent="0.25">
      <c r="B11475" s="11"/>
    </row>
    <row r="11476" spans="2:2" x14ac:dyDescent="0.25">
      <c r="B11476" s="11"/>
    </row>
    <row r="11477" spans="2:2" x14ac:dyDescent="0.25">
      <c r="B11477" s="11"/>
    </row>
    <row r="11478" spans="2:2" x14ac:dyDescent="0.25">
      <c r="B11478" s="11"/>
    </row>
    <row r="11479" spans="2:2" x14ac:dyDescent="0.25">
      <c r="B11479" s="11"/>
    </row>
    <row r="11480" spans="2:2" x14ac:dyDescent="0.25">
      <c r="B11480" s="11"/>
    </row>
    <row r="11481" spans="2:2" x14ac:dyDescent="0.25">
      <c r="B11481" s="11"/>
    </row>
    <row r="11482" spans="2:2" x14ac:dyDescent="0.25">
      <c r="B11482" s="11"/>
    </row>
    <row r="11483" spans="2:2" x14ac:dyDescent="0.25">
      <c r="B11483" s="11"/>
    </row>
    <row r="11484" spans="2:2" x14ac:dyDescent="0.25">
      <c r="B11484" s="11"/>
    </row>
    <row r="11485" spans="2:2" x14ac:dyDescent="0.25">
      <c r="B11485" s="11"/>
    </row>
    <row r="11486" spans="2:2" x14ac:dyDescent="0.25">
      <c r="B11486" s="11"/>
    </row>
    <row r="11487" spans="2:2" x14ac:dyDescent="0.25">
      <c r="B11487" s="11"/>
    </row>
    <row r="11488" spans="2:2" x14ac:dyDescent="0.25">
      <c r="B11488" s="11"/>
    </row>
    <row r="11489" spans="2:2" x14ac:dyDescent="0.25">
      <c r="B11489" s="11"/>
    </row>
    <row r="11490" spans="2:2" x14ac:dyDescent="0.25">
      <c r="B11490" s="11"/>
    </row>
    <row r="11491" spans="2:2" x14ac:dyDescent="0.25">
      <c r="B11491" s="11"/>
    </row>
    <row r="11492" spans="2:2" x14ac:dyDescent="0.25">
      <c r="B11492" s="11"/>
    </row>
    <row r="11493" spans="2:2" x14ac:dyDescent="0.25">
      <c r="B11493" s="11"/>
    </row>
    <row r="11494" spans="2:2" x14ac:dyDescent="0.25">
      <c r="B11494" s="11"/>
    </row>
    <row r="11495" spans="2:2" x14ac:dyDescent="0.25">
      <c r="B11495" s="11"/>
    </row>
    <row r="11496" spans="2:2" x14ac:dyDescent="0.25">
      <c r="B11496" s="11"/>
    </row>
    <row r="11497" spans="2:2" x14ac:dyDescent="0.25">
      <c r="B11497" s="11"/>
    </row>
    <row r="11498" spans="2:2" x14ac:dyDescent="0.25">
      <c r="B11498" s="11"/>
    </row>
    <row r="11499" spans="2:2" x14ac:dyDescent="0.25">
      <c r="B11499" s="11"/>
    </row>
    <row r="11500" spans="2:2" x14ac:dyDescent="0.25">
      <c r="B11500" s="11"/>
    </row>
    <row r="11501" spans="2:2" x14ac:dyDescent="0.25">
      <c r="B11501" s="11"/>
    </row>
    <row r="11502" spans="2:2" x14ac:dyDescent="0.25">
      <c r="B11502" s="11"/>
    </row>
    <row r="11503" spans="2:2" x14ac:dyDescent="0.25">
      <c r="B11503" s="11"/>
    </row>
    <row r="11504" spans="2:2" x14ac:dyDescent="0.25">
      <c r="B11504" s="11"/>
    </row>
    <row r="11505" spans="2:2" x14ac:dyDescent="0.25">
      <c r="B11505" s="11"/>
    </row>
    <row r="11506" spans="2:2" x14ac:dyDescent="0.25">
      <c r="B11506" s="11"/>
    </row>
    <row r="11507" spans="2:2" x14ac:dyDescent="0.25">
      <c r="B11507" s="11"/>
    </row>
    <row r="11508" spans="2:2" x14ac:dyDescent="0.25">
      <c r="B11508" s="11"/>
    </row>
    <row r="11509" spans="2:2" x14ac:dyDescent="0.25">
      <c r="B11509" s="11"/>
    </row>
    <row r="11510" spans="2:2" x14ac:dyDescent="0.25">
      <c r="B11510" s="11"/>
    </row>
    <row r="11511" spans="2:2" x14ac:dyDescent="0.25">
      <c r="B11511" s="11"/>
    </row>
    <row r="11512" spans="2:2" x14ac:dyDescent="0.25">
      <c r="B11512" s="11"/>
    </row>
    <row r="11513" spans="2:2" x14ac:dyDescent="0.25">
      <c r="B11513" s="11"/>
    </row>
    <row r="11514" spans="2:2" x14ac:dyDescent="0.25">
      <c r="B11514" s="11"/>
    </row>
    <row r="11515" spans="2:2" x14ac:dyDescent="0.25">
      <c r="B11515" s="11"/>
    </row>
    <row r="11516" spans="2:2" x14ac:dyDescent="0.25">
      <c r="B11516" s="11"/>
    </row>
    <row r="11517" spans="2:2" x14ac:dyDescent="0.25">
      <c r="B11517" s="11"/>
    </row>
    <row r="11518" spans="2:2" x14ac:dyDescent="0.25">
      <c r="B11518" s="11"/>
    </row>
    <row r="11519" spans="2:2" x14ac:dyDescent="0.25">
      <c r="B11519" s="11"/>
    </row>
    <row r="11520" spans="2:2" x14ac:dyDescent="0.25">
      <c r="B11520" s="11"/>
    </row>
    <row r="11521" spans="2:2" x14ac:dyDescent="0.25">
      <c r="B11521" s="11"/>
    </row>
    <row r="11522" spans="2:2" x14ac:dyDescent="0.25">
      <c r="B11522" s="11"/>
    </row>
    <row r="11523" spans="2:2" x14ac:dyDescent="0.25">
      <c r="B11523" s="11"/>
    </row>
    <row r="11524" spans="2:2" x14ac:dyDescent="0.25">
      <c r="B11524" s="11"/>
    </row>
    <row r="11525" spans="2:2" x14ac:dyDescent="0.25">
      <c r="B11525" s="11"/>
    </row>
    <row r="11526" spans="2:2" x14ac:dyDescent="0.25">
      <c r="B11526" s="11"/>
    </row>
    <row r="11527" spans="2:2" x14ac:dyDescent="0.25">
      <c r="B11527" s="11"/>
    </row>
    <row r="11528" spans="2:2" x14ac:dyDescent="0.25">
      <c r="B11528" s="11"/>
    </row>
    <row r="11529" spans="2:2" x14ac:dyDescent="0.25">
      <c r="B11529" s="11"/>
    </row>
    <row r="11530" spans="2:2" x14ac:dyDescent="0.25">
      <c r="B11530" s="11"/>
    </row>
    <row r="11531" spans="2:2" x14ac:dyDescent="0.25">
      <c r="B11531" s="11"/>
    </row>
    <row r="11532" spans="2:2" x14ac:dyDescent="0.25">
      <c r="B11532" s="11"/>
    </row>
    <row r="11533" spans="2:2" x14ac:dyDescent="0.25">
      <c r="B11533" s="11"/>
    </row>
    <row r="11534" spans="2:2" x14ac:dyDescent="0.25">
      <c r="B11534" s="11"/>
    </row>
    <row r="11535" spans="2:2" x14ac:dyDescent="0.25">
      <c r="B11535" s="11"/>
    </row>
    <row r="11536" spans="2:2" x14ac:dyDescent="0.25">
      <c r="B11536" s="11"/>
    </row>
    <row r="11537" spans="2:2" x14ac:dyDescent="0.25">
      <c r="B11537" s="11"/>
    </row>
    <row r="11538" spans="2:2" x14ac:dyDescent="0.25">
      <c r="B11538" s="11"/>
    </row>
    <row r="11539" spans="2:2" x14ac:dyDescent="0.25">
      <c r="B11539" s="11"/>
    </row>
    <row r="11540" spans="2:2" x14ac:dyDescent="0.25">
      <c r="B11540" s="11"/>
    </row>
    <row r="11541" spans="2:2" x14ac:dyDescent="0.25">
      <c r="B11541" s="11"/>
    </row>
    <row r="11542" spans="2:2" x14ac:dyDescent="0.25">
      <c r="B11542" s="11"/>
    </row>
    <row r="11543" spans="2:2" x14ac:dyDescent="0.25">
      <c r="B11543" s="11"/>
    </row>
    <row r="11544" spans="2:2" x14ac:dyDescent="0.25">
      <c r="B11544" s="11"/>
    </row>
    <row r="11545" spans="2:2" x14ac:dyDescent="0.25">
      <c r="B11545" s="11"/>
    </row>
    <row r="11546" spans="2:2" x14ac:dyDescent="0.25">
      <c r="B11546" s="11"/>
    </row>
    <row r="11547" spans="2:2" x14ac:dyDescent="0.25">
      <c r="B11547" s="11"/>
    </row>
    <row r="11548" spans="2:2" x14ac:dyDescent="0.25">
      <c r="B11548" s="11"/>
    </row>
    <row r="11549" spans="2:2" x14ac:dyDescent="0.25">
      <c r="B11549" s="11"/>
    </row>
    <row r="11550" spans="2:2" x14ac:dyDescent="0.25">
      <c r="B11550" s="11"/>
    </row>
    <row r="11551" spans="2:2" x14ac:dyDescent="0.25">
      <c r="B11551" s="11"/>
    </row>
    <row r="11552" spans="2:2" x14ac:dyDescent="0.25">
      <c r="B11552" s="11"/>
    </row>
    <row r="11553" spans="2:2" x14ac:dyDescent="0.25">
      <c r="B11553" s="11"/>
    </row>
    <row r="11554" spans="2:2" x14ac:dyDescent="0.25">
      <c r="B11554" s="11"/>
    </row>
    <row r="11555" spans="2:2" x14ac:dyDescent="0.25">
      <c r="B11555" s="11"/>
    </row>
    <row r="11556" spans="2:2" x14ac:dyDescent="0.25">
      <c r="B11556" s="11"/>
    </row>
    <row r="11557" spans="2:2" x14ac:dyDescent="0.25">
      <c r="B11557" s="11"/>
    </row>
    <row r="11558" spans="2:2" x14ac:dyDescent="0.25">
      <c r="B11558" s="11"/>
    </row>
    <row r="11559" spans="2:2" x14ac:dyDescent="0.25">
      <c r="B11559" s="11"/>
    </row>
    <row r="11560" spans="2:2" x14ac:dyDescent="0.25">
      <c r="B11560" s="11"/>
    </row>
    <row r="11561" spans="2:2" x14ac:dyDescent="0.25">
      <c r="B11561" s="11"/>
    </row>
    <row r="11562" spans="2:2" x14ac:dyDescent="0.25">
      <c r="B11562" s="11"/>
    </row>
    <row r="11563" spans="2:2" x14ac:dyDescent="0.25">
      <c r="B11563" s="11"/>
    </row>
    <row r="11564" spans="2:2" x14ac:dyDescent="0.25">
      <c r="B11564" s="11"/>
    </row>
    <row r="11565" spans="2:2" x14ac:dyDescent="0.25">
      <c r="B11565" s="11"/>
    </row>
    <row r="11566" spans="2:2" x14ac:dyDescent="0.25">
      <c r="B11566" s="11"/>
    </row>
    <row r="11567" spans="2:2" x14ac:dyDescent="0.25">
      <c r="B11567" s="11"/>
    </row>
    <row r="11568" spans="2:2" x14ac:dyDescent="0.25">
      <c r="B11568" s="11"/>
    </row>
    <row r="11569" spans="2:2" x14ac:dyDescent="0.25">
      <c r="B11569" s="11"/>
    </row>
    <row r="11570" spans="2:2" x14ac:dyDescent="0.25">
      <c r="B11570" s="11"/>
    </row>
    <row r="11571" spans="2:2" x14ac:dyDescent="0.25">
      <c r="B11571" s="11"/>
    </row>
    <row r="11572" spans="2:2" x14ac:dyDescent="0.25">
      <c r="B11572" s="11"/>
    </row>
    <row r="11573" spans="2:2" x14ac:dyDescent="0.25">
      <c r="B11573" s="11"/>
    </row>
    <row r="11574" spans="2:2" x14ac:dyDescent="0.25">
      <c r="B11574" s="11"/>
    </row>
    <row r="11575" spans="2:2" x14ac:dyDescent="0.25">
      <c r="B11575" s="11"/>
    </row>
    <row r="11576" spans="2:2" x14ac:dyDescent="0.25">
      <c r="B11576" s="11"/>
    </row>
    <row r="11577" spans="2:2" x14ac:dyDescent="0.25">
      <c r="B11577" s="11"/>
    </row>
    <row r="11578" spans="2:2" x14ac:dyDescent="0.25">
      <c r="B11578" s="11"/>
    </row>
    <row r="11579" spans="2:2" x14ac:dyDescent="0.25">
      <c r="B11579" s="11"/>
    </row>
    <row r="11580" spans="2:2" x14ac:dyDescent="0.25">
      <c r="B11580" s="11"/>
    </row>
    <row r="11581" spans="2:2" x14ac:dyDescent="0.25">
      <c r="B11581" s="11"/>
    </row>
    <row r="11582" spans="2:2" x14ac:dyDescent="0.25">
      <c r="B11582" s="11"/>
    </row>
    <row r="11583" spans="2:2" x14ac:dyDescent="0.25">
      <c r="B11583" s="11"/>
    </row>
    <row r="11584" spans="2:2" x14ac:dyDescent="0.25">
      <c r="B11584" s="11"/>
    </row>
    <row r="11585" spans="2:2" x14ac:dyDescent="0.25">
      <c r="B11585" s="11"/>
    </row>
    <row r="11586" spans="2:2" x14ac:dyDescent="0.25">
      <c r="B11586" s="11"/>
    </row>
    <row r="11587" spans="2:2" x14ac:dyDescent="0.25">
      <c r="B11587" s="11"/>
    </row>
    <row r="11588" spans="2:2" x14ac:dyDescent="0.25">
      <c r="B11588" s="11"/>
    </row>
    <row r="11589" spans="2:2" x14ac:dyDescent="0.25">
      <c r="B11589" s="11"/>
    </row>
    <row r="11590" spans="2:2" x14ac:dyDescent="0.25">
      <c r="B11590" s="11"/>
    </row>
    <row r="11591" spans="2:2" x14ac:dyDescent="0.25">
      <c r="B11591" s="11"/>
    </row>
    <row r="11592" spans="2:2" x14ac:dyDescent="0.25">
      <c r="B11592" s="11"/>
    </row>
    <row r="11593" spans="2:2" x14ac:dyDescent="0.25">
      <c r="B11593" s="11"/>
    </row>
    <row r="11594" spans="2:2" x14ac:dyDescent="0.25">
      <c r="B11594" s="11"/>
    </row>
    <row r="11595" spans="2:2" x14ac:dyDescent="0.25">
      <c r="B11595" s="11"/>
    </row>
    <row r="11596" spans="2:2" x14ac:dyDescent="0.25">
      <c r="B11596" s="11"/>
    </row>
    <row r="11597" spans="2:2" x14ac:dyDescent="0.25">
      <c r="B11597" s="11"/>
    </row>
    <row r="11598" spans="2:2" x14ac:dyDescent="0.25">
      <c r="B11598" s="11"/>
    </row>
    <row r="11599" spans="2:2" x14ac:dyDescent="0.25">
      <c r="B11599" s="11"/>
    </row>
    <row r="11600" spans="2:2" x14ac:dyDescent="0.25">
      <c r="B11600" s="11"/>
    </row>
    <row r="11601" spans="2:2" x14ac:dyDescent="0.25">
      <c r="B11601" s="11"/>
    </row>
    <row r="11602" spans="2:2" x14ac:dyDescent="0.25">
      <c r="B11602" s="11"/>
    </row>
    <row r="11603" spans="2:2" x14ac:dyDescent="0.25">
      <c r="B11603" s="11"/>
    </row>
    <row r="11604" spans="2:2" x14ac:dyDescent="0.25">
      <c r="B11604" s="11"/>
    </row>
    <row r="11605" spans="2:2" x14ac:dyDescent="0.25">
      <c r="B11605" s="11"/>
    </row>
    <row r="11606" spans="2:2" x14ac:dyDescent="0.25">
      <c r="B11606" s="11"/>
    </row>
    <row r="11607" spans="2:2" x14ac:dyDescent="0.25">
      <c r="B11607" s="11"/>
    </row>
    <row r="11608" spans="2:2" x14ac:dyDescent="0.25">
      <c r="B11608" s="11"/>
    </row>
    <row r="11609" spans="2:2" x14ac:dyDescent="0.25">
      <c r="B11609" s="11"/>
    </row>
    <row r="11610" spans="2:2" x14ac:dyDescent="0.25">
      <c r="B11610" s="11"/>
    </row>
    <row r="11611" spans="2:2" x14ac:dyDescent="0.25">
      <c r="B11611" s="11"/>
    </row>
    <row r="11612" spans="2:2" x14ac:dyDescent="0.25">
      <c r="B11612" s="11"/>
    </row>
    <row r="11613" spans="2:2" x14ac:dyDescent="0.25">
      <c r="B11613" s="11"/>
    </row>
    <row r="11614" spans="2:2" x14ac:dyDescent="0.25">
      <c r="B11614" s="11"/>
    </row>
    <row r="11615" spans="2:2" x14ac:dyDescent="0.25">
      <c r="B11615" s="11"/>
    </row>
    <row r="11616" spans="2:2" x14ac:dyDescent="0.25">
      <c r="B11616" s="11"/>
    </row>
    <row r="11617" spans="2:2" x14ac:dyDescent="0.25">
      <c r="B11617" s="11"/>
    </row>
    <row r="11618" spans="2:2" x14ac:dyDescent="0.25">
      <c r="B11618" s="11"/>
    </row>
    <row r="11619" spans="2:2" x14ac:dyDescent="0.25">
      <c r="B11619" s="11"/>
    </row>
    <row r="11620" spans="2:2" x14ac:dyDescent="0.25">
      <c r="B11620" s="11"/>
    </row>
    <row r="11621" spans="2:2" x14ac:dyDescent="0.25">
      <c r="B11621" s="11"/>
    </row>
    <row r="11622" spans="2:2" x14ac:dyDescent="0.25">
      <c r="B11622" s="11"/>
    </row>
    <row r="11623" spans="2:2" x14ac:dyDescent="0.25">
      <c r="B11623" s="11"/>
    </row>
    <row r="11624" spans="2:2" x14ac:dyDescent="0.25">
      <c r="B11624" s="11"/>
    </row>
    <row r="11625" spans="2:2" x14ac:dyDescent="0.25">
      <c r="B11625" s="11"/>
    </row>
    <row r="11626" spans="2:2" x14ac:dyDescent="0.25">
      <c r="B11626" s="11"/>
    </row>
    <row r="11627" spans="2:2" x14ac:dyDescent="0.25">
      <c r="B11627" s="11"/>
    </row>
    <row r="11628" spans="2:2" x14ac:dyDescent="0.25">
      <c r="B11628" s="11"/>
    </row>
    <row r="11629" spans="2:2" x14ac:dyDescent="0.25">
      <c r="B11629" s="11"/>
    </row>
    <row r="11630" spans="2:2" x14ac:dyDescent="0.25">
      <c r="B11630" s="11"/>
    </row>
    <row r="11631" spans="2:2" x14ac:dyDescent="0.25">
      <c r="B11631" s="11"/>
    </row>
    <row r="11632" spans="2:2" x14ac:dyDescent="0.25">
      <c r="B11632" s="11"/>
    </row>
    <row r="11633" spans="2:2" x14ac:dyDescent="0.25">
      <c r="B11633" s="11"/>
    </row>
    <row r="11634" spans="2:2" x14ac:dyDescent="0.25">
      <c r="B11634" s="11"/>
    </row>
    <row r="11635" spans="2:2" x14ac:dyDescent="0.25">
      <c r="B11635" s="11"/>
    </row>
    <row r="11636" spans="2:2" x14ac:dyDescent="0.25">
      <c r="B11636" s="11"/>
    </row>
    <row r="11637" spans="2:2" x14ac:dyDescent="0.25">
      <c r="B11637" s="11"/>
    </row>
    <row r="11638" spans="2:2" x14ac:dyDescent="0.25">
      <c r="B11638" s="11"/>
    </row>
    <row r="11639" spans="2:2" x14ac:dyDescent="0.25">
      <c r="B11639" s="11"/>
    </row>
    <row r="11640" spans="2:2" x14ac:dyDescent="0.25">
      <c r="B11640" s="11"/>
    </row>
    <row r="11641" spans="2:2" x14ac:dyDescent="0.25">
      <c r="B11641" s="11"/>
    </row>
    <row r="11642" spans="2:2" x14ac:dyDescent="0.25">
      <c r="B11642" s="11"/>
    </row>
    <row r="11643" spans="2:2" x14ac:dyDescent="0.25">
      <c r="B11643" s="11"/>
    </row>
    <row r="11644" spans="2:2" x14ac:dyDescent="0.25">
      <c r="B11644" s="11"/>
    </row>
    <row r="11645" spans="2:2" x14ac:dyDescent="0.25">
      <c r="B11645" s="11"/>
    </row>
    <row r="11646" spans="2:2" x14ac:dyDescent="0.25">
      <c r="B11646" s="11"/>
    </row>
    <row r="11647" spans="2:2" x14ac:dyDescent="0.25">
      <c r="B11647" s="11"/>
    </row>
    <row r="11648" spans="2:2" x14ac:dyDescent="0.25">
      <c r="B11648" s="11"/>
    </row>
    <row r="11649" spans="2:2" x14ac:dyDescent="0.25">
      <c r="B11649" s="11"/>
    </row>
    <row r="11650" spans="2:2" x14ac:dyDescent="0.25">
      <c r="B11650" s="11"/>
    </row>
    <row r="11651" spans="2:2" x14ac:dyDescent="0.25">
      <c r="B11651" s="11"/>
    </row>
    <row r="11652" spans="2:2" x14ac:dyDescent="0.25">
      <c r="B11652" s="11"/>
    </row>
    <row r="11653" spans="2:2" x14ac:dyDescent="0.25">
      <c r="B11653" s="11"/>
    </row>
    <row r="11654" spans="2:2" x14ac:dyDescent="0.25">
      <c r="B11654" s="11"/>
    </row>
    <row r="11655" spans="2:2" x14ac:dyDescent="0.25">
      <c r="B11655" s="11"/>
    </row>
    <row r="11656" spans="2:2" x14ac:dyDescent="0.25">
      <c r="B11656" s="11"/>
    </row>
    <row r="11657" spans="2:2" x14ac:dyDescent="0.25">
      <c r="B11657" s="11"/>
    </row>
    <row r="11658" spans="2:2" x14ac:dyDescent="0.25">
      <c r="B11658" s="11"/>
    </row>
    <row r="11659" spans="2:2" x14ac:dyDescent="0.25">
      <c r="B11659" s="11"/>
    </row>
    <row r="11660" spans="2:2" x14ac:dyDescent="0.25">
      <c r="B11660" s="11"/>
    </row>
    <row r="11661" spans="2:2" x14ac:dyDescent="0.25">
      <c r="B11661" s="11"/>
    </row>
    <row r="11662" spans="2:2" x14ac:dyDescent="0.25">
      <c r="B11662" s="11"/>
    </row>
    <row r="11663" spans="2:2" x14ac:dyDescent="0.25">
      <c r="B11663" s="11"/>
    </row>
    <row r="11664" spans="2:2" x14ac:dyDescent="0.25">
      <c r="B11664" s="11"/>
    </row>
    <row r="11665" spans="2:2" x14ac:dyDescent="0.25">
      <c r="B11665" s="11"/>
    </row>
    <row r="11666" spans="2:2" x14ac:dyDescent="0.25">
      <c r="B11666" s="11"/>
    </row>
    <row r="11667" spans="2:2" x14ac:dyDescent="0.25">
      <c r="B11667" s="11"/>
    </row>
    <row r="11668" spans="2:2" x14ac:dyDescent="0.25">
      <c r="B11668" s="11"/>
    </row>
    <row r="11669" spans="2:2" x14ac:dyDescent="0.25">
      <c r="B11669" s="11"/>
    </row>
    <row r="11670" spans="2:2" x14ac:dyDescent="0.25">
      <c r="B11670" s="11"/>
    </row>
    <row r="11671" spans="2:2" x14ac:dyDescent="0.25">
      <c r="B11671" s="11"/>
    </row>
    <row r="11672" spans="2:2" x14ac:dyDescent="0.25">
      <c r="B11672" s="11"/>
    </row>
    <row r="11673" spans="2:2" x14ac:dyDescent="0.25">
      <c r="B11673" s="11"/>
    </row>
    <row r="11674" spans="2:2" x14ac:dyDescent="0.25">
      <c r="B11674" s="11"/>
    </row>
    <row r="11675" spans="2:2" x14ac:dyDescent="0.25">
      <c r="B11675" s="11"/>
    </row>
    <row r="11676" spans="2:2" x14ac:dyDescent="0.25">
      <c r="B11676" s="11"/>
    </row>
    <row r="11677" spans="2:2" x14ac:dyDescent="0.25">
      <c r="B11677" s="11"/>
    </row>
    <row r="11678" spans="2:2" x14ac:dyDescent="0.25">
      <c r="B11678" s="11"/>
    </row>
    <row r="11679" spans="2:2" x14ac:dyDescent="0.25">
      <c r="B11679" s="11"/>
    </row>
    <row r="11680" spans="2:2" x14ac:dyDescent="0.25">
      <c r="B11680" s="11"/>
    </row>
    <row r="11681" spans="2:2" x14ac:dyDescent="0.25">
      <c r="B11681" s="11"/>
    </row>
    <row r="11682" spans="2:2" x14ac:dyDescent="0.25">
      <c r="B11682" s="11"/>
    </row>
    <row r="11683" spans="2:2" x14ac:dyDescent="0.25">
      <c r="B11683" s="11"/>
    </row>
    <row r="11684" spans="2:2" x14ac:dyDescent="0.25">
      <c r="B11684" s="11"/>
    </row>
    <row r="11685" spans="2:2" x14ac:dyDescent="0.25">
      <c r="B11685" s="11"/>
    </row>
    <row r="11686" spans="2:2" x14ac:dyDescent="0.25">
      <c r="B11686" s="11"/>
    </row>
    <row r="11687" spans="2:2" x14ac:dyDescent="0.25">
      <c r="B11687" s="11"/>
    </row>
    <row r="11688" spans="2:2" x14ac:dyDescent="0.25">
      <c r="B11688" s="11"/>
    </row>
    <row r="11689" spans="2:2" x14ac:dyDescent="0.25">
      <c r="B11689" s="11"/>
    </row>
    <row r="11690" spans="2:2" x14ac:dyDescent="0.25">
      <c r="B11690" s="11"/>
    </row>
    <row r="11691" spans="2:2" x14ac:dyDescent="0.25">
      <c r="B11691" s="11"/>
    </row>
    <row r="11692" spans="2:2" x14ac:dyDescent="0.25">
      <c r="B11692" s="11"/>
    </row>
    <row r="11693" spans="2:2" x14ac:dyDescent="0.25">
      <c r="B11693" s="11"/>
    </row>
    <row r="11694" spans="2:2" x14ac:dyDescent="0.25">
      <c r="B11694" s="11"/>
    </row>
    <row r="11695" spans="2:2" x14ac:dyDescent="0.25">
      <c r="B11695" s="11"/>
    </row>
    <row r="11696" spans="2:2" x14ac:dyDescent="0.25">
      <c r="B11696" s="11"/>
    </row>
    <row r="11697" spans="2:2" x14ac:dyDescent="0.25">
      <c r="B11697" s="11"/>
    </row>
    <row r="11698" spans="2:2" x14ac:dyDescent="0.25">
      <c r="B11698" s="11"/>
    </row>
    <row r="11699" spans="2:2" x14ac:dyDescent="0.25">
      <c r="B11699" s="11"/>
    </row>
    <row r="11700" spans="2:2" x14ac:dyDescent="0.25">
      <c r="B11700" s="11"/>
    </row>
    <row r="11701" spans="2:2" x14ac:dyDescent="0.25">
      <c r="B11701" s="11"/>
    </row>
    <row r="11702" spans="2:2" x14ac:dyDescent="0.25">
      <c r="B11702" s="11"/>
    </row>
    <row r="11703" spans="2:2" x14ac:dyDescent="0.25">
      <c r="B11703" s="11"/>
    </row>
    <row r="11704" spans="2:2" x14ac:dyDescent="0.25">
      <c r="B11704" s="11"/>
    </row>
    <row r="11705" spans="2:2" x14ac:dyDescent="0.25">
      <c r="B11705" s="11"/>
    </row>
    <row r="11706" spans="2:2" x14ac:dyDescent="0.25">
      <c r="B11706" s="11"/>
    </row>
    <row r="11707" spans="2:2" x14ac:dyDescent="0.25">
      <c r="B11707" s="11"/>
    </row>
    <row r="11708" spans="2:2" x14ac:dyDescent="0.25">
      <c r="B11708" s="11"/>
    </row>
    <row r="11709" spans="2:2" x14ac:dyDescent="0.25">
      <c r="B11709" s="11"/>
    </row>
    <row r="11710" spans="2:2" x14ac:dyDescent="0.25">
      <c r="B11710" s="11"/>
    </row>
    <row r="11711" spans="2:2" x14ac:dyDescent="0.25">
      <c r="B11711" s="11"/>
    </row>
    <row r="11712" spans="2:2" x14ac:dyDescent="0.25">
      <c r="B11712" s="11"/>
    </row>
    <row r="11713" spans="2:2" x14ac:dyDescent="0.25">
      <c r="B11713" s="11"/>
    </row>
    <row r="11714" spans="2:2" x14ac:dyDescent="0.25">
      <c r="B11714" s="11"/>
    </row>
    <row r="11715" spans="2:2" x14ac:dyDescent="0.25">
      <c r="B11715" s="11"/>
    </row>
    <row r="11716" spans="2:2" x14ac:dyDescent="0.25">
      <c r="B11716" s="11"/>
    </row>
    <row r="11717" spans="2:2" x14ac:dyDescent="0.25">
      <c r="B11717" s="11"/>
    </row>
    <row r="11718" spans="2:2" x14ac:dyDescent="0.25">
      <c r="B11718" s="11"/>
    </row>
    <row r="11719" spans="2:2" x14ac:dyDescent="0.25">
      <c r="B11719" s="11"/>
    </row>
    <row r="11720" spans="2:2" x14ac:dyDescent="0.25">
      <c r="B11720" s="11"/>
    </row>
    <row r="11721" spans="2:2" x14ac:dyDescent="0.25">
      <c r="B11721" s="11"/>
    </row>
    <row r="11722" spans="2:2" x14ac:dyDescent="0.25">
      <c r="B11722" s="11"/>
    </row>
    <row r="11723" spans="2:2" x14ac:dyDescent="0.25">
      <c r="B11723" s="11"/>
    </row>
    <row r="11724" spans="2:2" x14ac:dyDescent="0.25">
      <c r="B11724" s="11"/>
    </row>
    <row r="11725" spans="2:2" x14ac:dyDescent="0.25">
      <c r="B11725" s="11"/>
    </row>
    <row r="11726" spans="2:2" x14ac:dyDescent="0.25">
      <c r="B11726" s="11"/>
    </row>
    <row r="11727" spans="2:2" x14ac:dyDescent="0.25">
      <c r="B11727" s="11"/>
    </row>
    <row r="11728" spans="2:2" x14ac:dyDescent="0.25">
      <c r="B11728" s="11"/>
    </row>
    <row r="11729" spans="2:2" x14ac:dyDescent="0.25">
      <c r="B11729" s="11"/>
    </row>
    <row r="11730" spans="2:2" x14ac:dyDescent="0.25">
      <c r="B11730" s="11"/>
    </row>
    <row r="11731" spans="2:2" x14ac:dyDescent="0.25">
      <c r="B11731" s="11"/>
    </row>
    <row r="11732" spans="2:2" x14ac:dyDescent="0.25">
      <c r="B11732" s="11"/>
    </row>
    <row r="11733" spans="2:2" x14ac:dyDescent="0.25">
      <c r="B11733" s="11"/>
    </row>
    <row r="11734" spans="2:2" x14ac:dyDescent="0.25">
      <c r="B11734" s="11"/>
    </row>
    <row r="11735" spans="2:2" x14ac:dyDescent="0.25">
      <c r="B11735" s="11"/>
    </row>
    <row r="11736" spans="2:2" x14ac:dyDescent="0.25">
      <c r="B11736" s="11"/>
    </row>
    <row r="11737" spans="2:2" x14ac:dyDescent="0.25">
      <c r="B11737" s="11"/>
    </row>
    <row r="11738" spans="2:2" x14ac:dyDescent="0.25">
      <c r="B11738" s="11"/>
    </row>
    <row r="11739" spans="2:2" x14ac:dyDescent="0.25">
      <c r="B11739" s="11"/>
    </row>
    <row r="11740" spans="2:2" x14ac:dyDescent="0.25">
      <c r="B11740" s="11"/>
    </row>
    <row r="11741" spans="2:2" x14ac:dyDescent="0.25">
      <c r="B11741" s="11"/>
    </row>
    <row r="11742" spans="2:2" x14ac:dyDescent="0.25">
      <c r="B11742" s="11"/>
    </row>
    <row r="11743" spans="2:2" x14ac:dyDescent="0.25">
      <c r="B11743" s="11"/>
    </row>
    <row r="11744" spans="2:2" x14ac:dyDescent="0.25">
      <c r="B11744" s="11"/>
    </row>
    <row r="11745" spans="2:2" x14ac:dyDescent="0.25">
      <c r="B11745" s="11"/>
    </row>
    <row r="11746" spans="2:2" x14ac:dyDescent="0.25">
      <c r="B11746" s="11"/>
    </row>
    <row r="11747" spans="2:2" x14ac:dyDescent="0.25">
      <c r="B11747" s="11"/>
    </row>
    <row r="11748" spans="2:2" x14ac:dyDescent="0.25">
      <c r="B11748" s="11"/>
    </row>
    <row r="11749" spans="2:2" x14ac:dyDescent="0.25">
      <c r="B11749" s="11"/>
    </row>
    <row r="11750" spans="2:2" x14ac:dyDescent="0.25">
      <c r="B11750" s="11"/>
    </row>
    <row r="11751" spans="2:2" x14ac:dyDescent="0.25">
      <c r="B11751" s="11"/>
    </row>
    <row r="11752" spans="2:2" x14ac:dyDescent="0.25">
      <c r="B11752" s="11"/>
    </row>
    <row r="11753" spans="2:2" x14ac:dyDescent="0.25">
      <c r="B11753" s="11"/>
    </row>
    <row r="11754" spans="2:2" x14ac:dyDescent="0.25">
      <c r="B11754" s="11"/>
    </row>
    <row r="11755" spans="2:2" x14ac:dyDescent="0.25">
      <c r="B11755" s="11"/>
    </row>
    <row r="11756" spans="2:2" x14ac:dyDescent="0.25">
      <c r="B11756" s="11"/>
    </row>
    <row r="11757" spans="2:2" x14ac:dyDescent="0.25">
      <c r="B11757" s="11"/>
    </row>
    <row r="11758" spans="2:2" x14ac:dyDescent="0.25">
      <c r="B11758" s="11"/>
    </row>
    <row r="11759" spans="2:2" x14ac:dyDescent="0.25">
      <c r="B11759" s="11"/>
    </row>
    <row r="11760" spans="2:2" x14ac:dyDescent="0.25">
      <c r="B11760" s="11"/>
    </row>
    <row r="11761" spans="2:2" x14ac:dyDescent="0.25">
      <c r="B11761" s="11"/>
    </row>
    <row r="11762" spans="2:2" x14ac:dyDescent="0.25">
      <c r="B11762" s="11"/>
    </row>
    <row r="11763" spans="2:2" x14ac:dyDescent="0.25">
      <c r="B11763" s="11"/>
    </row>
    <row r="11764" spans="2:2" x14ac:dyDescent="0.25">
      <c r="B11764" s="11"/>
    </row>
    <row r="11765" spans="2:2" x14ac:dyDescent="0.25">
      <c r="B11765" s="11"/>
    </row>
    <row r="11766" spans="2:2" x14ac:dyDescent="0.25">
      <c r="B11766" s="11"/>
    </row>
    <row r="11767" spans="2:2" x14ac:dyDescent="0.25">
      <c r="B11767" s="11"/>
    </row>
    <row r="11768" spans="2:2" x14ac:dyDescent="0.25">
      <c r="B11768" s="11"/>
    </row>
    <row r="11769" spans="2:2" x14ac:dyDescent="0.25">
      <c r="B11769" s="11"/>
    </row>
    <row r="11770" spans="2:2" x14ac:dyDescent="0.25">
      <c r="B11770" s="11"/>
    </row>
    <row r="11771" spans="2:2" x14ac:dyDescent="0.25">
      <c r="B11771" s="11"/>
    </row>
    <row r="11772" spans="2:2" x14ac:dyDescent="0.25">
      <c r="B11772" s="11"/>
    </row>
    <row r="11773" spans="2:2" x14ac:dyDescent="0.25">
      <c r="B11773" s="11"/>
    </row>
    <row r="11774" spans="2:2" x14ac:dyDescent="0.25">
      <c r="B11774" s="11"/>
    </row>
    <row r="11775" spans="2:2" x14ac:dyDescent="0.25">
      <c r="B11775" s="11"/>
    </row>
    <row r="11776" spans="2:2" x14ac:dyDescent="0.25">
      <c r="B11776" s="11"/>
    </row>
    <row r="11777" spans="2:2" x14ac:dyDescent="0.25">
      <c r="B11777" s="11"/>
    </row>
    <row r="11778" spans="2:2" x14ac:dyDescent="0.25">
      <c r="B11778" s="11"/>
    </row>
    <row r="11779" spans="2:2" x14ac:dyDescent="0.25">
      <c r="B11779" s="11"/>
    </row>
    <row r="11780" spans="2:2" x14ac:dyDescent="0.25">
      <c r="B11780" s="11"/>
    </row>
    <row r="11781" spans="2:2" x14ac:dyDescent="0.25">
      <c r="B11781" s="11"/>
    </row>
    <row r="11782" spans="2:2" x14ac:dyDescent="0.25">
      <c r="B11782" s="11"/>
    </row>
    <row r="11783" spans="2:2" x14ac:dyDescent="0.25">
      <c r="B11783" s="11"/>
    </row>
    <row r="11784" spans="2:2" x14ac:dyDescent="0.25">
      <c r="B11784" s="11"/>
    </row>
    <row r="11785" spans="2:2" x14ac:dyDescent="0.25">
      <c r="B11785" s="11"/>
    </row>
    <row r="11786" spans="2:2" x14ac:dyDescent="0.25">
      <c r="B11786" s="11"/>
    </row>
    <row r="11787" spans="2:2" x14ac:dyDescent="0.25">
      <c r="B11787" s="11"/>
    </row>
    <row r="11788" spans="2:2" x14ac:dyDescent="0.25">
      <c r="B11788" s="11"/>
    </row>
    <row r="11789" spans="2:2" x14ac:dyDescent="0.25">
      <c r="B11789" s="11"/>
    </row>
    <row r="11790" spans="2:2" x14ac:dyDescent="0.25">
      <c r="B11790" s="11"/>
    </row>
    <row r="11791" spans="2:2" x14ac:dyDescent="0.25">
      <c r="B11791" s="11"/>
    </row>
    <row r="11792" spans="2:2" x14ac:dyDescent="0.25">
      <c r="B11792" s="11"/>
    </row>
    <row r="11793" spans="2:2" x14ac:dyDescent="0.25">
      <c r="B11793" s="11"/>
    </row>
    <row r="11794" spans="2:2" x14ac:dyDescent="0.25">
      <c r="B11794" s="11"/>
    </row>
    <row r="11795" spans="2:2" x14ac:dyDescent="0.25">
      <c r="B11795" s="11"/>
    </row>
    <row r="11796" spans="2:2" x14ac:dyDescent="0.25">
      <c r="B11796" s="11"/>
    </row>
    <row r="11797" spans="2:2" x14ac:dyDescent="0.25">
      <c r="B11797" s="11"/>
    </row>
    <row r="11798" spans="2:2" x14ac:dyDescent="0.25">
      <c r="B11798" s="11"/>
    </row>
    <row r="11799" spans="2:2" x14ac:dyDescent="0.25">
      <c r="B11799" s="11"/>
    </row>
    <row r="11800" spans="2:2" x14ac:dyDescent="0.25">
      <c r="B11800" s="11"/>
    </row>
    <row r="11801" spans="2:2" x14ac:dyDescent="0.25">
      <c r="B11801" s="11"/>
    </row>
    <row r="11802" spans="2:2" x14ac:dyDescent="0.25">
      <c r="B11802" s="11"/>
    </row>
    <row r="11803" spans="2:2" x14ac:dyDescent="0.25">
      <c r="B11803" s="11"/>
    </row>
    <row r="11804" spans="2:2" x14ac:dyDescent="0.25">
      <c r="B11804" s="11"/>
    </row>
    <row r="11805" spans="2:2" x14ac:dyDescent="0.25">
      <c r="B11805" s="11"/>
    </row>
    <row r="11806" spans="2:2" x14ac:dyDescent="0.25">
      <c r="B11806" s="11"/>
    </row>
    <row r="11807" spans="2:2" x14ac:dyDescent="0.25">
      <c r="B11807" s="11"/>
    </row>
    <row r="11808" spans="2:2" x14ac:dyDescent="0.25">
      <c r="B11808" s="11"/>
    </row>
    <row r="11809" spans="2:2" x14ac:dyDescent="0.25">
      <c r="B11809" s="11"/>
    </row>
    <row r="11810" spans="2:2" x14ac:dyDescent="0.25">
      <c r="B11810" s="11"/>
    </row>
    <row r="11811" spans="2:2" x14ac:dyDescent="0.25">
      <c r="B11811" s="11"/>
    </row>
    <row r="11812" spans="2:2" x14ac:dyDescent="0.25">
      <c r="B11812" s="11"/>
    </row>
    <row r="11813" spans="2:2" x14ac:dyDescent="0.25">
      <c r="B11813" s="11"/>
    </row>
    <row r="11814" spans="2:2" x14ac:dyDescent="0.25">
      <c r="B11814" s="11"/>
    </row>
    <row r="11815" spans="2:2" x14ac:dyDescent="0.25">
      <c r="B11815" s="11"/>
    </row>
    <row r="11816" spans="2:2" x14ac:dyDescent="0.25">
      <c r="B11816" s="11"/>
    </row>
    <row r="11817" spans="2:2" x14ac:dyDescent="0.25">
      <c r="B11817" s="11"/>
    </row>
    <row r="11818" spans="2:2" x14ac:dyDescent="0.25">
      <c r="B11818" s="11"/>
    </row>
    <row r="11819" spans="2:2" x14ac:dyDescent="0.25">
      <c r="B11819" s="11"/>
    </row>
    <row r="11820" spans="2:2" x14ac:dyDescent="0.25">
      <c r="B11820" s="11"/>
    </row>
    <row r="11821" spans="2:2" x14ac:dyDescent="0.25">
      <c r="B11821" s="11"/>
    </row>
    <row r="11822" spans="2:2" x14ac:dyDescent="0.25">
      <c r="B11822" s="11"/>
    </row>
    <row r="11823" spans="2:2" x14ac:dyDescent="0.25">
      <c r="B11823" s="11"/>
    </row>
    <row r="11824" spans="2:2" x14ac:dyDescent="0.25">
      <c r="B11824" s="11"/>
    </row>
    <row r="11825" spans="2:2" x14ac:dyDescent="0.25">
      <c r="B11825" s="11"/>
    </row>
    <row r="11826" spans="2:2" x14ac:dyDescent="0.25">
      <c r="B11826" s="11"/>
    </row>
    <row r="11827" spans="2:2" x14ac:dyDescent="0.25">
      <c r="B11827" s="11"/>
    </row>
    <row r="11828" spans="2:2" x14ac:dyDescent="0.25">
      <c r="B11828" s="11"/>
    </row>
    <row r="11829" spans="2:2" x14ac:dyDescent="0.25">
      <c r="B11829" s="11"/>
    </row>
    <row r="11830" spans="2:2" x14ac:dyDescent="0.25">
      <c r="B11830" s="11"/>
    </row>
    <row r="11831" spans="2:2" x14ac:dyDescent="0.25">
      <c r="B11831" s="11"/>
    </row>
    <row r="11832" spans="2:2" x14ac:dyDescent="0.25">
      <c r="B11832" s="11"/>
    </row>
    <row r="11833" spans="2:2" x14ac:dyDescent="0.25">
      <c r="B11833" s="11"/>
    </row>
    <row r="11834" spans="2:2" x14ac:dyDescent="0.25">
      <c r="B11834" s="11"/>
    </row>
    <row r="11835" spans="2:2" x14ac:dyDescent="0.25">
      <c r="B11835" s="11"/>
    </row>
    <row r="11836" spans="2:2" x14ac:dyDescent="0.25">
      <c r="B11836" s="11"/>
    </row>
    <row r="11837" spans="2:2" x14ac:dyDescent="0.25">
      <c r="B11837" s="11"/>
    </row>
    <row r="11838" spans="2:2" x14ac:dyDescent="0.25">
      <c r="B11838" s="11"/>
    </row>
    <row r="11839" spans="2:2" x14ac:dyDescent="0.25">
      <c r="B11839" s="11"/>
    </row>
    <row r="11840" spans="2:2" x14ac:dyDescent="0.25">
      <c r="B11840" s="11"/>
    </row>
    <row r="11841" spans="2:2" x14ac:dyDescent="0.25">
      <c r="B11841" s="11"/>
    </row>
    <row r="11842" spans="2:2" x14ac:dyDescent="0.25">
      <c r="B11842" s="11"/>
    </row>
    <row r="11843" spans="2:2" x14ac:dyDescent="0.25">
      <c r="B11843" s="11"/>
    </row>
    <row r="11844" spans="2:2" x14ac:dyDescent="0.25">
      <c r="B11844" s="11"/>
    </row>
    <row r="11845" spans="2:2" x14ac:dyDescent="0.25">
      <c r="B11845" s="11"/>
    </row>
    <row r="11846" spans="2:2" x14ac:dyDescent="0.25">
      <c r="B11846" s="11"/>
    </row>
    <row r="11847" spans="2:2" x14ac:dyDescent="0.25">
      <c r="B11847" s="11"/>
    </row>
    <row r="11848" spans="2:2" x14ac:dyDescent="0.25">
      <c r="B11848" s="11"/>
    </row>
    <row r="11849" spans="2:2" x14ac:dyDescent="0.25">
      <c r="B11849" s="11"/>
    </row>
    <row r="11850" spans="2:2" x14ac:dyDescent="0.25">
      <c r="B11850" s="11"/>
    </row>
    <row r="11851" spans="2:2" x14ac:dyDescent="0.25">
      <c r="B11851" s="11"/>
    </row>
    <row r="11852" spans="2:2" x14ac:dyDescent="0.25">
      <c r="B11852" s="11"/>
    </row>
    <row r="11853" spans="2:2" x14ac:dyDescent="0.25">
      <c r="B11853" s="11"/>
    </row>
    <row r="11854" spans="2:2" x14ac:dyDescent="0.25">
      <c r="B11854" s="11"/>
    </row>
    <row r="11855" spans="2:2" x14ac:dyDescent="0.25">
      <c r="B11855" s="11"/>
    </row>
    <row r="11856" spans="2:2" x14ac:dyDescent="0.25">
      <c r="B11856" s="11"/>
    </row>
    <row r="11857" spans="2:2" x14ac:dyDescent="0.25">
      <c r="B11857" s="11"/>
    </row>
    <row r="11858" spans="2:2" x14ac:dyDescent="0.25">
      <c r="B11858" s="11"/>
    </row>
    <row r="11859" spans="2:2" x14ac:dyDescent="0.25">
      <c r="B11859" s="11"/>
    </row>
    <row r="11860" spans="2:2" x14ac:dyDescent="0.25">
      <c r="B11860" s="11"/>
    </row>
    <row r="11861" spans="2:2" x14ac:dyDescent="0.25">
      <c r="B11861" s="11"/>
    </row>
    <row r="11862" spans="2:2" x14ac:dyDescent="0.25">
      <c r="B11862" s="11"/>
    </row>
    <row r="11863" spans="2:2" x14ac:dyDescent="0.25">
      <c r="B11863" s="11"/>
    </row>
    <row r="11864" spans="2:2" x14ac:dyDescent="0.25">
      <c r="B11864" s="11"/>
    </row>
    <row r="11865" spans="2:2" x14ac:dyDescent="0.25">
      <c r="B11865" s="11"/>
    </row>
    <row r="11866" spans="2:2" x14ac:dyDescent="0.25">
      <c r="B11866" s="11"/>
    </row>
    <row r="11867" spans="2:2" x14ac:dyDescent="0.25">
      <c r="B11867" s="11"/>
    </row>
    <row r="11868" spans="2:2" x14ac:dyDescent="0.25">
      <c r="B11868" s="11"/>
    </row>
    <row r="11869" spans="2:2" x14ac:dyDescent="0.25">
      <c r="B11869" s="11"/>
    </row>
    <row r="11870" spans="2:2" x14ac:dyDescent="0.25">
      <c r="B11870" s="11"/>
    </row>
    <row r="11871" spans="2:2" x14ac:dyDescent="0.25">
      <c r="B11871" s="11"/>
    </row>
    <row r="11872" spans="2:2" x14ac:dyDescent="0.25">
      <c r="B11872" s="11"/>
    </row>
    <row r="11873" spans="2:2" x14ac:dyDescent="0.25">
      <c r="B11873" s="11"/>
    </row>
    <row r="11874" spans="2:2" x14ac:dyDescent="0.25">
      <c r="B11874" s="11"/>
    </row>
    <row r="11875" spans="2:2" x14ac:dyDescent="0.25">
      <c r="B11875" s="11"/>
    </row>
    <row r="11876" spans="2:2" x14ac:dyDescent="0.25">
      <c r="B11876" s="11"/>
    </row>
    <row r="11877" spans="2:2" x14ac:dyDescent="0.25">
      <c r="B11877" s="11"/>
    </row>
    <row r="11878" spans="2:2" x14ac:dyDescent="0.25">
      <c r="B11878" s="11"/>
    </row>
    <row r="11879" spans="2:2" x14ac:dyDescent="0.25">
      <c r="B11879" s="11"/>
    </row>
    <row r="11880" spans="2:2" x14ac:dyDescent="0.25">
      <c r="B11880" s="11"/>
    </row>
    <row r="11881" spans="2:2" x14ac:dyDescent="0.25">
      <c r="B11881" s="11"/>
    </row>
    <row r="11882" spans="2:2" x14ac:dyDescent="0.25">
      <c r="B11882" s="11"/>
    </row>
    <row r="11883" spans="2:2" x14ac:dyDescent="0.25">
      <c r="B11883" s="11"/>
    </row>
    <row r="11884" spans="2:2" x14ac:dyDescent="0.25">
      <c r="B11884" s="11"/>
    </row>
    <row r="11885" spans="2:2" x14ac:dyDescent="0.25">
      <c r="B11885" s="11"/>
    </row>
    <row r="11886" spans="2:2" x14ac:dyDescent="0.25">
      <c r="B11886" s="11"/>
    </row>
    <row r="11887" spans="2:2" x14ac:dyDescent="0.25">
      <c r="B11887" s="11"/>
    </row>
    <row r="11888" spans="2:2" x14ac:dyDescent="0.25">
      <c r="B11888" s="11"/>
    </row>
    <row r="11889" spans="2:2" x14ac:dyDescent="0.25">
      <c r="B11889" s="11"/>
    </row>
    <row r="11890" spans="2:2" x14ac:dyDescent="0.25">
      <c r="B11890" s="11"/>
    </row>
    <row r="11891" spans="2:2" x14ac:dyDescent="0.25">
      <c r="B11891" s="11"/>
    </row>
    <row r="11892" spans="2:2" x14ac:dyDescent="0.25">
      <c r="B11892" s="11"/>
    </row>
    <row r="11893" spans="2:2" x14ac:dyDescent="0.25">
      <c r="B11893" s="11"/>
    </row>
    <row r="11894" spans="2:2" x14ac:dyDescent="0.25">
      <c r="B11894" s="11"/>
    </row>
    <row r="11895" spans="2:2" x14ac:dyDescent="0.25">
      <c r="B11895" s="11"/>
    </row>
    <row r="11896" spans="2:2" x14ac:dyDescent="0.25">
      <c r="B11896" s="11"/>
    </row>
    <row r="11897" spans="2:2" x14ac:dyDescent="0.25">
      <c r="B11897" s="11"/>
    </row>
    <row r="11898" spans="2:2" x14ac:dyDescent="0.25">
      <c r="B11898" s="11"/>
    </row>
    <row r="11899" spans="2:2" x14ac:dyDescent="0.25">
      <c r="B11899" s="11"/>
    </row>
    <row r="11900" spans="2:2" x14ac:dyDescent="0.25">
      <c r="B11900" s="11"/>
    </row>
    <row r="11901" spans="2:2" x14ac:dyDescent="0.25">
      <c r="B11901" s="11"/>
    </row>
    <row r="11902" spans="2:2" x14ac:dyDescent="0.25">
      <c r="B11902" s="11"/>
    </row>
    <row r="11903" spans="2:2" x14ac:dyDescent="0.25">
      <c r="B11903" s="11"/>
    </row>
    <row r="11904" spans="2:2" x14ac:dyDescent="0.25">
      <c r="B11904" s="11"/>
    </row>
    <row r="11905" spans="2:2" x14ac:dyDescent="0.25">
      <c r="B11905" s="11"/>
    </row>
    <row r="11906" spans="2:2" x14ac:dyDescent="0.25">
      <c r="B11906" s="11"/>
    </row>
    <row r="11907" spans="2:2" x14ac:dyDescent="0.25">
      <c r="B11907" s="11"/>
    </row>
    <row r="11908" spans="2:2" x14ac:dyDescent="0.25">
      <c r="B11908" s="11"/>
    </row>
    <row r="11909" spans="2:2" x14ac:dyDescent="0.25">
      <c r="B11909" s="11"/>
    </row>
    <row r="11910" spans="2:2" x14ac:dyDescent="0.25">
      <c r="B11910" s="11"/>
    </row>
    <row r="11911" spans="2:2" x14ac:dyDescent="0.25">
      <c r="B11911" s="11"/>
    </row>
    <row r="11912" spans="2:2" x14ac:dyDescent="0.25">
      <c r="B11912" s="11"/>
    </row>
    <row r="11913" spans="2:2" x14ac:dyDescent="0.25">
      <c r="B11913" s="11"/>
    </row>
    <row r="11914" spans="2:2" x14ac:dyDescent="0.25">
      <c r="B11914" s="11"/>
    </row>
    <row r="11915" spans="2:2" x14ac:dyDescent="0.25">
      <c r="B11915" s="11"/>
    </row>
    <row r="11916" spans="2:2" x14ac:dyDescent="0.25">
      <c r="B11916" s="11"/>
    </row>
    <row r="11917" spans="2:2" x14ac:dyDescent="0.25">
      <c r="B11917" s="11"/>
    </row>
    <row r="11918" spans="2:2" x14ac:dyDescent="0.25">
      <c r="B11918" s="11"/>
    </row>
    <row r="11919" spans="2:2" x14ac:dyDescent="0.25">
      <c r="B11919" s="11"/>
    </row>
    <row r="11920" spans="2:2" x14ac:dyDescent="0.25">
      <c r="B11920" s="11"/>
    </row>
    <row r="11921" spans="2:2" x14ac:dyDescent="0.25">
      <c r="B11921" s="11"/>
    </row>
    <row r="11922" spans="2:2" x14ac:dyDescent="0.25">
      <c r="B11922" s="11"/>
    </row>
    <row r="11923" spans="2:2" x14ac:dyDescent="0.25">
      <c r="B11923" s="11"/>
    </row>
    <row r="11924" spans="2:2" x14ac:dyDescent="0.25">
      <c r="B11924" s="11"/>
    </row>
    <row r="11925" spans="2:2" x14ac:dyDescent="0.25">
      <c r="B11925" s="11"/>
    </row>
    <row r="11926" spans="2:2" x14ac:dyDescent="0.25">
      <c r="B11926" s="11"/>
    </row>
    <row r="11927" spans="2:2" x14ac:dyDescent="0.25">
      <c r="B11927" s="11"/>
    </row>
    <row r="11928" spans="2:2" x14ac:dyDescent="0.25">
      <c r="B11928" s="11"/>
    </row>
    <row r="11929" spans="2:2" x14ac:dyDescent="0.25">
      <c r="B11929" s="11"/>
    </row>
    <row r="11930" spans="2:2" x14ac:dyDescent="0.25">
      <c r="B11930" s="11"/>
    </row>
    <row r="11931" spans="2:2" x14ac:dyDescent="0.25">
      <c r="B11931" s="11"/>
    </row>
    <row r="11932" spans="2:2" x14ac:dyDescent="0.25">
      <c r="B11932" s="11"/>
    </row>
    <row r="11933" spans="2:2" x14ac:dyDescent="0.25">
      <c r="B11933" s="11"/>
    </row>
    <row r="11934" spans="2:2" x14ac:dyDescent="0.25">
      <c r="B11934" s="11"/>
    </row>
    <row r="11935" spans="2:2" x14ac:dyDescent="0.25">
      <c r="B11935" s="11"/>
    </row>
    <row r="11936" spans="2:2" x14ac:dyDescent="0.25">
      <c r="B11936" s="11"/>
    </row>
    <row r="11937" spans="2:2" x14ac:dyDescent="0.25">
      <c r="B11937" s="11"/>
    </row>
    <row r="11938" spans="2:2" x14ac:dyDescent="0.25">
      <c r="B11938" s="11"/>
    </row>
    <row r="11939" spans="2:2" x14ac:dyDescent="0.25">
      <c r="B11939" s="11"/>
    </row>
    <row r="11940" spans="2:2" x14ac:dyDescent="0.25">
      <c r="B11940" s="11"/>
    </row>
    <row r="11941" spans="2:2" x14ac:dyDescent="0.25">
      <c r="B11941" s="11"/>
    </row>
    <row r="11942" spans="2:2" x14ac:dyDescent="0.25">
      <c r="B11942" s="11"/>
    </row>
    <row r="11943" spans="2:2" x14ac:dyDescent="0.25">
      <c r="B11943" s="11"/>
    </row>
    <row r="11944" spans="2:2" x14ac:dyDescent="0.25">
      <c r="B11944" s="11"/>
    </row>
    <row r="11945" spans="2:2" x14ac:dyDescent="0.25">
      <c r="B11945" s="11"/>
    </row>
    <row r="11946" spans="2:2" x14ac:dyDescent="0.25">
      <c r="B11946" s="11"/>
    </row>
    <row r="11947" spans="2:2" x14ac:dyDescent="0.25">
      <c r="B11947" s="11"/>
    </row>
    <row r="11948" spans="2:2" x14ac:dyDescent="0.25">
      <c r="B11948" s="11"/>
    </row>
    <row r="11949" spans="2:2" x14ac:dyDescent="0.25">
      <c r="B11949" s="11"/>
    </row>
    <row r="11950" spans="2:2" x14ac:dyDescent="0.25">
      <c r="B11950" s="11"/>
    </row>
    <row r="11951" spans="2:2" x14ac:dyDescent="0.25">
      <c r="B11951" s="11"/>
    </row>
    <row r="11952" spans="2:2" x14ac:dyDescent="0.25">
      <c r="B11952" s="11"/>
    </row>
    <row r="11953" spans="2:2" x14ac:dyDescent="0.25">
      <c r="B11953" s="11"/>
    </row>
    <row r="11954" spans="2:2" x14ac:dyDescent="0.25">
      <c r="B11954" s="11"/>
    </row>
    <row r="11955" spans="2:2" x14ac:dyDescent="0.25">
      <c r="B11955" s="11"/>
    </row>
    <row r="11956" spans="2:2" x14ac:dyDescent="0.25">
      <c r="B11956" s="11"/>
    </row>
    <row r="11957" spans="2:2" x14ac:dyDescent="0.25">
      <c r="B11957" s="11"/>
    </row>
    <row r="11958" spans="2:2" x14ac:dyDescent="0.25">
      <c r="B11958" s="11"/>
    </row>
    <row r="11959" spans="2:2" x14ac:dyDescent="0.25">
      <c r="B11959" s="11"/>
    </row>
    <row r="11960" spans="2:2" x14ac:dyDescent="0.25">
      <c r="B11960" s="11"/>
    </row>
    <row r="11961" spans="2:2" x14ac:dyDescent="0.25">
      <c r="B11961" s="11"/>
    </row>
    <row r="11962" spans="2:2" x14ac:dyDescent="0.25">
      <c r="B11962" s="11"/>
    </row>
    <row r="11963" spans="2:2" x14ac:dyDescent="0.25">
      <c r="B11963" s="11"/>
    </row>
    <row r="11964" spans="2:2" x14ac:dyDescent="0.25">
      <c r="B11964" s="11"/>
    </row>
    <row r="11965" spans="2:2" x14ac:dyDescent="0.25">
      <c r="B11965" s="11"/>
    </row>
    <row r="11966" spans="2:2" x14ac:dyDescent="0.25">
      <c r="B11966" s="11"/>
    </row>
    <row r="11967" spans="2:2" x14ac:dyDescent="0.25">
      <c r="B11967" s="11"/>
    </row>
    <row r="11968" spans="2:2" x14ac:dyDescent="0.25">
      <c r="B11968" s="11"/>
    </row>
    <row r="11969" spans="2:2" x14ac:dyDescent="0.25">
      <c r="B11969" s="11"/>
    </row>
    <row r="11970" spans="2:2" x14ac:dyDescent="0.25">
      <c r="B11970" s="11"/>
    </row>
    <row r="11971" spans="2:2" x14ac:dyDescent="0.25">
      <c r="B11971" s="11"/>
    </row>
    <row r="11972" spans="2:2" x14ac:dyDescent="0.25">
      <c r="B11972" s="11"/>
    </row>
    <row r="11973" spans="2:2" x14ac:dyDescent="0.25">
      <c r="B11973" s="11"/>
    </row>
    <row r="11974" spans="2:2" x14ac:dyDescent="0.25">
      <c r="B11974" s="11"/>
    </row>
    <row r="11975" spans="2:2" x14ac:dyDescent="0.25">
      <c r="B11975" s="11"/>
    </row>
    <row r="11976" spans="2:2" x14ac:dyDescent="0.25">
      <c r="B11976" s="11"/>
    </row>
    <row r="11977" spans="2:2" x14ac:dyDescent="0.25">
      <c r="B11977" s="11"/>
    </row>
    <row r="11978" spans="2:2" x14ac:dyDescent="0.25">
      <c r="B11978" s="11"/>
    </row>
    <row r="11979" spans="2:2" x14ac:dyDescent="0.25">
      <c r="B11979" s="11"/>
    </row>
    <row r="11980" spans="2:2" x14ac:dyDescent="0.25">
      <c r="B11980" s="11"/>
    </row>
    <row r="11981" spans="2:2" x14ac:dyDescent="0.25">
      <c r="B11981" s="11"/>
    </row>
    <row r="11982" spans="2:2" x14ac:dyDescent="0.25">
      <c r="B11982" s="11"/>
    </row>
    <row r="11983" spans="2:2" x14ac:dyDescent="0.25">
      <c r="B11983" s="11"/>
    </row>
    <row r="11984" spans="2:2" x14ac:dyDescent="0.25">
      <c r="B11984" s="11"/>
    </row>
    <row r="11985" spans="2:2" x14ac:dyDescent="0.25">
      <c r="B11985" s="11"/>
    </row>
    <row r="11986" spans="2:2" x14ac:dyDescent="0.25">
      <c r="B11986" s="11"/>
    </row>
    <row r="11987" spans="2:2" x14ac:dyDescent="0.25">
      <c r="B11987" s="11"/>
    </row>
    <row r="11988" spans="2:2" x14ac:dyDescent="0.25">
      <c r="B11988" s="11"/>
    </row>
    <row r="11989" spans="2:2" x14ac:dyDescent="0.25">
      <c r="B11989" s="11"/>
    </row>
    <row r="11990" spans="2:2" x14ac:dyDescent="0.25">
      <c r="B11990" s="11"/>
    </row>
    <row r="11991" spans="2:2" x14ac:dyDescent="0.25">
      <c r="B11991" s="11"/>
    </row>
    <row r="11992" spans="2:2" x14ac:dyDescent="0.25">
      <c r="B11992" s="11"/>
    </row>
    <row r="11993" spans="2:2" x14ac:dyDescent="0.25">
      <c r="B11993" s="11"/>
    </row>
    <row r="11994" spans="2:2" x14ac:dyDescent="0.25">
      <c r="B11994" s="11"/>
    </row>
    <row r="11995" spans="2:2" x14ac:dyDescent="0.25">
      <c r="B11995" s="11"/>
    </row>
    <row r="11996" spans="2:2" x14ac:dyDescent="0.25">
      <c r="B11996" s="11"/>
    </row>
    <row r="11997" spans="2:2" x14ac:dyDescent="0.25">
      <c r="B11997" s="11"/>
    </row>
    <row r="11998" spans="2:2" x14ac:dyDescent="0.25">
      <c r="B11998" s="11"/>
    </row>
    <row r="11999" spans="2:2" x14ac:dyDescent="0.25">
      <c r="B11999" s="11"/>
    </row>
    <row r="12000" spans="2:2" x14ac:dyDescent="0.25">
      <c r="B12000" s="11"/>
    </row>
    <row r="12001" spans="2:2" x14ac:dyDescent="0.25">
      <c r="B12001" s="11"/>
    </row>
    <row r="12002" spans="2:2" x14ac:dyDescent="0.25">
      <c r="B12002" s="11"/>
    </row>
    <row r="12003" spans="2:2" x14ac:dyDescent="0.25">
      <c r="B12003" s="11"/>
    </row>
    <row r="12004" spans="2:2" x14ac:dyDescent="0.25">
      <c r="B12004" s="11"/>
    </row>
    <row r="12005" spans="2:2" x14ac:dyDescent="0.25">
      <c r="B12005" s="11"/>
    </row>
    <row r="12006" spans="2:2" x14ac:dyDescent="0.25">
      <c r="B12006" s="11"/>
    </row>
    <row r="12007" spans="2:2" x14ac:dyDescent="0.25">
      <c r="B12007" s="11"/>
    </row>
    <row r="12008" spans="2:2" x14ac:dyDescent="0.25">
      <c r="B12008" s="11"/>
    </row>
    <row r="12009" spans="2:2" x14ac:dyDescent="0.25">
      <c r="B12009" s="11"/>
    </row>
    <row r="12010" spans="2:2" x14ac:dyDescent="0.25">
      <c r="B12010" s="11"/>
    </row>
    <row r="12011" spans="2:2" x14ac:dyDescent="0.25">
      <c r="B12011" s="11"/>
    </row>
    <row r="12012" spans="2:2" x14ac:dyDescent="0.25">
      <c r="B12012" s="11"/>
    </row>
    <row r="12013" spans="2:2" x14ac:dyDescent="0.25">
      <c r="B12013" s="11"/>
    </row>
    <row r="12014" spans="2:2" x14ac:dyDescent="0.25">
      <c r="B12014" s="11"/>
    </row>
    <row r="12015" spans="2:2" x14ac:dyDescent="0.25">
      <c r="B12015" s="11"/>
    </row>
    <row r="12016" spans="2:2" x14ac:dyDescent="0.25">
      <c r="B12016" s="11"/>
    </row>
    <row r="12017" spans="2:2" x14ac:dyDescent="0.25">
      <c r="B12017" s="11"/>
    </row>
    <row r="12018" spans="2:2" x14ac:dyDescent="0.25">
      <c r="B12018" s="11"/>
    </row>
    <row r="12019" spans="2:2" x14ac:dyDescent="0.25">
      <c r="B12019" s="11"/>
    </row>
    <row r="12020" spans="2:2" x14ac:dyDescent="0.25">
      <c r="B12020" s="11"/>
    </row>
    <row r="12021" spans="2:2" x14ac:dyDescent="0.25">
      <c r="B12021" s="11"/>
    </row>
    <row r="12022" spans="2:2" x14ac:dyDescent="0.25">
      <c r="B12022" s="11"/>
    </row>
    <row r="12023" spans="2:2" x14ac:dyDescent="0.25">
      <c r="B12023" s="11"/>
    </row>
    <row r="12024" spans="2:2" x14ac:dyDescent="0.25">
      <c r="B12024" s="11"/>
    </row>
    <row r="12025" spans="2:2" x14ac:dyDescent="0.25">
      <c r="B12025" s="11"/>
    </row>
    <row r="12026" spans="2:2" x14ac:dyDescent="0.25">
      <c r="B12026" s="11"/>
    </row>
    <row r="12027" spans="2:2" x14ac:dyDescent="0.25">
      <c r="B12027" s="11"/>
    </row>
    <row r="12028" spans="2:2" x14ac:dyDescent="0.25">
      <c r="B12028" s="11"/>
    </row>
    <row r="12029" spans="2:2" x14ac:dyDescent="0.25">
      <c r="B12029" s="11"/>
    </row>
    <row r="12030" spans="2:2" x14ac:dyDescent="0.25">
      <c r="B12030" s="11"/>
    </row>
    <row r="12031" spans="2:2" x14ac:dyDescent="0.25">
      <c r="B12031" s="11"/>
    </row>
    <row r="12032" spans="2:2" x14ac:dyDescent="0.25">
      <c r="B12032" s="11"/>
    </row>
    <row r="12033" spans="2:2" x14ac:dyDescent="0.25">
      <c r="B12033" s="11"/>
    </row>
    <row r="12034" spans="2:2" x14ac:dyDescent="0.25">
      <c r="B12034" s="11"/>
    </row>
    <row r="12035" spans="2:2" x14ac:dyDescent="0.25">
      <c r="B12035" s="11"/>
    </row>
    <row r="12036" spans="2:2" x14ac:dyDescent="0.25">
      <c r="B12036" s="11"/>
    </row>
    <row r="12037" spans="2:2" x14ac:dyDescent="0.25">
      <c r="B12037" s="11"/>
    </row>
    <row r="12038" spans="2:2" x14ac:dyDescent="0.25">
      <c r="B12038" s="11"/>
    </row>
    <row r="12039" spans="2:2" x14ac:dyDescent="0.25">
      <c r="B12039" s="11"/>
    </row>
    <row r="12040" spans="2:2" x14ac:dyDescent="0.25">
      <c r="B12040" s="11"/>
    </row>
    <row r="12041" spans="2:2" x14ac:dyDescent="0.25">
      <c r="B12041" s="11"/>
    </row>
    <row r="12042" spans="2:2" x14ac:dyDescent="0.25">
      <c r="B12042" s="11"/>
    </row>
    <row r="12043" spans="2:2" x14ac:dyDescent="0.25">
      <c r="B12043" s="11"/>
    </row>
    <row r="12044" spans="2:2" x14ac:dyDescent="0.25">
      <c r="B12044" s="11"/>
    </row>
    <row r="12045" spans="2:2" x14ac:dyDescent="0.25">
      <c r="B12045" s="11"/>
    </row>
    <row r="12046" spans="2:2" x14ac:dyDescent="0.25">
      <c r="B12046" s="11"/>
    </row>
    <row r="12047" spans="2:2" x14ac:dyDescent="0.25">
      <c r="B12047" s="11"/>
    </row>
    <row r="12048" spans="2:2" x14ac:dyDescent="0.25">
      <c r="B12048" s="11"/>
    </row>
    <row r="12049" spans="2:2" x14ac:dyDescent="0.25">
      <c r="B12049" s="11"/>
    </row>
    <row r="12050" spans="2:2" x14ac:dyDescent="0.25">
      <c r="B12050" s="11"/>
    </row>
    <row r="12051" spans="2:2" x14ac:dyDescent="0.25">
      <c r="B12051" s="11"/>
    </row>
    <row r="12052" spans="2:2" x14ac:dyDescent="0.25">
      <c r="B12052" s="11"/>
    </row>
    <row r="12053" spans="2:2" x14ac:dyDescent="0.25">
      <c r="B12053" s="11"/>
    </row>
    <row r="12054" spans="2:2" x14ac:dyDescent="0.25">
      <c r="B12054" s="11"/>
    </row>
    <row r="12055" spans="2:2" x14ac:dyDescent="0.25">
      <c r="B12055" s="11"/>
    </row>
    <row r="12056" spans="2:2" x14ac:dyDescent="0.25">
      <c r="B12056" s="11"/>
    </row>
    <row r="12057" spans="2:2" x14ac:dyDescent="0.25">
      <c r="B12057" s="11"/>
    </row>
    <row r="12058" spans="2:2" x14ac:dyDescent="0.25">
      <c r="B12058" s="11"/>
    </row>
    <row r="12059" spans="2:2" x14ac:dyDescent="0.25">
      <c r="B12059" s="11"/>
    </row>
    <row r="12060" spans="2:2" x14ac:dyDescent="0.25">
      <c r="B12060" s="11"/>
    </row>
    <row r="12061" spans="2:2" x14ac:dyDescent="0.25">
      <c r="B12061" s="11"/>
    </row>
    <row r="12062" spans="2:2" x14ac:dyDescent="0.25">
      <c r="B12062" s="11"/>
    </row>
    <row r="12063" spans="2:2" x14ac:dyDescent="0.25">
      <c r="B12063" s="11"/>
    </row>
    <row r="12064" spans="2:2" x14ac:dyDescent="0.25">
      <c r="B12064" s="11"/>
    </row>
    <row r="12065" spans="2:2" x14ac:dyDescent="0.25">
      <c r="B12065" s="11"/>
    </row>
    <row r="12066" spans="2:2" x14ac:dyDescent="0.25">
      <c r="B12066" s="11"/>
    </row>
    <row r="12067" spans="2:2" x14ac:dyDescent="0.25">
      <c r="B12067" s="11"/>
    </row>
    <row r="12068" spans="2:2" x14ac:dyDescent="0.25">
      <c r="B12068" s="11"/>
    </row>
    <row r="12069" spans="2:2" x14ac:dyDescent="0.25">
      <c r="B12069" s="11"/>
    </row>
    <row r="12070" spans="2:2" x14ac:dyDescent="0.25">
      <c r="B12070" s="11"/>
    </row>
    <row r="12071" spans="2:2" x14ac:dyDescent="0.25">
      <c r="B12071" s="11"/>
    </row>
    <row r="12072" spans="2:2" x14ac:dyDescent="0.25">
      <c r="B12072" s="11"/>
    </row>
    <row r="12073" spans="2:2" x14ac:dyDescent="0.25">
      <c r="B12073" s="11"/>
    </row>
    <row r="12074" spans="2:2" x14ac:dyDescent="0.25">
      <c r="B12074" s="11"/>
    </row>
    <row r="12075" spans="2:2" x14ac:dyDescent="0.25">
      <c r="B12075" s="11"/>
    </row>
    <row r="12076" spans="2:2" x14ac:dyDescent="0.25">
      <c r="B12076" s="11"/>
    </row>
    <row r="12077" spans="2:2" x14ac:dyDescent="0.25">
      <c r="B12077" s="11"/>
    </row>
    <row r="12078" spans="2:2" x14ac:dyDescent="0.25">
      <c r="B12078" s="11"/>
    </row>
    <row r="12079" spans="2:2" x14ac:dyDescent="0.25">
      <c r="B12079" s="11"/>
    </row>
    <row r="12080" spans="2:2" x14ac:dyDescent="0.25">
      <c r="B12080" s="11"/>
    </row>
    <row r="12081" spans="2:2" x14ac:dyDescent="0.25">
      <c r="B12081" s="11"/>
    </row>
    <row r="12082" spans="2:2" x14ac:dyDescent="0.25">
      <c r="B12082" s="11"/>
    </row>
    <row r="12083" spans="2:2" x14ac:dyDescent="0.25">
      <c r="B12083" s="11"/>
    </row>
    <row r="12084" spans="2:2" x14ac:dyDescent="0.25">
      <c r="B12084" s="11"/>
    </row>
    <row r="12085" spans="2:2" x14ac:dyDescent="0.25">
      <c r="B12085" s="11"/>
    </row>
    <row r="12086" spans="2:2" x14ac:dyDescent="0.25">
      <c r="B12086" s="11"/>
    </row>
    <row r="12087" spans="2:2" x14ac:dyDescent="0.25">
      <c r="B12087" s="11"/>
    </row>
    <row r="12088" spans="2:2" x14ac:dyDescent="0.25">
      <c r="B12088" s="11"/>
    </row>
    <row r="12089" spans="2:2" x14ac:dyDescent="0.25">
      <c r="B12089" s="11"/>
    </row>
    <row r="12090" spans="2:2" x14ac:dyDescent="0.25">
      <c r="B12090" s="11"/>
    </row>
    <row r="12091" spans="2:2" x14ac:dyDescent="0.25">
      <c r="B12091" s="11"/>
    </row>
    <row r="12092" spans="2:2" x14ac:dyDescent="0.25">
      <c r="B12092" s="11"/>
    </row>
    <row r="12093" spans="2:2" x14ac:dyDescent="0.25">
      <c r="B12093" s="11"/>
    </row>
    <row r="12094" spans="2:2" x14ac:dyDescent="0.25">
      <c r="B12094" s="11"/>
    </row>
    <row r="12095" spans="2:2" x14ac:dyDescent="0.25">
      <c r="B12095" s="11"/>
    </row>
    <row r="12096" spans="2:2" x14ac:dyDescent="0.25">
      <c r="B12096" s="11"/>
    </row>
    <row r="12097" spans="2:2" x14ac:dyDescent="0.25">
      <c r="B12097" s="11"/>
    </row>
    <row r="12098" spans="2:2" x14ac:dyDescent="0.25">
      <c r="B12098" s="11"/>
    </row>
    <row r="12099" spans="2:2" x14ac:dyDescent="0.25">
      <c r="B12099" s="11"/>
    </row>
    <row r="12100" spans="2:2" x14ac:dyDescent="0.25">
      <c r="B12100" s="11"/>
    </row>
    <row r="12101" spans="2:2" x14ac:dyDescent="0.25">
      <c r="B12101" s="11"/>
    </row>
    <row r="12102" spans="2:2" x14ac:dyDescent="0.25">
      <c r="B12102" s="11"/>
    </row>
    <row r="12103" spans="2:2" x14ac:dyDescent="0.25">
      <c r="B12103" s="11"/>
    </row>
    <row r="12104" spans="2:2" x14ac:dyDescent="0.25">
      <c r="B12104" s="11"/>
    </row>
    <row r="12105" spans="2:2" x14ac:dyDescent="0.25">
      <c r="B12105" s="11"/>
    </row>
    <row r="12106" spans="2:2" x14ac:dyDescent="0.25">
      <c r="B12106" s="11"/>
    </row>
    <row r="12107" spans="2:2" x14ac:dyDescent="0.25">
      <c r="B12107" s="11"/>
    </row>
    <row r="12108" spans="2:2" x14ac:dyDescent="0.25">
      <c r="B12108" s="11"/>
    </row>
    <row r="12109" spans="2:2" x14ac:dyDescent="0.25">
      <c r="B12109" s="11"/>
    </row>
    <row r="12110" spans="2:2" x14ac:dyDescent="0.25">
      <c r="B12110" s="11"/>
    </row>
    <row r="12111" spans="2:2" x14ac:dyDescent="0.25">
      <c r="B12111" s="11"/>
    </row>
    <row r="12112" spans="2:2" x14ac:dyDescent="0.25">
      <c r="B12112" s="11"/>
    </row>
    <row r="12113" spans="2:2" x14ac:dyDescent="0.25">
      <c r="B12113" s="11"/>
    </row>
    <row r="12114" spans="2:2" x14ac:dyDescent="0.25">
      <c r="B12114" s="11"/>
    </row>
    <row r="12115" spans="2:2" x14ac:dyDescent="0.25">
      <c r="B12115" s="11"/>
    </row>
    <row r="12116" spans="2:2" x14ac:dyDescent="0.25">
      <c r="B12116" s="11"/>
    </row>
    <row r="12117" spans="2:2" x14ac:dyDescent="0.25">
      <c r="B12117" s="11"/>
    </row>
    <row r="12118" spans="2:2" x14ac:dyDescent="0.25">
      <c r="B12118" s="11"/>
    </row>
    <row r="12119" spans="2:2" x14ac:dyDescent="0.25">
      <c r="B12119" s="11"/>
    </row>
    <row r="12120" spans="2:2" x14ac:dyDescent="0.25">
      <c r="B12120" s="11"/>
    </row>
    <row r="12121" spans="2:2" x14ac:dyDescent="0.25">
      <c r="B12121" s="11"/>
    </row>
    <row r="12122" spans="2:2" x14ac:dyDescent="0.25">
      <c r="B12122" s="11"/>
    </row>
    <row r="12123" spans="2:2" x14ac:dyDescent="0.25">
      <c r="B12123" s="11"/>
    </row>
    <row r="12124" spans="2:2" x14ac:dyDescent="0.25">
      <c r="B12124" s="11"/>
    </row>
    <row r="12125" spans="2:2" x14ac:dyDescent="0.25">
      <c r="B12125" s="11"/>
    </row>
    <row r="12126" spans="2:2" x14ac:dyDescent="0.25">
      <c r="B12126" s="11"/>
    </row>
    <row r="12127" spans="2:2" x14ac:dyDescent="0.25">
      <c r="B12127" s="11"/>
    </row>
    <row r="12128" spans="2:2" x14ac:dyDescent="0.25">
      <c r="B12128" s="11"/>
    </row>
    <row r="12129" spans="2:2" x14ac:dyDescent="0.25">
      <c r="B12129" s="11"/>
    </row>
    <row r="12130" spans="2:2" x14ac:dyDescent="0.25">
      <c r="B12130" s="11"/>
    </row>
    <row r="12131" spans="2:2" x14ac:dyDescent="0.25">
      <c r="B12131" s="11"/>
    </row>
    <row r="12132" spans="2:2" x14ac:dyDescent="0.25">
      <c r="B12132" s="11"/>
    </row>
    <row r="12133" spans="2:2" x14ac:dyDescent="0.25">
      <c r="B12133" s="11"/>
    </row>
    <row r="12134" spans="2:2" x14ac:dyDescent="0.25">
      <c r="B12134" s="11"/>
    </row>
    <row r="12135" spans="2:2" x14ac:dyDescent="0.25">
      <c r="B12135" s="11"/>
    </row>
    <row r="12136" spans="2:2" x14ac:dyDescent="0.25">
      <c r="B12136" s="11"/>
    </row>
    <row r="12137" spans="2:2" x14ac:dyDescent="0.25">
      <c r="B12137" s="11"/>
    </row>
    <row r="12138" spans="2:2" x14ac:dyDescent="0.25">
      <c r="B12138" s="11"/>
    </row>
    <row r="12139" spans="2:2" x14ac:dyDescent="0.25">
      <c r="B12139" s="11"/>
    </row>
    <row r="12140" spans="2:2" x14ac:dyDescent="0.25">
      <c r="B12140" s="11"/>
    </row>
    <row r="12141" spans="2:2" x14ac:dyDescent="0.25">
      <c r="B12141" s="11"/>
    </row>
    <row r="12142" spans="2:2" x14ac:dyDescent="0.25">
      <c r="B12142" s="11"/>
    </row>
    <row r="12143" spans="2:2" x14ac:dyDescent="0.25">
      <c r="B12143" s="11"/>
    </row>
    <row r="12144" spans="2:2" x14ac:dyDescent="0.25">
      <c r="B12144" s="11"/>
    </row>
    <row r="12145" spans="2:2" x14ac:dyDescent="0.25">
      <c r="B12145" s="11"/>
    </row>
    <row r="12146" spans="2:2" x14ac:dyDescent="0.25">
      <c r="B12146" s="11"/>
    </row>
    <row r="12147" spans="2:2" x14ac:dyDescent="0.25">
      <c r="B12147" s="11"/>
    </row>
    <row r="12148" spans="2:2" x14ac:dyDescent="0.25">
      <c r="B12148" s="11"/>
    </row>
    <row r="12149" spans="2:2" x14ac:dyDescent="0.25">
      <c r="B12149" s="11"/>
    </row>
    <row r="12150" spans="2:2" x14ac:dyDescent="0.25">
      <c r="B12150" s="11"/>
    </row>
    <row r="12151" spans="2:2" x14ac:dyDescent="0.25">
      <c r="B12151" s="11"/>
    </row>
    <row r="12152" spans="2:2" x14ac:dyDescent="0.25">
      <c r="B12152" s="11"/>
    </row>
    <row r="12153" spans="2:2" x14ac:dyDescent="0.25">
      <c r="B12153" s="11"/>
    </row>
    <row r="12154" spans="2:2" x14ac:dyDescent="0.25">
      <c r="B12154" s="11"/>
    </row>
    <row r="12155" spans="2:2" x14ac:dyDescent="0.25">
      <c r="B12155" s="11"/>
    </row>
    <row r="12156" spans="2:2" x14ac:dyDescent="0.25">
      <c r="B12156" s="11"/>
    </row>
    <row r="12157" spans="2:2" x14ac:dyDescent="0.25">
      <c r="B12157" s="11"/>
    </row>
    <row r="12158" spans="2:2" x14ac:dyDescent="0.25">
      <c r="B12158" s="11"/>
    </row>
    <row r="12159" spans="2:2" x14ac:dyDescent="0.25">
      <c r="B12159" s="11"/>
    </row>
    <row r="12160" spans="2:2" x14ac:dyDescent="0.25">
      <c r="B12160" s="11"/>
    </row>
    <row r="12161" spans="2:2" x14ac:dyDescent="0.25">
      <c r="B12161" s="11"/>
    </row>
    <row r="12162" spans="2:2" x14ac:dyDescent="0.25">
      <c r="B12162" s="11"/>
    </row>
    <row r="12163" spans="2:2" x14ac:dyDescent="0.25">
      <c r="B12163" s="11"/>
    </row>
    <row r="12164" spans="2:2" x14ac:dyDescent="0.25">
      <c r="B12164" s="11"/>
    </row>
    <row r="12165" spans="2:2" x14ac:dyDescent="0.25">
      <c r="B12165" s="11"/>
    </row>
    <row r="12166" spans="2:2" x14ac:dyDescent="0.25">
      <c r="B12166" s="11"/>
    </row>
    <row r="12167" spans="2:2" x14ac:dyDescent="0.25">
      <c r="B12167" s="11"/>
    </row>
    <row r="12168" spans="2:2" x14ac:dyDescent="0.25">
      <c r="B12168" s="11"/>
    </row>
    <row r="12169" spans="2:2" x14ac:dyDescent="0.25">
      <c r="B12169" s="11"/>
    </row>
    <row r="12170" spans="2:2" x14ac:dyDescent="0.25">
      <c r="B12170" s="11"/>
    </row>
    <row r="12171" spans="2:2" x14ac:dyDescent="0.25">
      <c r="B12171" s="11"/>
    </row>
    <row r="12172" spans="2:2" x14ac:dyDescent="0.25">
      <c r="B12172" s="11"/>
    </row>
    <row r="12173" spans="2:2" x14ac:dyDescent="0.25">
      <c r="B12173" s="11"/>
    </row>
    <row r="12174" spans="2:2" x14ac:dyDescent="0.25">
      <c r="B12174" s="11"/>
    </row>
    <row r="12175" spans="2:2" x14ac:dyDescent="0.25">
      <c r="B12175" s="11"/>
    </row>
    <row r="12176" spans="2:2" x14ac:dyDescent="0.25">
      <c r="B12176" s="11"/>
    </row>
    <row r="12177" spans="2:2" x14ac:dyDescent="0.25">
      <c r="B12177" s="11"/>
    </row>
    <row r="12178" spans="2:2" x14ac:dyDescent="0.25">
      <c r="B12178" s="11"/>
    </row>
    <row r="12179" spans="2:2" x14ac:dyDescent="0.25">
      <c r="B12179" s="11"/>
    </row>
    <row r="12180" spans="2:2" x14ac:dyDescent="0.25">
      <c r="B12180" s="11"/>
    </row>
    <row r="12181" spans="2:2" x14ac:dyDescent="0.25">
      <c r="B12181" s="11"/>
    </row>
    <row r="12182" spans="2:2" x14ac:dyDescent="0.25">
      <c r="B12182" s="11"/>
    </row>
    <row r="12183" spans="2:2" x14ac:dyDescent="0.25">
      <c r="B12183" s="11"/>
    </row>
    <row r="12184" spans="2:2" x14ac:dyDescent="0.25">
      <c r="B12184" s="11"/>
    </row>
    <row r="12185" spans="2:2" x14ac:dyDescent="0.25">
      <c r="B12185" s="11"/>
    </row>
    <row r="12186" spans="2:2" x14ac:dyDescent="0.25">
      <c r="B12186" s="11"/>
    </row>
    <row r="12187" spans="2:2" x14ac:dyDescent="0.25">
      <c r="B12187" s="11"/>
    </row>
    <row r="12188" spans="2:2" x14ac:dyDescent="0.25">
      <c r="B12188" s="11"/>
    </row>
    <row r="12189" spans="2:2" x14ac:dyDescent="0.25">
      <c r="B12189" s="11"/>
    </row>
    <row r="12190" spans="2:2" x14ac:dyDescent="0.25">
      <c r="B12190" s="11"/>
    </row>
    <row r="12191" spans="2:2" x14ac:dyDescent="0.25">
      <c r="B12191" s="11"/>
    </row>
    <row r="12192" spans="2:2" x14ac:dyDescent="0.25">
      <c r="B12192" s="11"/>
    </row>
    <row r="12193" spans="2:2" x14ac:dyDescent="0.25">
      <c r="B12193" s="11"/>
    </row>
    <row r="12194" spans="2:2" x14ac:dyDescent="0.25">
      <c r="B12194" s="11"/>
    </row>
    <row r="12195" spans="2:2" x14ac:dyDescent="0.25">
      <c r="B12195" s="11"/>
    </row>
    <row r="12196" spans="2:2" x14ac:dyDescent="0.25">
      <c r="B12196" s="11"/>
    </row>
    <row r="12197" spans="2:2" x14ac:dyDescent="0.25">
      <c r="B12197" s="11"/>
    </row>
    <row r="12198" spans="2:2" x14ac:dyDescent="0.25">
      <c r="B12198" s="11"/>
    </row>
    <row r="12199" spans="2:2" x14ac:dyDescent="0.25">
      <c r="B12199" s="11"/>
    </row>
    <row r="12200" spans="2:2" x14ac:dyDescent="0.25">
      <c r="B12200" s="11"/>
    </row>
    <row r="12201" spans="2:2" x14ac:dyDescent="0.25">
      <c r="B12201" s="11"/>
    </row>
    <row r="12202" spans="2:2" x14ac:dyDescent="0.25">
      <c r="B12202" s="11"/>
    </row>
    <row r="12203" spans="2:2" x14ac:dyDescent="0.25">
      <c r="B12203" s="11"/>
    </row>
    <row r="12204" spans="2:2" x14ac:dyDescent="0.25">
      <c r="B12204" s="11"/>
    </row>
    <row r="12205" spans="2:2" x14ac:dyDescent="0.25">
      <c r="B12205" s="11"/>
    </row>
    <row r="12206" spans="2:2" x14ac:dyDescent="0.25">
      <c r="B12206" s="11"/>
    </row>
    <row r="12207" spans="2:2" x14ac:dyDescent="0.25">
      <c r="B12207" s="11"/>
    </row>
    <row r="12208" spans="2:2" x14ac:dyDescent="0.25">
      <c r="B12208" s="11"/>
    </row>
    <row r="12209" spans="2:2" x14ac:dyDescent="0.25">
      <c r="B12209" s="11"/>
    </row>
    <row r="12210" spans="2:2" x14ac:dyDescent="0.25">
      <c r="B12210" s="11"/>
    </row>
    <row r="12211" spans="2:2" x14ac:dyDescent="0.25">
      <c r="B12211" s="11"/>
    </row>
    <row r="12212" spans="2:2" x14ac:dyDescent="0.25">
      <c r="B12212" s="11"/>
    </row>
    <row r="12213" spans="2:2" x14ac:dyDescent="0.25">
      <c r="B12213" s="11"/>
    </row>
    <row r="12214" spans="2:2" x14ac:dyDescent="0.25">
      <c r="B12214" s="11"/>
    </row>
    <row r="12215" spans="2:2" x14ac:dyDescent="0.25">
      <c r="B12215" s="11"/>
    </row>
    <row r="12216" spans="2:2" x14ac:dyDescent="0.25">
      <c r="B12216" s="11"/>
    </row>
    <row r="12217" spans="2:2" x14ac:dyDescent="0.25">
      <c r="B12217" s="11"/>
    </row>
    <row r="12218" spans="2:2" x14ac:dyDescent="0.25">
      <c r="B12218" s="11"/>
    </row>
    <row r="12219" spans="2:2" x14ac:dyDescent="0.25">
      <c r="B12219" s="11"/>
    </row>
    <row r="12220" spans="2:2" x14ac:dyDescent="0.25">
      <c r="B12220" s="11"/>
    </row>
    <row r="12221" spans="2:2" x14ac:dyDescent="0.25">
      <c r="B12221" s="11"/>
    </row>
    <row r="12222" spans="2:2" x14ac:dyDescent="0.25">
      <c r="B12222" s="11"/>
    </row>
    <row r="12223" spans="2:2" x14ac:dyDescent="0.25">
      <c r="B12223" s="11"/>
    </row>
    <row r="12224" spans="2:2" x14ac:dyDescent="0.25">
      <c r="B12224" s="11"/>
    </row>
    <row r="12225" spans="2:2" x14ac:dyDescent="0.25">
      <c r="B12225" s="11"/>
    </row>
    <row r="12226" spans="2:2" x14ac:dyDescent="0.25">
      <c r="B12226" s="11"/>
    </row>
    <row r="12227" spans="2:2" x14ac:dyDescent="0.25">
      <c r="B12227" s="11"/>
    </row>
    <row r="12228" spans="2:2" x14ac:dyDescent="0.25">
      <c r="B12228" s="11"/>
    </row>
    <row r="12229" spans="2:2" x14ac:dyDescent="0.25">
      <c r="B12229" s="11"/>
    </row>
    <row r="12230" spans="2:2" x14ac:dyDescent="0.25">
      <c r="B12230" s="11"/>
    </row>
    <row r="12231" spans="2:2" x14ac:dyDescent="0.25">
      <c r="B12231" s="11"/>
    </row>
    <row r="12232" spans="2:2" x14ac:dyDescent="0.25">
      <c r="B12232" s="11"/>
    </row>
    <row r="12233" spans="2:2" x14ac:dyDescent="0.25">
      <c r="B12233" s="11"/>
    </row>
    <row r="12234" spans="2:2" x14ac:dyDescent="0.25">
      <c r="B12234" s="11"/>
    </row>
    <row r="12235" spans="2:2" x14ac:dyDescent="0.25">
      <c r="B12235" s="11"/>
    </row>
    <row r="12236" spans="2:2" x14ac:dyDescent="0.25">
      <c r="B12236" s="11"/>
    </row>
    <row r="12237" spans="2:2" x14ac:dyDescent="0.25">
      <c r="B12237" s="11"/>
    </row>
    <row r="12238" spans="2:2" x14ac:dyDescent="0.25">
      <c r="B12238" s="11"/>
    </row>
    <row r="12239" spans="2:2" x14ac:dyDescent="0.25">
      <c r="B12239" s="11"/>
    </row>
    <row r="12240" spans="2:2" x14ac:dyDescent="0.25">
      <c r="B12240" s="11"/>
    </row>
    <row r="12241" spans="2:2" x14ac:dyDescent="0.25">
      <c r="B12241" s="11"/>
    </row>
    <row r="12242" spans="2:2" x14ac:dyDescent="0.25">
      <c r="B12242" s="11"/>
    </row>
    <row r="12243" spans="2:2" x14ac:dyDescent="0.25">
      <c r="B12243" s="11"/>
    </row>
    <row r="12244" spans="2:2" x14ac:dyDescent="0.25">
      <c r="B12244" s="11"/>
    </row>
    <row r="12245" spans="2:2" x14ac:dyDescent="0.25">
      <c r="B12245" s="11"/>
    </row>
    <row r="12246" spans="2:2" x14ac:dyDescent="0.25">
      <c r="B12246" s="11"/>
    </row>
    <row r="12247" spans="2:2" x14ac:dyDescent="0.25">
      <c r="B12247" s="11"/>
    </row>
    <row r="12248" spans="2:2" x14ac:dyDescent="0.25">
      <c r="B12248" s="11"/>
    </row>
    <row r="12249" spans="2:2" x14ac:dyDescent="0.25">
      <c r="B12249" s="11"/>
    </row>
    <row r="12250" spans="2:2" x14ac:dyDescent="0.25">
      <c r="B12250" s="11"/>
    </row>
    <row r="12251" spans="2:2" x14ac:dyDescent="0.25">
      <c r="B12251" s="11"/>
    </row>
    <row r="12252" spans="2:2" x14ac:dyDescent="0.25">
      <c r="B12252" s="11"/>
    </row>
    <row r="12253" spans="2:2" x14ac:dyDescent="0.25">
      <c r="B12253" s="11"/>
    </row>
    <row r="12254" spans="2:2" x14ac:dyDescent="0.25">
      <c r="B12254" s="11"/>
    </row>
    <row r="12255" spans="2:2" x14ac:dyDescent="0.25">
      <c r="B12255" s="11"/>
    </row>
    <row r="12256" spans="2:2" x14ac:dyDescent="0.25">
      <c r="B12256" s="11"/>
    </row>
    <row r="12257" spans="2:2" x14ac:dyDescent="0.25">
      <c r="B12257" s="11"/>
    </row>
    <row r="12258" spans="2:2" x14ac:dyDescent="0.25">
      <c r="B12258" s="11"/>
    </row>
    <row r="12259" spans="2:2" x14ac:dyDescent="0.25">
      <c r="B12259" s="11"/>
    </row>
    <row r="12260" spans="2:2" x14ac:dyDescent="0.25">
      <c r="B12260" s="11"/>
    </row>
    <row r="12261" spans="2:2" x14ac:dyDescent="0.25">
      <c r="B12261" s="11"/>
    </row>
    <row r="12262" spans="2:2" x14ac:dyDescent="0.25">
      <c r="B12262" s="11"/>
    </row>
    <row r="12263" spans="2:2" x14ac:dyDescent="0.25">
      <c r="B12263" s="11"/>
    </row>
    <row r="12264" spans="2:2" x14ac:dyDescent="0.25">
      <c r="B12264" s="11"/>
    </row>
    <row r="12265" spans="2:2" x14ac:dyDescent="0.25">
      <c r="B12265" s="11"/>
    </row>
    <row r="12266" spans="2:2" x14ac:dyDescent="0.25">
      <c r="B12266" s="11"/>
    </row>
    <row r="12267" spans="2:2" x14ac:dyDescent="0.25">
      <c r="B12267" s="11"/>
    </row>
    <row r="12268" spans="2:2" x14ac:dyDescent="0.25">
      <c r="B12268" s="11"/>
    </row>
    <row r="12269" spans="2:2" x14ac:dyDescent="0.25">
      <c r="B12269" s="11"/>
    </row>
    <row r="12270" spans="2:2" x14ac:dyDescent="0.25">
      <c r="B12270" s="11"/>
    </row>
    <row r="12271" spans="2:2" x14ac:dyDescent="0.25">
      <c r="B12271" s="11"/>
    </row>
    <row r="12272" spans="2:2" x14ac:dyDescent="0.25">
      <c r="B12272" s="11"/>
    </row>
    <row r="12273" spans="2:2" x14ac:dyDescent="0.25">
      <c r="B12273" s="11"/>
    </row>
    <row r="12274" spans="2:2" x14ac:dyDescent="0.25">
      <c r="B12274" s="11"/>
    </row>
    <row r="12275" spans="2:2" x14ac:dyDescent="0.25">
      <c r="B12275" s="11"/>
    </row>
    <row r="12276" spans="2:2" x14ac:dyDescent="0.25">
      <c r="B12276" s="11"/>
    </row>
    <row r="12277" spans="2:2" x14ac:dyDescent="0.25">
      <c r="B12277" s="11"/>
    </row>
    <row r="12278" spans="2:2" x14ac:dyDescent="0.25">
      <c r="B12278" s="11"/>
    </row>
    <row r="12279" spans="2:2" x14ac:dyDescent="0.25">
      <c r="B12279" s="11"/>
    </row>
    <row r="12280" spans="2:2" x14ac:dyDescent="0.25">
      <c r="B12280" s="11"/>
    </row>
    <row r="12281" spans="2:2" x14ac:dyDescent="0.25">
      <c r="B12281" s="11"/>
    </row>
    <row r="12282" spans="2:2" x14ac:dyDescent="0.25">
      <c r="B12282" s="11"/>
    </row>
    <row r="12283" spans="2:2" x14ac:dyDescent="0.25">
      <c r="B12283" s="11"/>
    </row>
    <row r="12284" spans="2:2" x14ac:dyDescent="0.25">
      <c r="B12284" s="11"/>
    </row>
    <row r="12285" spans="2:2" x14ac:dyDescent="0.25">
      <c r="B12285" s="11"/>
    </row>
    <row r="12286" spans="2:2" x14ac:dyDescent="0.25">
      <c r="B12286" s="11"/>
    </row>
    <row r="12287" spans="2:2" x14ac:dyDescent="0.25">
      <c r="B12287" s="11"/>
    </row>
    <row r="12288" spans="2:2" x14ac:dyDescent="0.25">
      <c r="B12288" s="11"/>
    </row>
    <row r="12289" spans="2:2" x14ac:dyDescent="0.25">
      <c r="B12289" s="11"/>
    </row>
    <row r="12290" spans="2:2" x14ac:dyDescent="0.25">
      <c r="B12290" s="11"/>
    </row>
    <row r="12291" spans="2:2" x14ac:dyDescent="0.25">
      <c r="B12291" s="11"/>
    </row>
    <row r="12292" spans="2:2" x14ac:dyDescent="0.25">
      <c r="B12292" s="11"/>
    </row>
    <row r="12293" spans="2:2" x14ac:dyDescent="0.25">
      <c r="B12293" s="11"/>
    </row>
    <row r="12294" spans="2:2" x14ac:dyDescent="0.25">
      <c r="B12294" s="11"/>
    </row>
    <row r="12295" spans="2:2" x14ac:dyDescent="0.25">
      <c r="B12295" s="11"/>
    </row>
    <row r="12296" spans="2:2" x14ac:dyDescent="0.25">
      <c r="B12296" s="11"/>
    </row>
    <row r="12297" spans="2:2" x14ac:dyDescent="0.25">
      <c r="B12297" s="11"/>
    </row>
    <row r="12298" spans="2:2" x14ac:dyDescent="0.25">
      <c r="B12298" s="11"/>
    </row>
    <row r="12299" spans="2:2" x14ac:dyDescent="0.25">
      <c r="B12299" s="11"/>
    </row>
    <row r="12300" spans="2:2" x14ac:dyDescent="0.25">
      <c r="B12300" s="11"/>
    </row>
    <row r="12301" spans="2:2" x14ac:dyDescent="0.25">
      <c r="B12301" s="11"/>
    </row>
    <row r="12302" spans="2:2" x14ac:dyDescent="0.25">
      <c r="B12302" s="11"/>
    </row>
    <row r="12303" spans="2:2" x14ac:dyDescent="0.25">
      <c r="B12303" s="11"/>
    </row>
    <row r="12304" spans="2:2" x14ac:dyDescent="0.25">
      <c r="B12304" s="11"/>
    </row>
    <row r="12305" spans="2:2" x14ac:dyDescent="0.25">
      <c r="B12305" s="11"/>
    </row>
    <row r="12306" spans="2:2" x14ac:dyDescent="0.25">
      <c r="B12306" s="11"/>
    </row>
    <row r="12307" spans="2:2" x14ac:dyDescent="0.25">
      <c r="B12307" s="11"/>
    </row>
    <row r="12308" spans="2:2" x14ac:dyDescent="0.25">
      <c r="B12308" s="11"/>
    </row>
    <row r="12309" spans="2:2" x14ac:dyDescent="0.25">
      <c r="B12309" s="11"/>
    </row>
    <row r="12310" spans="2:2" x14ac:dyDescent="0.25">
      <c r="B12310" s="11"/>
    </row>
    <row r="12311" spans="2:2" x14ac:dyDescent="0.25">
      <c r="B12311" s="11"/>
    </row>
    <row r="12312" spans="2:2" x14ac:dyDescent="0.25">
      <c r="B12312" s="11"/>
    </row>
    <row r="12313" spans="2:2" x14ac:dyDescent="0.25">
      <c r="B12313" s="11"/>
    </row>
    <row r="12314" spans="2:2" x14ac:dyDescent="0.25">
      <c r="B12314" s="11"/>
    </row>
    <row r="12315" spans="2:2" x14ac:dyDescent="0.25">
      <c r="B12315" s="11"/>
    </row>
    <row r="12316" spans="2:2" x14ac:dyDescent="0.25">
      <c r="B12316" s="11"/>
    </row>
    <row r="12317" spans="2:2" x14ac:dyDescent="0.25">
      <c r="B12317" s="11"/>
    </row>
    <row r="12318" spans="2:2" x14ac:dyDescent="0.25">
      <c r="B12318" s="11"/>
    </row>
    <row r="12319" spans="2:2" x14ac:dyDescent="0.25">
      <c r="B12319" s="11"/>
    </row>
    <row r="12320" spans="2:2" x14ac:dyDescent="0.25">
      <c r="B12320" s="11"/>
    </row>
    <row r="12321" spans="2:2" x14ac:dyDescent="0.25">
      <c r="B12321" s="11"/>
    </row>
    <row r="12322" spans="2:2" x14ac:dyDescent="0.25">
      <c r="B12322" s="11"/>
    </row>
    <row r="12323" spans="2:2" x14ac:dyDescent="0.25">
      <c r="B12323" s="11"/>
    </row>
    <row r="12324" spans="2:2" x14ac:dyDescent="0.25">
      <c r="B12324" s="11"/>
    </row>
    <row r="12325" spans="2:2" x14ac:dyDescent="0.25">
      <c r="B12325" s="11"/>
    </row>
    <row r="12326" spans="2:2" x14ac:dyDescent="0.25">
      <c r="B12326" s="11"/>
    </row>
    <row r="12327" spans="2:2" x14ac:dyDescent="0.25">
      <c r="B12327" s="11"/>
    </row>
    <row r="12328" spans="2:2" x14ac:dyDescent="0.25">
      <c r="B12328" s="11"/>
    </row>
    <row r="12329" spans="2:2" x14ac:dyDescent="0.25">
      <c r="B12329" s="11"/>
    </row>
    <row r="12330" spans="2:2" x14ac:dyDescent="0.25">
      <c r="B12330" s="11"/>
    </row>
    <row r="12331" spans="2:2" x14ac:dyDescent="0.25">
      <c r="B12331" s="11"/>
    </row>
    <row r="12332" spans="2:2" x14ac:dyDescent="0.25">
      <c r="B12332" s="11"/>
    </row>
    <row r="12333" spans="2:2" x14ac:dyDescent="0.25">
      <c r="B12333" s="11"/>
    </row>
    <row r="12334" spans="2:2" x14ac:dyDescent="0.25">
      <c r="B12334" s="11"/>
    </row>
    <row r="12335" spans="2:2" x14ac:dyDescent="0.25">
      <c r="B12335" s="11"/>
    </row>
    <row r="12336" spans="2:2" x14ac:dyDescent="0.25">
      <c r="B12336" s="11"/>
    </row>
    <row r="12337" spans="2:2" x14ac:dyDescent="0.25">
      <c r="B12337" s="11"/>
    </row>
    <row r="12338" spans="2:2" x14ac:dyDescent="0.25">
      <c r="B12338" s="11"/>
    </row>
    <row r="12339" spans="2:2" x14ac:dyDescent="0.25">
      <c r="B12339" s="11"/>
    </row>
    <row r="12340" spans="2:2" x14ac:dyDescent="0.25">
      <c r="B12340" s="11"/>
    </row>
    <row r="12341" spans="2:2" x14ac:dyDescent="0.25">
      <c r="B12341" s="11"/>
    </row>
    <row r="12342" spans="2:2" x14ac:dyDescent="0.25">
      <c r="B12342" s="11"/>
    </row>
    <row r="12343" spans="2:2" x14ac:dyDescent="0.25">
      <c r="B12343" s="11"/>
    </row>
    <row r="12344" spans="2:2" x14ac:dyDescent="0.25">
      <c r="B12344" s="11"/>
    </row>
    <row r="12345" spans="2:2" x14ac:dyDescent="0.25">
      <c r="B12345" s="11"/>
    </row>
    <row r="12346" spans="2:2" x14ac:dyDescent="0.25">
      <c r="B12346" s="11"/>
    </row>
    <row r="12347" spans="2:2" x14ac:dyDescent="0.25">
      <c r="B12347" s="11"/>
    </row>
    <row r="12348" spans="2:2" x14ac:dyDescent="0.25">
      <c r="B12348" s="11"/>
    </row>
    <row r="12349" spans="2:2" x14ac:dyDescent="0.25">
      <c r="B12349" s="11"/>
    </row>
    <row r="12350" spans="2:2" x14ac:dyDescent="0.25">
      <c r="B12350" s="11"/>
    </row>
    <row r="12351" spans="2:2" x14ac:dyDescent="0.25">
      <c r="B12351" s="11"/>
    </row>
    <row r="12352" spans="2:2" x14ac:dyDescent="0.25">
      <c r="B12352" s="11"/>
    </row>
    <row r="12353" spans="2:2" x14ac:dyDescent="0.25">
      <c r="B12353" s="11"/>
    </row>
    <row r="12354" spans="2:2" x14ac:dyDescent="0.25">
      <c r="B12354" s="11"/>
    </row>
    <row r="12355" spans="2:2" x14ac:dyDescent="0.25">
      <c r="B12355" s="11"/>
    </row>
    <row r="12356" spans="2:2" x14ac:dyDescent="0.25">
      <c r="B12356" s="11"/>
    </row>
    <row r="12357" spans="2:2" x14ac:dyDescent="0.25">
      <c r="B12357" s="11"/>
    </row>
    <row r="12358" spans="2:2" x14ac:dyDescent="0.25">
      <c r="B12358" s="11"/>
    </row>
    <row r="12359" spans="2:2" x14ac:dyDescent="0.25">
      <c r="B12359" s="11"/>
    </row>
    <row r="12360" spans="2:2" x14ac:dyDescent="0.25">
      <c r="B12360" s="11"/>
    </row>
    <row r="12361" spans="2:2" x14ac:dyDescent="0.25">
      <c r="B12361" s="11"/>
    </row>
    <row r="12362" spans="2:2" x14ac:dyDescent="0.25">
      <c r="B12362" s="11"/>
    </row>
    <row r="12363" spans="2:2" x14ac:dyDescent="0.25">
      <c r="B12363" s="11"/>
    </row>
    <row r="12364" spans="2:2" x14ac:dyDescent="0.25">
      <c r="B12364" s="11"/>
    </row>
    <row r="12365" spans="2:2" x14ac:dyDescent="0.25">
      <c r="B12365" s="11"/>
    </row>
    <row r="12366" spans="2:2" x14ac:dyDescent="0.25">
      <c r="B12366" s="11"/>
    </row>
    <row r="12367" spans="2:2" x14ac:dyDescent="0.25">
      <c r="B12367" s="11"/>
    </row>
    <row r="12368" spans="2:2" x14ac:dyDescent="0.25">
      <c r="B12368" s="11"/>
    </row>
    <row r="12369" spans="2:2" x14ac:dyDescent="0.25">
      <c r="B12369" s="11"/>
    </row>
    <row r="12370" spans="2:2" x14ac:dyDescent="0.25">
      <c r="B12370" s="11"/>
    </row>
    <row r="12371" spans="2:2" x14ac:dyDescent="0.25">
      <c r="B12371" s="11"/>
    </row>
    <row r="12372" spans="2:2" x14ac:dyDescent="0.25">
      <c r="B12372" s="11"/>
    </row>
    <row r="12373" spans="2:2" x14ac:dyDescent="0.25">
      <c r="B12373" s="11"/>
    </row>
    <row r="12374" spans="2:2" x14ac:dyDescent="0.25">
      <c r="B12374" s="11"/>
    </row>
    <row r="12375" spans="2:2" x14ac:dyDescent="0.25">
      <c r="B12375" s="11"/>
    </row>
    <row r="12376" spans="2:2" x14ac:dyDescent="0.25">
      <c r="B12376" s="11"/>
    </row>
    <row r="12377" spans="2:2" x14ac:dyDescent="0.25">
      <c r="B12377" s="11"/>
    </row>
    <row r="12378" spans="2:2" x14ac:dyDescent="0.25">
      <c r="B12378" s="11"/>
    </row>
    <row r="12379" spans="2:2" x14ac:dyDescent="0.25">
      <c r="B12379" s="11"/>
    </row>
    <row r="12380" spans="2:2" x14ac:dyDescent="0.25">
      <c r="B12380" s="11"/>
    </row>
    <row r="12381" spans="2:2" x14ac:dyDescent="0.25">
      <c r="B12381" s="11"/>
    </row>
    <row r="12382" spans="2:2" x14ac:dyDescent="0.25">
      <c r="B12382" s="11"/>
    </row>
    <row r="12383" spans="2:2" x14ac:dyDescent="0.25">
      <c r="B12383" s="11"/>
    </row>
    <row r="12384" spans="2:2" x14ac:dyDescent="0.25">
      <c r="B12384" s="11"/>
    </row>
    <row r="12385" spans="2:2" x14ac:dyDescent="0.25">
      <c r="B12385" s="11"/>
    </row>
    <row r="12386" spans="2:2" x14ac:dyDescent="0.25">
      <c r="B12386" s="11"/>
    </row>
    <row r="12387" spans="2:2" x14ac:dyDescent="0.25">
      <c r="B12387" s="11"/>
    </row>
    <row r="12388" spans="2:2" x14ac:dyDescent="0.25">
      <c r="B12388" s="11"/>
    </row>
    <row r="12389" spans="2:2" x14ac:dyDescent="0.25">
      <c r="B12389" s="11"/>
    </row>
    <row r="12390" spans="2:2" x14ac:dyDescent="0.25">
      <c r="B12390" s="11"/>
    </row>
    <row r="12391" spans="2:2" x14ac:dyDescent="0.25">
      <c r="B12391" s="11"/>
    </row>
    <row r="12392" spans="2:2" x14ac:dyDescent="0.25">
      <c r="B12392" s="11"/>
    </row>
    <row r="12393" spans="2:2" x14ac:dyDescent="0.25">
      <c r="B12393" s="11"/>
    </row>
    <row r="12394" spans="2:2" x14ac:dyDescent="0.25">
      <c r="B12394" s="11"/>
    </row>
    <row r="12395" spans="2:2" x14ac:dyDescent="0.25">
      <c r="B12395" s="11"/>
    </row>
    <row r="12396" spans="2:2" x14ac:dyDescent="0.25">
      <c r="B12396" s="11"/>
    </row>
    <row r="12397" spans="2:2" x14ac:dyDescent="0.25">
      <c r="B12397" s="11"/>
    </row>
    <row r="12398" spans="2:2" x14ac:dyDescent="0.25">
      <c r="B12398" s="11"/>
    </row>
    <row r="12399" spans="2:2" x14ac:dyDescent="0.25">
      <c r="B12399" s="11"/>
    </row>
    <row r="12400" spans="2:2" x14ac:dyDescent="0.25">
      <c r="B12400" s="11"/>
    </row>
    <row r="12401" spans="2:2" x14ac:dyDescent="0.25">
      <c r="B12401" s="11"/>
    </row>
    <row r="12402" spans="2:2" x14ac:dyDescent="0.25">
      <c r="B12402" s="11"/>
    </row>
    <row r="12403" spans="2:2" x14ac:dyDescent="0.25">
      <c r="B12403" s="11"/>
    </row>
    <row r="12404" spans="2:2" x14ac:dyDescent="0.25">
      <c r="B12404" s="11"/>
    </row>
    <row r="12405" spans="2:2" x14ac:dyDescent="0.25">
      <c r="B12405" s="11"/>
    </row>
    <row r="12406" spans="2:2" x14ac:dyDescent="0.25">
      <c r="B12406" s="11"/>
    </row>
    <row r="12407" spans="2:2" x14ac:dyDescent="0.25">
      <c r="B12407" s="11"/>
    </row>
    <row r="12408" spans="2:2" x14ac:dyDescent="0.25">
      <c r="B12408" s="11"/>
    </row>
    <row r="12409" spans="2:2" x14ac:dyDescent="0.25">
      <c r="B12409" s="11"/>
    </row>
    <row r="12410" spans="2:2" x14ac:dyDescent="0.25">
      <c r="B12410" s="11"/>
    </row>
    <row r="12411" spans="2:2" x14ac:dyDescent="0.25">
      <c r="B12411" s="11"/>
    </row>
    <row r="12412" spans="2:2" x14ac:dyDescent="0.25">
      <c r="B12412" s="11"/>
    </row>
    <row r="12413" spans="2:2" x14ac:dyDescent="0.25">
      <c r="B12413" s="11"/>
    </row>
    <row r="12414" spans="2:2" x14ac:dyDescent="0.25">
      <c r="B12414" s="11"/>
    </row>
    <row r="12415" spans="2:2" x14ac:dyDescent="0.25">
      <c r="B12415" s="11"/>
    </row>
    <row r="12416" spans="2:2" x14ac:dyDescent="0.25">
      <c r="B12416" s="11"/>
    </row>
    <row r="12417" spans="2:2" x14ac:dyDescent="0.25">
      <c r="B12417" s="11"/>
    </row>
    <row r="12418" spans="2:2" x14ac:dyDescent="0.25">
      <c r="B12418" s="11"/>
    </row>
    <row r="12419" spans="2:2" x14ac:dyDescent="0.25">
      <c r="B12419" s="11"/>
    </row>
    <row r="12420" spans="2:2" x14ac:dyDescent="0.25">
      <c r="B12420" s="11"/>
    </row>
    <row r="12421" spans="2:2" x14ac:dyDescent="0.25">
      <c r="B12421" s="11"/>
    </row>
    <row r="12422" spans="2:2" x14ac:dyDescent="0.25">
      <c r="B12422" s="11"/>
    </row>
    <row r="12423" spans="2:2" x14ac:dyDescent="0.25">
      <c r="B12423" s="11"/>
    </row>
    <row r="12424" spans="2:2" x14ac:dyDescent="0.25">
      <c r="B12424" s="11"/>
    </row>
    <row r="12425" spans="2:2" x14ac:dyDescent="0.25">
      <c r="B12425" s="11"/>
    </row>
    <row r="12426" spans="2:2" x14ac:dyDescent="0.25">
      <c r="B12426" s="11"/>
    </row>
    <row r="12427" spans="2:2" x14ac:dyDescent="0.25">
      <c r="B12427" s="11"/>
    </row>
    <row r="12428" spans="2:2" x14ac:dyDescent="0.25">
      <c r="B12428" s="11"/>
    </row>
    <row r="12429" spans="2:2" x14ac:dyDescent="0.25">
      <c r="B12429" s="11"/>
    </row>
    <row r="12430" spans="2:2" x14ac:dyDescent="0.25">
      <c r="B12430" s="11"/>
    </row>
    <row r="12431" spans="2:2" x14ac:dyDescent="0.25">
      <c r="B12431" s="11"/>
    </row>
    <row r="12432" spans="2:2" x14ac:dyDescent="0.25">
      <c r="B12432" s="11"/>
    </row>
    <row r="12433" spans="2:2" x14ac:dyDescent="0.25">
      <c r="B12433" s="11"/>
    </row>
    <row r="12434" spans="2:2" x14ac:dyDescent="0.25">
      <c r="B12434" s="11"/>
    </row>
    <row r="12435" spans="2:2" x14ac:dyDescent="0.25">
      <c r="B12435" s="11"/>
    </row>
    <row r="12436" spans="2:2" x14ac:dyDescent="0.25">
      <c r="B12436" s="11"/>
    </row>
    <row r="12437" spans="2:2" x14ac:dyDescent="0.25">
      <c r="B12437" s="11"/>
    </row>
    <row r="12438" spans="2:2" x14ac:dyDescent="0.25">
      <c r="B12438" s="11"/>
    </row>
    <row r="12439" spans="2:2" x14ac:dyDescent="0.25">
      <c r="B12439" s="11"/>
    </row>
    <row r="12440" spans="2:2" x14ac:dyDescent="0.25">
      <c r="B12440" s="11"/>
    </row>
    <row r="12441" spans="2:2" x14ac:dyDescent="0.25">
      <c r="B12441" s="11"/>
    </row>
    <row r="12442" spans="2:2" x14ac:dyDescent="0.25">
      <c r="B12442" s="11"/>
    </row>
    <row r="12443" spans="2:2" x14ac:dyDescent="0.25">
      <c r="B12443" s="11"/>
    </row>
    <row r="12444" spans="2:2" x14ac:dyDescent="0.25">
      <c r="B12444" s="11"/>
    </row>
    <row r="12445" spans="2:2" x14ac:dyDescent="0.25">
      <c r="B12445" s="11"/>
    </row>
    <row r="12446" spans="2:2" x14ac:dyDescent="0.25">
      <c r="B12446" s="11"/>
    </row>
    <row r="12447" spans="2:2" x14ac:dyDescent="0.25">
      <c r="B12447" s="11"/>
    </row>
    <row r="12448" spans="2:2" x14ac:dyDescent="0.25">
      <c r="B12448" s="11"/>
    </row>
    <row r="12449" spans="2:2" x14ac:dyDescent="0.25">
      <c r="B12449" s="11"/>
    </row>
    <row r="12450" spans="2:2" x14ac:dyDescent="0.25">
      <c r="B12450" s="11"/>
    </row>
    <row r="12451" spans="2:2" x14ac:dyDescent="0.25">
      <c r="B12451" s="11"/>
    </row>
    <row r="12452" spans="2:2" x14ac:dyDescent="0.25">
      <c r="B12452" s="11"/>
    </row>
    <row r="12453" spans="2:2" x14ac:dyDescent="0.25">
      <c r="B12453" s="11"/>
    </row>
    <row r="12454" spans="2:2" x14ac:dyDescent="0.25">
      <c r="B12454" s="11"/>
    </row>
    <row r="12455" spans="2:2" x14ac:dyDescent="0.25">
      <c r="B12455" s="11"/>
    </row>
    <row r="12456" spans="2:2" x14ac:dyDescent="0.25">
      <c r="B12456" s="11"/>
    </row>
    <row r="12457" spans="2:2" x14ac:dyDescent="0.25">
      <c r="B12457" s="11"/>
    </row>
    <row r="12458" spans="2:2" x14ac:dyDescent="0.25">
      <c r="B12458" s="11"/>
    </row>
    <row r="12459" spans="2:2" x14ac:dyDescent="0.25">
      <c r="B12459" s="11"/>
    </row>
    <row r="12460" spans="2:2" x14ac:dyDescent="0.25">
      <c r="B12460" s="11"/>
    </row>
    <row r="12461" spans="2:2" x14ac:dyDescent="0.25">
      <c r="B12461" s="11"/>
    </row>
    <row r="12462" spans="2:2" x14ac:dyDescent="0.25">
      <c r="B12462" s="11"/>
    </row>
    <row r="12463" spans="2:2" x14ac:dyDescent="0.25">
      <c r="B12463" s="11"/>
    </row>
    <row r="12464" spans="2:2" x14ac:dyDescent="0.25">
      <c r="B12464" s="11"/>
    </row>
    <row r="12465" spans="2:2" x14ac:dyDescent="0.25">
      <c r="B12465" s="11"/>
    </row>
    <row r="12466" spans="2:2" x14ac:dyDescent="0.25">
      <c r="B12466" s="11"/>
    </row>
    <row r="12467" spans="2:2" x14ac:dyDescent="0.25">
      <c r="B12467" s="11"/>
    </row>
    <row r="12468" spans="2:2" x14ac:dyDescent="0.25">
      <c r="B12468" s="11"/>
    </row>
    <row r="12469" spans="2:2" x14ac:dyDescent="0.25">
      <c r="B12469" s="11"/>
    </row>
    <row r="12470" spans="2:2" x14ac:dyDescent="0.25">
      <c r="B12470" s="11"/>
    </row>
    <row r="12471" spans="2:2" x14ac:dyDescent="0.25">
      <c r="B12471" s="11"/>
    </row>
    <row r="12472" spans="2:2" x14ac:dyDescent="0.25">
      <c r="B12472" s="11"/>
    </row>
    <row r="12473" spans="2:2" x14ac:dyDescent="0.25">
      <c r="B12473" s="11"/>
    </row>
    <row r="12474" spans="2:2" x14ac:dyDescent="0.25">
      <c r="B12474" s="11"/>
    </row>
    <row r="12475" spans="2:2" x14ac:dyDescent="0.25">
      <c r="B12475" s="11"/>
    </row>
    <row r="12476" spans="2:2" x14ac:dyDescent="0.25">
      <c r="B12476" s="11"/>
    </row>
    <row r="12477" spans="2:2" x14ac:dyDescent="0.25">
      <c r="B12477" s="11"/>
    </row>
    <row r="12478" spans="2:2" x14ac:dyDescent="0.25">
      <c r="B12478" s="11"/>
    </row>
    <row r="12479" spans="2:2" x14ac:dyDescent="0.25">
      <c r="B12479" s="11"/>
    </row>
    <row r="12480" spans="2:2" x14ac:dyDescent="0.25">
      <c r="B12480" s="11"/>
    </row>
    <row r="12481" spans="2:2" x14ac:dyDescent="0.25">
      <c r="B12481" s="11"/>
    </row>
    <row r="12482" spans="2:2" x14ac:dyDescent="0.25">
      <c r="B12482" s="11"/>
    </row>
    <row r="12483" spans="2:2" x14ac:dyDescent="0.25">
      <c r="B12483" s="11"/>
    </row>
    <row r="12484" spans="2:2" x14ac:dyDescent="0.25">
      <c r="B12484" s="11"/>
    </row>
    <row r="12485" spans="2:2" x14ac:dyDescent="0.25">
      <c r="B12485" s="11"/>
    </row>
    <row r="12486" spans="2:2" x14ac:dyDescent="0.25">
      <c r="B12486" s="11"/>
    </row>
    <row r="12487" spans="2:2" x14ac:dyDescent="0.25">
      <c r="B12487" s="11"/>
    </row>
    <row r="12488" spans="2:2" x14ac:dyDescent="0.25">
      <c r="B12488" s="11"/>
    </row>
    <row r="12489" spans="2:2" x14ac:dyDescent="0.25">
      <c r="B12489" s="11"/>
    </row>
    <row r="12490" spans="2:2" x14ac:dyDescent="0.25">
      <c r="B12490" s="11"/>
    </row>
    <row r="12491" spans="2:2" x14ac:dyDescent="0.25">
      <c r="B12491" s="11"/>
    </row>
    <row r="12492" spans="2:2" x14ac:dyDescent="0.25">
      <c r="B12492" s="11"/>
    </row>
    <row r="12493" spans="2:2" x14ac:dyDescent="0.25">
      <c r="B12493" s="11"/>
    </row>
    <row r="12494" spans="2:2" x14ac:dyDescent="0.25">
      <c r="B12494" s="11"/>
    </row>
    <row r="12495" spans="2:2" x14ac:dyDescent="0.25">
      <c r="B12495" s="11"/>
    </row>
    <row r="12496" spans="2:2" x14ac:dyDescent="0.25">
      <c r="B12496" s="11"/>
    </row>
    <row r="12497" spans="2:2" x14ac:dyDescent="0.25">
      <c r="B12497" s="11"/>
    </row>
    <row r="12498" spans="2:2" x14ac:dyDescent="0.25">
      <c r="B12498" s="11"/>
    </row>
    <row r="12499" spans="2:2" x14ac:dyDescent="0.25">
      <c r="B12499" s="11"/>
    </row>
    <row r="12500" spans="2:2" x14ac:dyDescent="0.25">
      <c r="B12500" s="11"/>
    </row>
    <row r="12501" spans="2:2" x14ac:dyDescent="0.25">
      <c r="B12501" s="11"/>
    </row>
    <row r="12502" spans="2:2" x14ac:dyDescent="0.25">
      <c r="B12502" s="11"/>
    </row>
    <row r="12503" spans="2:2" x14ac:dyDescent="0.25">
      <c r="B12503" s="11"/>
    </row>
    <row r="12504" spans="2:2" x14ac:dyDescent="0.25">
      <c r="B12504" s="11"/>
    </row>
    <row r="12505" spans="2:2" x14ac:dyDescent="0.25">
      <c r="B12505" s="11"/>
    </row>
    <row r="12506" spans="2:2" x14ac:dyDescent="0.25">
      <c r="B12506" s="11"/>
    </row>
    <row r="12507" spans="2:2" x14ac:dyDescent="0.25">
      <c r="B12507" s="11"/>
    </row>
    <row r="12508" spans="2:2" x14ac:dyDescent="0.25">
      <c r="B12508" s="11"/>
    </row>
    <row r="12509" spans="2:2" x14ac:dyDescent="0.25">
      <c r="B12509" s="11"/>
    </row>
    <row r="12510" spans="2:2" x14ac:dyDescent="0.25">
      <c r="B12510" s="11"/>
    </row>
    <row r="12511" spans="2:2" x14ac:dyDescent="0.25">
      <c r="B12511" s="11"/>
    </row>
    <row r="12512" spans="2:2" x14ac:dyDescent="0.25">
      <c r="B12512" s="11"/>
    </row>
    <row r="12513" spans="2:2" x14ac:dyDescent="0.25">
      <c r="B12513" s="11"/>
    </row>
    <row r="12514" spans="2:2" x14ac:dyDescent="0.25">
      <c r="B12514" s="11"/>
    </row>
    <row r="12515" spans="2:2" x14ac:dyDescent="0.25">
      <c r="B12515" s="11"/>
    </row>
    <row r="12516" spans="2:2" x14ac:dyDescent="0.25">
      <c r="B12516" s="11"/>
    </row>
    <row r="12517" spans="2:2" x14ac:dyDescent="0.25">
      <c r="B12517" s="11"/>
    </row>
    <row r="12518" spans="2:2" x14ac:dyDescent="0.25">
      <c r="B12518" s="11"/>
    </row>
    <row r="12519" spans="2:2" x14ac:dyDescent="0.25">
      <c r="B12519" s="11"/>
    </row>
    <row r="12520" spans="2:2" x14ac:dyDescent="0.25">
      <c r="B12520" s="11"/>
    </row>
    <row r="12521" spans="2:2" x14ac:dyDescent="0.25">
      <c r="B12521" s="11"/>
    </row>
    <row r="12522" spans="2:2" x14ac:dyDescent="0.25">
      <c r="B12522" s="11"/>
    </row>
    <row r="12523" spans="2:2" x14ac:dyDescent="0.25">
      <c r="B12523" s="11"/>
    </row>
    <row r="12524" spans="2:2" x14ac:dyDescent="0.25">
      <c r="B12524" s="11"/>
    </row>
    <row r="12525" spans="2:2" x14ac:dyDescent="0.25">
      <c r="B12525" s="11"/>
    </row>
    <row r="12526" spans="2:2" x14ac:dyDescent="0.25">
      <c r="B12526" s="11"/>
    </row>
    <row r="12527" spans="2:2" x14ac:dyDescent="0.25">
      <c r="B12527" s="11"/>
    </row>
    <row r="12528" spans="2:2" x14ac:dyDescent="0.25">
      <c r="B12528" s="11"/>
    </row>
    <row r="12529" spans="2:2" x14ac:dyDescent="0.25">
      <c r="B12529" s="11"/>
    </row>
    <row r="12530" spans="2:2" x14ac:dyDescent="0.25">
      <c r="B12530" s="11"/>
    </row>
    <row r="12531" spans="2:2" x14ac:dyDescent="0.25">
      <c r="B12531" s="11"/>
    </row>
    <row r="12532" spans="2:2" x14ac:dyDescent="0.25">
      <c r="B12532" s="11"/>
    </row>
    <row r="12533" spans="2:2" x14ac:dyDescent="0.25">
      <c r="B12533" s="11"/>
    </row>
    <row r="12534" spans="2:2" x14ac:dyDescent="0.25">
      <c r="B12534" s="11"/>
    </row>
    <row r="12535" spans="2:2" x14ac:dyDescent="0.25">
      <c r="B12535" s="11"/>
    </row>
    <row r="12536" spans="2:2" x14ac:dyDescent="0.25">
      <c r="B12536" s="11"/>
    </row>
    <row r="12537" spans="2:2" x14ac:dyDescent="0.25">
      <c r="B12537" s="11"/>
    </row>
    <row r="12538" spans="2:2" x14ac:dyDescent="0.25">
      <c r="B12538" s="11"/>
    </row>
    <row r="12539" spans="2:2" x14ac:dyDescent="0.25">
      <c r="B12539" s="11"/>
    </row>
    <row r="12540" spans="2:2" x14ac:dyDescent="0.25">
      <c r="B12540" s="11"/>
    </row>
    <row r="12541" spans="2:2" x14ac:dyDescent="0.25">
      <c r="B12541" s="11"/>
    </row>
    <row r="12542" spans="2:2" x14ac:dyDescent="0.25">
      <c r="B12542" s="11"/>
    </row>
    <row r="12543" spans="2:2" x14ac:dyDescent="0.25">
      <c r="B12543" s="11"/>
    </row>
    <row r="12544" spans="2:2" x14ac:dyDescent="0.25">
      <c r="B12544" s="11"/>
    </row>
    <row r="12545" spans="2:2" x14ac:dyDescent="0.25">
      <c r="B12545" s="11"/>
    </row>
    <row r="12546" spans="2:2" x14ac:dyDescent="0.25">
      <c r="B12546" s="11"/>
    </row>
    <row r="12547" spans="2:2" x14ac:dyDescent="0.25">
      <c r="B12547" s="11"/>
    </row>
    <row r="12548" spans="2:2" x14ac:dyDescent="0.25">
      <c r="B12548" s="11"/>
    </row>
    <row r="12549" spans="2:2" x14ac:dyDescent="0.25">
      <c r="B12549" s="11"/>
    </row>
    <row r="12550" spans="2:2" x14ac:dyDescent="0.25">
      <c r="B12550" s="11"/>
    </row>
    <row r="12551" spans="2:2" x14ac:dyDescent="0.25">
      <c r="B12551" s="11"/>
    </row>
    <row r="12552" spans="2:2" x14ac:dyDescent="0.25">
      <c r="B12552" s="11"/>
    </row>
    <row r="12553" spans="2:2" x14ac:dyDescent="0.25">
      <c r="B12553" s="11"/>
    </row>
    <row r="12554" spans="2:2" x14ac:dyDescent="0.25">
      <c r="B12554" s="11"/>
    </row>
    <row r="12555" spans="2:2" x14ac:dyDescent="0.25">
      <c r="B12555" s="11"/>
    </row>
    <row r="12556" spans="2:2" x14ac:dyDescent="0.25">
      <c r="B12556" s="11"/>
    </row>
    <row r="12557" spans="2:2" x14ac:dyDescent="0.25">
      <c r="B12557" s="11"/>
    </row>
    <row r="12558" spans="2:2" x14ac:dyDescent="0.25">
      <c r="B12558" s="11"/>
    </row>
    <row r="12559" spans="2:2" x14ac:dyDescent="0.25">
      <c r="B12559" s="11"/>
    </row>
    <row r="12560" spans="2:2" x14ac:dyDescent="0.25">
      <c r="B12560" s="11"/>
    </row>
    <row r="12561" spans="2:2" x14ac:dyDescent="0.25">
      <c r="B12561" s="11"/>
    </row>
    <row r="12562" spans="2:2" x14ac:dyDescent="0.25">
      <c r="B12562" s="11"/>
    </row>
    <row r="12563" spans="2:2" x14ac:dyDescent="0.25">
      <c r="B12563" s="11"/>
    </row>
    <row r="12564" spans="2:2" x14ac:dyDescent="0.25">
      <c r="B12564" s="11"/>
    </row>
    <row r="12565" spans="2:2" x14ac:dyDescent="0.25">
      <c r="B12565" s="11"/>
    </row>
    <row r="12566" spans="2:2" x14ac:dyDescent="0.25">
      <c r="B12566" s="11"/>
    </row>
    <row r="12567" spans="2:2" x14ac:dyDescent="0.25">
      <c r="B12567" s="11"/>
    </row>
    <row r="12568" spans="2:2" x14ac:dyDescent="0.25">
      <c r="B12568" s="11"/>
    </row>
    <row r="12569" spans="2:2" x14ac:dyDescent="0.25">
      <c r="B12569" s="11"/>
    </row>
    <row r="12570" spans="2:2" x14ac:dyDescent="0.25">
      <c r="B12570" s="11"/>
    </row>
    <row r="12571" spans="2:2" x14ac:dyDescent="0.25">
      <c r="B12571" s="11"/>
    </row>
    <row r="12572" spans="2:2" x14ac:dyDescent="0.25">
      <c r="B12572" s="11"/>
    </row>
    <row r="12573" spans="2:2" x14ac:dyDescent="0.25">
      <c r="B12573" s="11"/>
    </row>
    <row r="12574" spans="2:2" x14ac:dyDescent="0.25">
      <c r="B12574" s="11"/>
    </row>
    <row r="12575" spans="2:2" x14ac:dyDescent="0.25">
      <c r="B12575" s="11"/>
    </row>
    <row r="12576" spans="2:2" x14ac:dyDescent="0.25">
      <c r="B12576" s="11"/>
    </row>
    <row r="12577" spans="2:2" x14ac:dyDescent="0.25">
      <c r="B12577" s="11"/>
    </row>
    <row r="12578" spans="2:2" x14ac:dyDescent="0.25">
      <c r="B12578" s="11"/>
    </row>
    <row r="12579" spans="2:2" x14ac:dyDescent="0.25">
      <c r="B12579" s="11"/>
    </row>
    <row r="12580" spans="2:2" x14ac:dyDescent="0.25">
      <c r="B12580" s="11"/>
    </row>
    <row r="12581" spans="2:2" x14ac:dyDescent="0.25">
      <c r="B12581" s="11"/>
    </row>
    <row r="12582" spans="2:2" x14ac:dyDescent="0.25">
      <c r="B12582" s="11"/>
    </row>
    <row r="12583" spans="2:2" x14ac:dyDescent="0.25">
      <c r="B12583" s="11"/>
    </row>
    <row r="12584" spans="2:2" x14ac:dyDescent="0.25">
      <c r="B12584" s="11"/>
    </row>
    <row r="12585" spans="2:2" x14ac:dyDescent="0.25">
      <c r="B12585" s="11"/>
    </row>
    <row r="12586" spans="2:2" x14ac:dyDescent="0.25">
      <c r="B12586" s="11"/>
    </row>
    <row r="12587" spans="2:2" x14ac:dyDescent="0.25">
      <c r="B12587" s="11"/>
    </row>
    <row r="12588" spans="2:2" x14ac:dyDescent="0.25">
      <c r="B12588" s="11"/>
    </row>
    <row r="12589" spans="2:2" x14ac:dyDescent="0.25">
      <c r="B12589" s="11"/>
    </row>
    <row r="12590" spans="2:2" x14ac:dyDescent="0.25">
      <c r="B12590" s="11"/>
    </row>
    <row r="12591" spans="2:2" x14ac:dyDescent="0.25">
      <c r="B12591" s="11"/>
    </row>
    <row r="12592" spans="2:2" x14ac:dyDescent="0.25">
      <c r="B12592" s="11"/>
    </row>
    <row r="12593" spans="2:2" x14ac:dyDescent="0.25">
      <c r="B12593" s="11"/>
    </row>
    <row r="12594" spans="2:2" x14ac:dyDescent="0.25">
      <c r="B12594" s="11"/>
    </row>
    <row r="12595" spans="2:2" x14ac:dyDescent="0.25">
      <c r="B12595" s="11"/>
    </row>
    <row r="12596" spans="2:2" x14ac:dyDescent="0.25">
      <c r="B12596" s="11"/>
    </row>
    <row r="12597" spans="2:2" x14ac:dyDescent="0.25">
      <c r="B12597" s="11"/>
    </row>
    <row r="12598" spans="2:2" x14ac:dyDescent="0.25">
      <c r="B12598" s="11"/>
    </row>
    <row r="12599" spans="2:2" x14ac:dyDescent="0.25">
      <c r="B12599" s="11"/>
    </row>
    <row r="12600" spans="2:2" x14ac:dyDescent="0.25">
      <c r="B12600" s="11"/>
    </row>
    <row r="12601" spans="2:2" x14ac:dyDescent="0.25">
      <c r="B12601" s="11"/>
    </row>
    <row r="12602" spans="2:2" x14ac:dyDescent="0.25">
      <c r="B12602" s="11"/>
    </row>
    <row r="12603" spans="2:2" x14ac:dyDescent="0.25">
      <c r="B12603" s="11"/>
    </row>
    <row r="12604" spans="2:2" x14ac:dyDescent="0.25">
      <c r="B12604" s="11"/>
    </row>
    <row r="12605" spans="2:2" x14ac:dyDescent="0.25">
      <c r="B12605" s="11"/>
    </row>
    <row r="12606" spans="2:2" x14ac:dyDescent="0.25">
      <c r="B12606" s="11"/>
    </row>
    <row r="12607" spans="2:2" x14ac:dyDescent="0.25">
      <c r="B12607" s="11"/>
    </row>
    <row r="12608" spans="2:2" x14ac:dyDescent="0.25">
      <c r="B12608" s="11"/>
    </row>
    <row r="12609" spans="2:2" x14ac:dyDescent="0.25">
      <c r="B12609" s="11"/>
    </row>
    <row r="12610" spans="2:2" x14ac:dyDescent="0.25">
      <c r="B12610" s="11"/>
    </row>
    <row r="12611" spans="2:2" x14ac:dyDescent="0.25">
      <c r="B12611" s="11"/>
    </row>
    <row r="12612" spans="2:2" x14ac:dyDescent="0.25">
      <c r="B12612" s="11"/>
    </row>
    <row r="12613" spans="2:2" x14ac:dyDescent="0.25">
      <c r="B12613" s="11"/>
    </row>
    <row r="12614" spans="2:2" x14ac:dyDescent="0.25">
      <c r="B12614" s="11"/>
    </row>
    <row r="12615" spans="2:2" x14ac:dyDescent="0.25">
      <c r="B12615" s="11"/>
    </row>
    <row r="12616" spans="2:2" x14ac:dyDescent="0.25">
      <c r="B12616" s="11"/>
    </row>
    <row r="12617" spans="2:2" x14ac:dyDescent="0.25">
      <c r="B12617" s="11"/>
    </row>
    <row r="12618" spans="2:2" x14ac:dyDescent="0.25">
      <c r="B12618" s="11"/>
    </row>
    <row r="12619" spans="2:2" x14ac:dyDescent="0.25">
      <c r="B12619" s="11"/>
    </row>
    <row r="12620" spans="2:2" x14ac:dyDescent="0.25">
      <c r="B12620" s="11"/>
    </row>
    <row r="12621" spans="2:2" x14ac:dyDescent="0.25">
      <c r="B12621" s="11"/>
    </row>
    <row r="12622" spans="2:2" x14ac:dyDescent="0.25">
      <c r="B12622" s="11"/>
    </row>
    <row r="12623" spans="2:2" x14ac:dyDescent="0.25">
      <c r="B12623" s="11"/>
    </row>
    <row r="12624" spans="2:2" x14ac:dyDescent="0.25">
      <c r="B12624" s="11"/>
    </row>
    <row r="12625" spans="2:2" x14ac:dyDescent="0.25">
      <c r="B12625" s="11"/>
    </row>
    <row r="12626" spans="2:2" x14ac:dyDescent="0.25">
      <c r="B12626" s="11"/>
    </row>
    <row r="12627" spans="2:2" x14ac:dyDescent="0.25">
      <c r="B12627" s="11"/>
    </row>
    <row r="12628" spans="2:2" x14ac:dyDescent="0.25">
      <c r="B12628" s="11"/>
    </row>
    <row r="12629" spans="2:2" x14ac:dyDescent="0.25">
      <c r="B12629" s="11"/>
    </row>
    <row r="12630" spans="2:2" x14ac:dyDescent="0.25">
      <c r="B12630" s="11"/>
    </row>
    <row r="12631" spans="2:2" x14ac:dyDescent="0.25">
      <c r="B12631" s="11"/>
    </row>
    <row r="12632" spans="2:2" x14ac:dyDescent="0.25">
      <c r="B12632" s="11"/>
    </row>
    <row r="12633" spans="2:2" x14ac:dyDescent="0.25">
      <c r="B12633" s="11"/>
    </row>
    <row r="12634" spans="2:2" x14ac:dyDescent="0.25">
      <c r="B12634" s="11"/>
    </row>
    <row r="12635" spans="2:2" x14ac:dyDescent="0.25">
      <c r="B12635" s="11"/>
    </row>
    <row r="12636" spans="2:2" x14ac:dyDescent="0.25">
      <c r="B12636" s="11"/>
    </row>
    <row r="12637" spans="2:2" x14ac:dyDescent="0.25">
      <c r="B12637" s="11"/>
    </row>
    <row r="12638" spans="2:2" x14ac:dyDescent="0.25">
      <c r="B12638" s="11"/>
    </row>
    <row r="12639" spans="2:2" x14ac:dyDescent="0.25">
      <c r="B12639" s="11"/>
    </row>
    <row r="12640" spans="2:2" x14ac:dyDescent="0.25">
      <c r="B12640" s="11"/>
    </row>
    <row r="12641" spans="2:2" x14ac:dyDescent="0.25">
      <c r="B12641" s="11"/>
    </row>
    <row r="12642" spans="2:2" x14ac:dyDescent="0.25">
      <c r="B12642" s="11"/>
    </row>
    <row r="12643" spans="2:2" x14ac:dyDescent="0.25">
      <c r="B12643" s="11"/>
    </row>
    <row r="12644" spans="2:2" x14ac:dyDescent="0.25">
      <c r="B12644" s="11"/>
    </row>
    <row r="12645" spans="2:2" x14ac:dyDescent="0.25">
      <c r="B12645" s="11"/>
    </row>
    <row r="12646" spans="2:2" x14ac:dyDescent="0.25">
      <c r="B12646" s="11"/>
    </row>
    <row r="12647" spans="2:2" x14ac:dyDescent="0.25">
      <c r="B12647" s="11"/>
    </row>
    <row r="12648" spans="2:2" x14ac:dyDescent="0.25">
      <c r="B12648" s="11"/>
    </row>
    <row r="12649" spans="2:2" x14ac:dyDescent="0.25">
      <c r="B12649" s="11"/>
    </row>
    <row r="12650" spans="2:2" x14ac:dyDescent="0.25">
      <c r="B12650" s="11"/>
    </row>
    <row r="12651" spans="2:2" x14ac:dyDescent="0.25">
      <c r="B12651" s="11"/>
    </row>
    <row r="12652" spans="2:2" x14ac:dyDescent="0.25">
      <c r="B12652" s="11"/>
    </row>
    <row r="12653" spans="2:2" x14ac:dyDescent="0.25">
      <c r="B12653" s="11"/>
    </row>
    <row r="12654" spans="2:2" x14ac:dyDescent="0.25">
      <c r="B12654" s="11"/>
    </row>
    <row r="12655" spans="2:2" x14ac:dyDescent="0.25">
      <c r="B12655" s="11"/>
    </row>
    <row r="12656" spans="2:2" x14ac:dyDescent="0.25">
      <c r="B12656" s="11"/>
    </row>
    <row r="12657" spans="2:2" x14ac:dyDescent="0.25">
      <c r="B12657" s="11"/>
    </row>
    <row r="12658" spans="2:2" x14ac:dyDescent="0.25">
      <c r="B12658" s="11"/>
    </row>
    <row r="12659" spans="2:2" x14ac:dyDescent="0.25">
      <c r="B12659" s="11"/>
    </row>
    <row r="12660" spans="2:2" x14ac:dyDescent="0.25">
      <c r="B12660" s="11"/>
    </row>
    <row r="12661" spans="2:2" x14ac:dyDescent="0.25">
      <c r="B12661" s="11"/>
    </row>
    <row r="12662" spans="2:2" x14ac:dyDescent="0.25">
      <c r="B12662" s="11"/>
    </row>
    <row r="12663" spans="2:2" x14ac:dyDescent="0.25">
      <c r="B12663" s="11"/>
    </row>
    <row r="12664" spans="2:2" x14ac:dyDescent="0.25">
      <c r="B12664" s="11"/>
    </row>
    <row r="12665" spans="2:2" x14ac:dyDescent="0.25">
      <c r="B12665" s="11"/>
    </row>
    <row r="12666" spans="2:2" x14ac:dyDescent="0.25">
      <c r="B12666" s="11"/>
    </row>
    <row r="12667" spans="2:2" x14ac:dyDescent="0.25">
      <c r="B12667" s="11"/>
    </row>
    <row r="12668" spans="2:2" x14ac:dyDescent="0.25">
      <c r="B12668" s="11"/>
    </row>
    <row r="12669" spans="2:2" x14ac:dyDescent="0.25">
      <c r="B12669" s="11"/>
    </row>
    <row r="12670" spans="2:2" x14ac:dyDescent="0.25">
      <c r="B12670" s="11"/>
    </row>
    <row r="12671" spans="2:2" x14ac:dyDescent="0.25">
      <c r="B12671" s="11"/>
    </row>
    <row r="12672" spans="2:2" x14ac:dyDescent="0.25">
      <c r="B12672" s="11"/>
    </row>
    <row r="12673" spans="2:2" x14ac:dyDescent="0.25">
      <c r="B12673" s="11"/>
    </row>
    <row r="12674" spans="2:2" x14ac:dyDescent="0.25">
      <c r="B12674" s="11"/>
    </row>
    <row r="12675" spans="2:2" x14ac:dyDescent="0.25">
      <c r="B12675" s="11"/>
    </row>
    <row r="12676" spans="2:2" x14ac:dyDescent="0.25">
      <c r="B12676" s="11"/>
    </row>
    <row r="12677" spans="2:2" x14ac:dyDescent="0.25">
      <c r="B12677" s="11"/>
    </row>
    <row r="12678" spans="2:2" x14ac:dyDescent="0.25">
      <c r="B12678" s="11"/>
    </row>
    <row r="12679" spans="2:2" x14ac:dyDescent="0.25">
      <c r="B12679" s="11"/>
    </row>
    <row r="12680" spans="2:2" x14ac:dyDescent="0.25">
      <c r="B12680" s="11"/>
    </row>
    <row r="12681" spans="2:2" x14ac:dyDescent="0.25">
      <c r="B12681" s="11"/>
    </row>
    <row r="12682" spans="2:2" x14ac:dyDescent="0.25">
      <c r="B12682" s="11"/>
    </row>
    <row r="12683" spans="2:2" x14ac:dyDescent="0.25">
      <c r="B12683" s="11"/>
    </row>
    <row r="12684" spans="2:2" x14ac:dyDescent="0.25">
      <c r="B12684" s="11"/>
    </row>
    <row r="12685" spans="2:2" x14ac:dyDescent="0.25">
      <c r="B12685" s="11"/>
    </row>
    <row r="12686" spans="2:2" x14ac:dyDescent="0.25">
      <c r="B12686" s="11"/>
    </row>
    <row r="12687" spans="2:2" x14ac:dyDescent="0.25">
      <c r="B12687" s="11"/>
    </row>
    <row r="12688" spans="2:2" x14ac:dyDescent="0.25">
      <c r="B12688" s="11"/>
    </row>
    <row r="12689" spans="2:2" x14ac:dyDescent="0.25">
      <c r="B12689" s="11"/>
    </row>
    <row r="12690" spans="2:2" x14ac:dyDescent="0.25">
      <c r="B12690" s="11"/>
    </row>
    <row r="12691" spans="2:2" x14ac:dyDescent="0.25">
      <c r="B12691" s="11"/>
    </row>
    <row r="12692" spans="2:2" x14ac:dyDescent="0.25">
      <c r="B12692" s="11"/>
    </row>
    <row r="12693" spans="2:2" x14ac:dyDescent="0.25">
      <c r="B12693" s="11"/>
    </row>
    <row r="12694" spans="2:2" x14ac:dyDescent="0.25">
      <c r="B12694" s="11"/>
    </row>
    <row r="12695" spans="2:2" x14ac:dyDescent="0.25">
      <c r="B12695" s="11"/>
    </row>
    <row r="12696" spans="2:2" x14ac:dyDescent="0.25">
      <c r="B12696" s="11"/>
    </row>
    <row r="12697" spans="2:2" x14ac:dyDescent="0.25">
      <c r="B12697" s="11"/>
    </row>
    <row r="12698" spans="2:2" x14ac:dyDescent="0.25">
      <c r="B12698" s="11"/>
    </row>
    <row r="12699" spans="2:2" x14ac:dyDescent="0.25">
      <c r="B12699" s="11"/>
    </row>
    <row r="12700" spans="2:2" x14ac:dyDescent="0.25">
      <c r="B12700" s="11"/>
    </row>
    <row r="12701" spans="2:2" x14ac:dyDescent="0.25">
      <c r="B12701" s="11"/>
    </row>
    <row r="12702" spans="2:2" x14ac:dyDescent="0.25">
      <c r="B12702" s="11"/>
    </row>
    <row r="12703" spans="2:2" x14ac:dyDescent="0.25">
      <c r="B12703" s="11"/>
    </row>
    <row r="12704" spans="2:2" x14ac:dyDescent="0.25">
      <c r="B12704" s="11"/>
    </row>
    <row r="12705" spans="2:2" x14ac:dyDescent="0.25">
      <c r="B12705" s="11"/>
    </row>
    <row r="12706" spans="2:2" x14ac:dyDescent="0.25">
      <c r="B12706" s="11"/>
    </row>
    <row r="12707" spans="2:2" x14ac:dyDescent="0.25">
      <c r="B12707" s="11"/>
    </row>
    <row r="12708" spans="2:2" x14ac:dyDescent="0.25">
      <c r="B12708" s="11"/>
    </row>
    <row r="12709" spans="2:2" x14ac:dyDescent="0.25">
      <c r="B12709" s="11"/>
    </row>
    <row r="12710" spans="2:2" x14ac:dyDescent="0.25">
      <c r="B12710" s="11"/>
    </row>
    <row r="12711" spans="2:2" x14ac:dyDescent="0.25">
      <c r="B12711" s="11"/>
    </row>
    <row r="12712" spans="2:2" x14ac:dyDescent="0.25">
      <c r="B12712" s="11"/>
    </row>
    <row r="12713" spans="2:2" x14ac:dyDescent="0.25">
      <c r="B12713" s="11"/>
    </row>
    <row r="12714" spans="2:2" x14ac:dyDescent="0.25">
      <c r="B12714" s="11"/>
    </row>
    <row r="12715" spans="2:2" x14ac:dyDescent="0.25">
      <c r="B12715" s="11"/>
    </row>
    <row r="12716" spans="2:2" x14ac:dyDescent="0.25">
      <c r="B12716" s="11"/>
    </row>
    <row r="12717" spans="2:2" x14ac:dyDescent="0.25">
      <c r="B12717" s="11"/>
    </row>
    <row r="12718" spans="2:2" x14ac:dyDescent="0.25">
      <c r="B12718" s="11"/>
    </row>
    <row r="12719" spans="2:2" x14ac:dyDescent="0.25">
      <c r="B12719" s="11"/>
    </row>
    <row r="12720" spans="2:2" x14ac:dyDescent="0.25">
      <c r="B12720" s="11"/>
    </row>
    <row r="12721" spans="2:2" x14ac:dyDescent="0.25">
      <c r="B12721" s="11"/>
    </row>
    <row r="12722" spans="2:2" x14ac:dyDescent="0.25">
      <c r="B12722" s="11"/>
    </row>
    <row r="12723" spans="2:2" x14ac:dyDescent="0.25">
      <c r="B12723" s="11"/>
    </row>
    <row r="12724" spans="2:2" x14ac:dyDescent="0.25">
      <c r="B12724" s="11"/>
    </row>
    <row r="12725" spans="2:2" x14ac:dyDescent="0.25">
      <c r="B12725" s="11"/>
    </row>
    <row r="12726" spans="2:2" x14ac:dyDescent="0.25">
      <c r="B12726" s="11"/>
    </row>
    <row r="12727" spans="2:2" x14ac:dyDescent="0.25">
      <c r="B12727" s="11"/>
    </row>
    <row r="12728" spans="2:2" x14ac:dyDescent="0.25">
      <c r="B12728" s="11"/>
    </row>
    <row r="12729" spans="2:2" x14ac:dyDescent="0.25">
      <c r="B12729" s="11"/>
    </row>
    <row r="12730" spans="2:2" x14ac:dyDescent="0.25">
      <c r="B12730" s="11"/>
    </row>
    <row r="12731" spans="2:2" x14ac:dyDescent="0.25">
      <c r="B12731" s="11"/>
    </row>
    <row r="12732" spans="2:2" x14ac:dyDescent="0.25">
      <c r="B12732" s="11"/>
    </row>
    <row r="12733" spans="2:2" x14ac:dyDescent="0.25">
      <c r="B12733" s="11"/>
    </row>
    <row r="12734" spans="2:2" x14ac:dyDescent="0.25">
      <c r="B12734" s="11"/>
    </row>
    <row r="12735" spans="2:2" x14ac:dyDescent="0.25">
      <c r="B12735" s="11"/>
    </row>
    <row r="12736" spans="2:2" x14ac:dyDescent="0.25">
      <c r="B12736" s="11"/>
    </row>
    <row r="12737" spans="2:2" x14ac:dyDescent="0.25">
      <c r="B12737" s="11"/>
    </row>
    <row r="12738" spans="2:2" x14ac:dyDescent="0.25">
      <c r="B12738" s="11"/>
    </row>
    <row r="12739" spans="2:2" x14ac:dyDescent="0.25">
      <c r="B12739" s="11"/>
    </row>
    <row r="12740" spans="2:2" x14ac:dyDescent="0.25">
      <c r="B12740" s="11"/>
    </row>
    <row r="12741" spans="2:2" x14ac:dyDescent="0.25">
      <c r="B12741" s="11"/>
    </row>
    <row r="12742" spans="2:2" x14ac:dyDescent="0.25">
      <c r="B12742" s="11"/>
    </row>
    <row r="12743" spans="2:2" x14ac:dyDescent="0.25">
      <c r="B12743" s="11"/>
    </row>
    <row r="12744" spans="2:2" x14ac:dyDescent="0.25">
      <c r="B12744" s="11"/>
    </row>
    <row r="12745" spans="2:2" x14ac:dyDescent="0.25">
      <c r="B12745" s="11"/>
    </row>
    <row r="12746" spans="2:2" x14ac:dyDescent="0.25">
      <c r="B12746" s="11"/>
    </row>
    <row r="12747" spans="2:2" x14ac:dyDescent="0.25">
      <c r="B12747" s="11"/>
    </row>
    <row r="12748" spans="2:2" x14ac:dyDescent="0.25">
      <c r="B12748" s="11"/>
    </row>
    <row r="12749" spans="2:2" x14ac:dyDescent="0.25">
      <c r="B12749" s="11"/>
    </row>
    <row r="12750" spans="2:2" x14ac:dyDescent="0.25">
      <c r="B12750" s="11"/>
    </row>
    <row r="12751" spans="2:2" x14ac:dyDescent="0.25">
      <c r="B12751" s="11"/>
    </row>
    <row r="12752" spans="2:2" x14ac:dyDescent="0.25">
      <c r="B12752" s="11"/>
    </row>
    <row r="12753" spans="2:2" x14ac:dyDescent="0.25">
      <c r="B12753" s="11"/>
    </row>
    <row r="12754" spans="2:2" x14ac:dyDescent="0.25">
      <c r="B12754" s="11"/>
    </row>
    <row r="12755" spans="2:2" x14ac:dyDescent="0.25">
      <c r="B12755" s="11"/>
    </row>
    <row r="12756" spans="2:2" x14ac:dyDescent="0.25">
      <c r="B12756" s="11"/>
    </row>
    <row r="12757" spans="2:2" x14ac:dyDescent="0.25">
      <c r="B12757" s="11"/>
    </row>
    <row r="12758" spans="2:2" x14ac:dyDescent="0.25">
      <c r="B12758" s="11"/>
    </row>
    <row r="12759" spans="2:2" x14ac:dyDescent="0.25">
      <c r="B12759" s="11"/>
    </row>
    <row r="12760" spans="2:2" x14ac:dyDescent="0.25">
      <c r="B12760" s="11"/>
    </row>
    <row r="12761" spans="2:2" x14ac:dyDescent="0.25">
      <c r="B12761" s="11"/>
    </row>
    <row r="12762" spans="2:2" x14ac:dyDescent="0.25">
      <c r="B12762" s="11"/>
    </row>
    <row r="12763" spans="2:2" x14ac:dyDescent="0.25">
      <c r="B12763" s="11"/>
    </row>
    <row r="12764" spans="2:2" x14ac:dyDescent="0.25">
      <c r="B12764" s="11"/>
    </row>
    <row r="12765" spans="2:2" x14ac:dyDescent="0.25">
      <c r="B12765" s="11"/>
    </row>
    <row r="12766" spans="2:2" x14ac:dyDescent="0.25">
      <c r="B12766" s="11"/>
    </row>
    <row r="12767" spans="2:2" x14ac:dyDescent="0.25">
      <c r="B12767" s="11"/>
    </row>
    <row r="12768" spans="2:2" x14ac:dyDescent="0.25">
      <c r="B12768" s="11"/>
    </row>
    <row r="12769" spans="2:2" x14ac:dyDescent="0.25">
      <c r="B12769" s="11"/>
    </row>
    <row r="12770" spans="2:2" x14ac:dyDescent="0.25">
      <c r="B12770" s="11"/>
    </row>
    <row r="12771" spans="2:2" x14ac:dyDescent="0.25">
      <c r="B12771" s="11"/>
    </row>
    <row r="12772" spans="2:2" x14ac:dyDescent="0.25">
      <c r="B12772" s="11"/>
    </row>
    <row r="12773" spans="2:2" x14ac:dyDescent="0.25">
      <c r="B12773" s="11"/>
    </row>
    <row r="12774" spans="2:2" x14ac:dyDescent="0.25">
      <c r="B12774" s="11"/>
    </row>
    <row r="12775" spans="2:2" x14ac:dyDescent="0.25">
      <c r="B12775" s="11"/>
    </row>
    <row r="12776" spans="2:2" x14ac:dyDescent="0.25">
      <c r="B12776" s="11"/>
    </row>
    <row r="12777" spans="2:2" x14ac:dyDescent="0.25">
      <c r="B12777" s="11"/>
    </row>
    <row r="12778" spans="2:2" x14ac:dyDescent="0.25">
      <c r="B12778" s="11"/>
    </row>
    <row r="12779" spans="2:2" x14ac:dyDescent="0.25">
      <c r="B12779" s="11"/>
    </row>
    <row r="12780" spans="2:2" x14ac:dyDescent="0.25">
      <c r="B12780" s="11"/>
    </row>
    <row r="12781" spans="2:2" x14ac:dyDescent="0.25">
      <c r="B12781" s="11"/>
    </row>
    <row r="12782" spans="2:2" x14ac:dyDescent="0.25">
      <c r="B12782" s="11"/>
    </row>
    <row r="12783" spans="2:2" x14ac:dyDescent="0.25">
      <c r="B12783" s="11"/>
    </row>
    <row r="12784" spans="2:2" x14ac:dyDescent="0.25">
      <c r="B12784" s="11"/>
    </row>
    <row r="12785" spans="2:2" x14ac:dyDescent="0.25">
      <c r="B12785" s="11"/>
    </row>
    <row r="12786" spans="2:2" x14ac:dyDescent="0.25">
      <c r="B12786" s="11"/>
    </row>
    <row r="12787" spans="2:2" x14ac:dyDescent="0.25">
      <c r="B12787" s="11"/>
    </row>
    <row r="12788" spans="2:2" x14ac:dyDescent="0.25">
      <c r="B12788" s="11"/>
    </row>
    <row r="12789" spans="2:2" x14ac:dyDescent="0.25">
      <c r="B12789" s="11"/>
    </row>
    <row r="12790" spans="2:2" x14ac:dyDescent="0.25">
      <c r="B12790" s="11"/>
    </row>
    <row r="12791" spans="2:2" x14ac:dyDescent="0.25">
      <c r="B12791" s="11"/>
    </row>
    <row r="12792" spans="2:2" x14ac:dyDescent="0.25">
      <c r="B12792" s="11"/>
    </row>
    <row r="12793" spans="2:2" x14ac:dyDescent="0.25">
      <c r="B12793" s="11"/>
    </row>
    <row r="12794" spans="2:2" x14ac:dyDescent="0.25">
      <c r="B12794" s="11"/>
    </row>
    <row r="12795" spans="2:2" x14ac:dyDescent="0.25">
      <c r="B12795" s="11"/>
    </row>
    <row r="12796" spans="2:2" x14ac:dyDescent="0.25">
      <c r="B12796" s="11"/>
    </row>
    <row r="12797" spans="2:2" x14ac:dyDescent="0.25">
      <c r="B12797" s="11"/>
    </row>
    <row r="12798" spans="2:2" x14ac:dyDescent="0.25">
      <c r="B12798" s="11"/>
    </row>
    <row r="12799" spans="2:2" x14ac:dyDescent="0.25">
      <c r="B12799" s="11"/>
    </row>
    <row r="12800" spans="2:2" x14ac:dyDescent="0.25">
      <c r="B12800" s="11"/>
    </row>
    <row r="12801" spans="2:2" x14ac:dyDescent="0.25">
      <c r="B12801" s="11"/>
    </row>
    <row r="12802" spans="2:2" x14ac:dyDescent="0.25">
      <c r="B12802" s="11"/>
    </row>
    <row r="12803" spans="2:2" x14ac:dyDescent="0.25">
      <c r="B12803" s="11"/>
    </row>
    <row r="12804" spans="2:2" x14ac:dyDescent="0.25">
      <c r="B12804" s="11"/>
    </row>
    <row r="12805" spans="2:2" x14ac:dyDescent="0.25">
      <c r="B12805" s="11"/>
    </row>
    <row r="12806" spans="2:2" x14ac:dyDescent="0.25">
      <c r="B12806" s="11"/>
    </row>
    <row r="12807" spans="2:2" x14ac:dyDescent="0.25">
      <c r="B12807" s="11"/>
    </row>
    <row r="12808" spans="2:2" x14ac:dyDescent="0.25">
      <c r="B12808" s="11"/>
    </row>
    <row r="12809" spans="2:2" x14ac:dyDescent="0.25">
      <c r="B12809" s="11"/>
    </row>
    <row r="12810" spans="2:2" x14ac:dyDescent="0.25">
      <c r="B12810" s="11"/>
    </row>
    <row r="12811" spans="2:2" x14ac:dyDescent="0.25">
      <c r="B12811" s="11"/>
    </row>
    <row r="12812" spans="2:2" x14ac:dyDescent="0.25">
      <c r="B12812" s="11"/>
    </row>
    <row r="12813" spans="2:2" x14ac:dyDescent="0.25">
      <c r="B12813" s="11"/>
    </row>
    <row r="12814" spans="2:2" x14ac:dyDescent="0.25">
      <c r="B12814" s="11"/>
    </row>
    <row r="12815" spans="2:2" x14ac:dyDescent="0.25">
      <c r="B12815" s="11"/>
    </row>
    <row r="12816" spans="2:2" x14ac:dyDescent="0.25">
      <c r="B12816" s="11"/>
    </row>
    <row r="12817" spans="2:2" x14ac:dyDescent="0.25">
      <c r="B12817" s="11"/>
    </row>
    <row r="12818" spans="2:2" x14ac:dyDescent="0.25">
      <c r="B12818" s="11"/>
    </row>
    <row r="12819" spans="2:2" x14ac:dyDescent="0.25">
      <c r="B12819" s="11"/>
    </row>
    <row r="12820" spans="2:2" x14ac:dyDescent="0.25">
      <c r="B12820" s="11"/>
    </row>
    <row r="12821" spans="2:2" x14ac:dyDescent="0.25">
      <c r="B12821" s="11"/>
    </row>
    <row r="12822" spans="2:2" x14ac:dyDescent="0.25">
      <c r="B12822" s="11"/>
    </row>
    <row r="12823" spans="2:2" x14ac:dyDescent="0.25">
      <c r="B12823" s="11"/>
    </row>
    <row r="12824" spans="2:2" x14ac:dyDescent="0.25">
      <c r="B12824" s="11"/>
    </row>
    <row r="12825" spans="2:2" x14ac:dyDescent="0.25">
      <c r="B12825" s="11"/>
    </row>
    <row r="12826" spans="2:2" x14ac:dyDescent="0.25">
      <c r="B12826" s="11"/>
    </row>
    <row r="12827" spans="2:2" x14ac:dyDescent="0.25">
      <c r="B12827" s="11"/>
    </row>
    <row r="12828" spans="2:2" x14ac:dyDescent="0.25">
      <c r="B12828" s="11"/>
    </row>
    <row r="12829" spans="2:2" x14ac:dyDescent="0.25">
      <c r="B12829" s="11"/>
    </row>
    <row r="12830" spans="2:2" x14ac:dyDescent="0.25">
      <c r="B12830" s="11"/>
    </row>
    <row r="12831" spans="2:2" x14ac:dyDescent="0.25">
      <c r="B12831" s="11"/>
    </row>
    <row r="12832" spans="2:2" x14ac:dyDescent="0.25">
      <c r="B12832" s="11"/>
    </row>
    <row r="12833" spans="2:2" x14ac:dyDescent="0.25">
      <c r="B12833" s="11"/>
    </row>
    <row r="12834" spans="2:2" x14ac:dyDescent="0.25">
      <c r="B12834" s="11"/>
    </row>
    <row r="12835" spans="2:2" x14ac:dyDescent="0.25">
      <c r="B12835" s="11"/>
    </row>
    <row r="12836" spans="2:2" x14ac:dyDescent="0.25">
      <c r="B12836" s="11"/>
    </row>
    <row r="12837" spans="2:2" x14ac:dyDescent="0.25">
      <c r="B12837" s="11"/>
    </row>
    <row r="12838" spans="2:2" x14ac:dyDescent="0.25">
      <c r="B12838" s="11"/>
    </row>
    <row r="12839" spans="2:2" x14ac:dyDescent="0.25">
      <c r="B12839" s="11"/>
    </row>
    <row r="12840" spans="2:2" x14ac:dyDescent="0.25">
      <c r="B12840" s="11"/>
    </row>
    <row r="12841" spans="2:2" x14ac:dyDescent="0.25">
      <c r="B12841" s="11"/>
    </row>
    <row r="12842" spans="2:2" x14ac:dyDescent="0.25">
      <c r="B12842" s="11"/>
    </row>
    <row r="12843" spans="2:2" x14ac:dyDescent="0.25">
      <c r="B12843" s="11"/>
    </row>
    <row r="12844" spans="2:2" x14ac:dyDescent="0.25">
      <c r="B12844" s="11"/>
    </row>
    <row r="12845" spans="2:2" x14ac:dyDescent="0.25">
      <c r="B12845" s="11"/>
    </row>
    <row r="12846" spans="2:2" x14ac:dyDescent="0.25">
      <c r="B12846" s="11"/>
    </row>
    <row r="12847" spans="2:2" x14ac:dyDescent="0.25">
      <c r="B12847" s="11"/>
    </row>
    <row r="12848" spans="2:2" x14ac:dyDescent="0.25">
      <c r="B12848" s="11"/>
    </row>
    <row r="12849" spans="2:2" x14ac:dyDescent="0.25">
      <c r="B12849" s="11"/>
    </row>
    <row r="12850" spans="2:2" x14ac:dyDescent="0.25">
      <c r="B12850" s="11"/>
    </row>
    <row r="12851" spans="2:2" x14ac:dyDescent="0.25">
      <c r="B12851" s="11"/>
    </row>
    <row r="12852" spans="2:2" x14ac:dyDescent="0.25">
      <c r="B12852" s="11"/>
    </row>
    <row r="12853" spans="2:2" x14ac:dyDescent="0.25">
      <c r="B12853" s="11"/>
    </row>
    <row r="12854" spans="2:2" x14ac:dyDescent="0.25">
      <c r="B12854" s="11"/>
    </row>
    <row r="12855" spans="2:2" x14ac:dyDescent="0.25">
      <c r="B12855" s="11"/>
    </row>
    <row r="12856" spans="2:2" x14ac:dyDescent="0.25">
      <c r="B12856" s="11"/>
    </row>
    <row r="12857" spans="2:2" x14ac:dyDescent="0.25">
      <c r="B12857" s="11"/>
    </row>
    <row r="12858" spans="2:2" x14ac:dyDescent="0.25">
      <c r="B12858" s="11"/>
    </row>
    <row r="12859" spans="2:2" x14ac:dyDescent="0.25">
      <c r="B12859" s="11"/>
    </row>
    <row r="12860" spans="2:2" x14ac:dyDescent="0.25">
      <c r="B12860" s="11"/>
    </row>
    <row r="12861" spans="2:2" x14ac:dyDescent="0.25">
      <c r="B12861" s="11"/>
    </row>
    <row r="12862" spans="2:2" x14ac:dyDescent="0.25">
      <c r="B12862" s="11"/>
    </row>
    <row r="12863" spans="2:2" x14ac:dyDescent="0.25">
      <c r="B12863" s="11"/>
    </row>
    <row r="12864" spans="2:2" x14ac:dyDescent="0.25">
      <c r="B12864" s="11"/>
    </row>
    <row r="12865" spans="2:2" x14ac:dyDescent="0.25">
      <c r="B12865" s="11"/>
    </row>
    <row r="12866" spans="2:2" x14ac:dyDescent="0.25">
      <c r="B12866" s="11"/>
    </row>
    <row r="12867" spans="2:2" x14ac:dyDescent="0.25">
      <c r="B12867" s="11"/>
    </row>
    <row r="12868" spans="2:2" x14ac:dyDescent="0.25">
      <c r="B12868" s="11"/>
    </row>
    <row r="12869" spans="2:2" x14ac:dyDescent="0.25">
      <c r="B12869" s="11"/>
    </row>
    <row r="12870" spans="2:2" x14ac:dyDescent="0.25">
      <c r="B12870" s="11"/>
    </row>
    <row r="12871" spans="2:2" x14ac:dyDescent="0.25">
      <c r="B12871" s="11"/>
    </row>
    <row r="12872" spans="2:2" x14ac:dyDescent="0.25">
      <c r="B12872" s="11"/>
    </row>
    <row r="12873" spans="2:2" x14ac:dyDescent="0.25">
      <c r="B12873" s="11"/>
    </row>
    <row r="12874" spans="2:2" x14ac:dyDescent="0.25">
      <c r="B12874" s="11"/>
    </row>
    <row r="12875" spans="2:2" x14ac:dyDescent="0.25">
      <c r="B12875" s="11"/>
    </row>
    <row r="12876" spans="2:2" x14ac:dyDescent="0.25">
      <c r="B12876" s="11"/>
    </row>
    <row r="12877" spans="2:2" x14ac:dyDescent="0.25">
      <c r="B12877" s="11"/>
    </row>
    <row r="12878" spans="2:2" x14ac:dyDescent="0.25">
      <c r="B12878" s="11"/>
    </row>
    <row r="12879" spans="2:2" x14ac:dyDescent="0.25">
      <c r="B12879" s="11"/>
    </row>
    <row r="12880" spans="2:2" x14ac:dyDescent="0.25">
      <c r="B12880" s="11"/>
    </row>
    <row r="12881" spans="2:2" x14ac:dyDescent="0.25">
      <c r="B12881" s="11"/>
    </row>
    <row r="12882" spans="2:2" x14ac:dyDescent="0.25">
      <c r="B12882" s="11"/>
    </row>
    <row r="12883" spans="2:2" x14ac:dyDescent="0.25">
      <c r="B12883" s="11"/>
    </row>
    <row r="12884" spans="2:2" x14ac:dyDescent="0.25">
      <c r="B12884" s="11"/>
    </row>
    <row r="12885" spans="2:2" x14ac:dyDescent="0.25">
      <c r="B12885" s="11"/>
    </row>
    <row r="12886" spans="2:2" x14ac:dyDescent="0.25">
      <c r="B12886" s="11"/>
    </row>
    <row r="12887" spans="2:2" x14ac:dyDescent="0.25">
      <c r="B12887" s="11"/>
    </row>
    <row r="12888" spans="2:2" x14ac:dyDescent="0.25">
      <c r="B12888" s="11"/>
    </row>
    <row r="12889" spans="2:2" x14ac:dyDescent="0.25">
      <c r="B12889" s="11"/>
    </row>
    <row r="12890" spans="2:2" x14ac:dyDescent="0.25">
      <c r="B12890" s="11"/>
    </row>
    <row r="12891" spans="2:2" x14ac:dyDescent="0.25">
      <c r="B12891" s="11"/>
    </row>
    <row r="12892" spans="2:2" x14ac:dyDescent="0.25">
      <c r="B12892" s="11"/>
    </row>
    <row r="12893" spans="2:2" x14ac:dyDescent="0.25">
      <c r="B12893" s="11"/>
    </row>
    <row r="12894" spans="2:2" x14ac:dyDescent="0.25">
      <c r="B12894" s="11"/>
    </row>
    <row r="12895" spans="2:2" x14ac:dyDescent="0.25">
      <c r="B12895" s="11"/>
    </row>
    <row r="12896" spans="2:2" x14ac:dyDescent="0.25">
      <c r="B12896" s="11"/>
    </row>
    <row r="12897" spans="2:2" x14ac:dyDescent="0.25">
      <c r="B12897" s="11"/>
    </row>
    <row r="12898" spans="2:2" x14ac:dyDescent="0.25">
      <c r="B12898" s="11"/>
    </row>
    <row r="12899" spans="2:2" x14ac:dyDescent="0.25">
      <c r="B12899" s="11"/>
    </row>
    <row r="12900" spans="2:2" x14ac:dyDescent="0.25">
      <c r="B12900" s="11"/>
    </row>
    <row r="12901" spans="2:2" x14ac:dyDescent="0.25">
      <c r="B12901" s="11"/>
    </row>
    <row r="12902" spans="2:2" x14ac:dyDescent="0.25">
      <c r="B12902" s="11"/>
    </row>
    <row r="12903" spans="2:2" x14ac:dyDescent="0.25">
      <c r="B12903" s="11"/>
    </row>
    <row r="12904" spans="2:2" x14ac:dyDescent="0.25">
      <c r="B12904" s="11"/>
    </row>
    <row r="12905" spans="2:2" x14ac:dyDescent="0.25">
      <c r="B12905" s="11"/>
    </row>
    <row r="12906" spans="2:2" x14ac:dyDescent="0.25">
      <c r="B12906" s="11"/>
    </row>
    <row r="12907" spans="2:2" x14ac:dyDescent="0.25">
      <c r="B12907" s="11"/>
    </row>
    <row r="12908" spans="2:2" x14ac:dyDescent="0.25">
      <c r="B12908" s="11"/>
    </row>
    <row r="12909" spans="2:2" x14ac:dyDescent="0.25">
      <c r="B12909" s="11"/>
    </row>
    <row r="12910" spans="2:2" x14ac:dyDescent="0.25">
      <c r="B12910" s="11"/>
    </row>
    <row r="12911" spans="2:2" x14ac:dyDescent="0.25">
      <c r="B12911" s="11"/>
    </row>
    <row r="12912" spans="2:2" x14ac:dyDescent="0.25">
      <c r="B12912" s="11"/>
    </row>
    <row r="12913" spans="2:2" x14ac:dyDescent="0.25">
      <c r="B12913" s="11"/>
    </row>
    <row r="12914" spans="2:2" x14ac:dyDescent="0.25">
      <c r="B12914" s="11"/>
    </row>
    <row r="12915" spans="2:2" x14ac:dyDescent="0.25">
      <c r="B12915" s="11"/>
    </row>
    <row r="12916" spans="2:2" x14ac:dyDescent="0.25">
      <c r="B12916" s="11"/>
    </row>
    <row r="12917" spans="2:2" x14ac:dyDescent="0.25">
      <c r="B12917" s="11"/>
    </row>
    <row r="12918" spans="2:2" x14ac:dyDescent="0.25">
      <c r="B12918" s="11"/>
    </row>
    <row r="12919" spans="2:2" x14ac:dyDescent="0.25">
      <c r="B12919" s="11"/>
    </row>
    <row r="12920" spans="2:2" x14ac:dyDescent="0.25">
      <c r="B12920" s="11"/>
    </row>
    <row r="12921" spans="2:2" x14ac:dyDescent="0.25">
      <c r="B12921" s="11"/>
    </row>
    <row r="12922" spans="2:2" x14ac:dyDescent="0.25">
      <c r="B12922" s="11"/>
    </row>
    <row r="12923" spans="2:2" x14ac:dyDescent="0.25">
      <c r="B12923" s="11"/>
    </row>
    <row r="12924" spans="2:2" x14ac:dyDescent="0.25">
      <c r="B12924" s="11"/>
    </row>
    <row r="12925" spans="2:2" x14ac:dyDescent="0.25">
      <c r="B12925" s="11"/>
    </row>
    <row r="12926" spans="2:2" x14ac:dyDescent="0.25">
      <c r="B12926" s="11"/>
    </row>
    <row r="12927" spans="2:2" x14ac:dyDescent="0.25">
      <c r="B12927" s="11"/>
    </row>
    <row r="12928" spans="2:2" x14ac:dyDescent="0.25">
      <c r="B12928" s="11"/>
    </row>
    <row r="12929" spans="2:2" x14ac:dyDescent="0.25">
      <c r="B12929" s="11"/>
    </row>
    <row r="12930" spans="2:2" x14ac:dyDescent="0.25">
      <c r="B12930" s="11"/>
    </row>
    <row r="12931" spans="2:2" x14ac:dyDescent="0.25">
      <c r="B12931" s="11"/>
    </row>
    <row r="12932" spans="2:2" x14ac:dyDescent="0.25">
      <c r="B12932" s="11"/>
    </row>
    <row r="12933" spans="2:2" x14ac:dyDescent="0.25">
      <c r="B12933" s="11"/>
    </row>
    <row r="12934" spans="2:2" x14ac:dyDescent="0.25">
      <c r="B12934" s="11"/>
    </row>
    <row r="12935" spans="2:2" x14ac:dyDescent="0.25">
      <c r="B12935" s="11"/>
    </row>
    <row r="12936" spans="2:2" x14ac:dyDescent="0.25">
      <c r="B12936" s="11"/>
    </row>
    <row r="12937" spans="2:2" x14ac:dyDescent="0.25">
      <c r="B12937" s="11"/>
    </row>
    <row r="12938" spans="2:2" x14ac:dyDescent="0.25">
      <c r="B12938" s="11"/>
    </row>
    <row r="12939" spans="2:2" x14ac:dyDescent="0.25">
      <c r="B12939" s="11"/>
    </row>
    <row r="12940" spans="2:2" x14ac:dyDescent="0.25">
      <c r="B12940" s="11"/>
    </row>
    <row r="12941" spans="2:2" x14ac:dyDescent="0.25">
      <c r="B12941" s="11"/>
    </row>
    <row r="12942" spans="2:2" x14ac:dyDescent="0.25">
      <c r="B12942" s="11"/>
    </row>
    <row r="12943" spans="2:2" x14ac:dyDescent="0.25">
      <c r="B12943" s="11"/>
    </row>
    <row r="12944" spans="2:2" x14ac:dyDescent="0.25">
      <c r="B12944" s="11"/>
    </row>
    <row r="12945" spans="2:2" x14ac:dyDescent="0.25">
      <c r="B12945" s="11"/>
    </row>
    <row r="12946" spans="2:2" x14ac:dyDescent="0.25">
      <c r="B12946" s="11"/>
    </row>
    <row r="12947" spans="2:2" x14ac:dyDescent="0.25">
      <c r="B12947" s="11"/>
    </row>
    <row r="12948" spans="2:2" x14ac:dyDescent="0.25">
      <c r="B12948" s="11"/>
    </row>
    <row r="12949" spans="2:2" x14ac:dyDescent="0.25">
      <c r="B12949" s="11"/>
    </row>
    <row r="12950" spans="2:2" x14ac:dyDescent="0.25">
      <c r="B12950" s="11"/>
    </row>
    <row r="12951" spans="2:2" x14ac:dyDescent="0.25">
      <c r="B12951" s="11"/>
    </row>
    <row r="12952" spans="2:2" x14ac:dyDescent="0.25">
      <c r="B12952" s="11"/>
    </row>
    <row r="12953" spans="2:2" x14ac:dyDescent="0.25">
      <c r="B12953" s="11"/>
    </row>
    <row r="12954" spans="2:2" x14ac:dyDescent="0.25">
      <c r="B12954" s="11"/>
    </row>
    <row r="12955" spans="2:2" x14ac:dyDescent="0.25">
      <c r="B12955" s="11"/>
    </row>
    <row r="12956" spans="2:2" x14ac:dyDescent="0.25">
      <c r="B12956" s="11"/>
    </row>
    <row r="12957" spans="2:2" x14ac:dyDescent="0.25">
      <c r="B12957" s="11"/>
    </row>
    <row r="12958" spans="2:2" x14ac:dyDescent="0.25">
      <c r="B12958" s="11"/>
    </row>
    <row r="12959" spans="2:2" x14ac:dyDescent="0.25">
      <c r="B12959" s="11"/>
    </row>
    <row r="12960" spans="2:2" x14ac:dyDescent="0.25">
      <c r="B12960" s="11"/>
    </row>
    <row r="12961" spans="2:2" x14ac:dyDescent="0.25">
      <c r="B12961" s="11"/>
    </row>
    <row r="12962" spans="2:2" x14ac:dyDescent="0.25">
      <c r="B12962" s="11"/>
    </row>
    <row r="12963" spans="2:2" x14ac:dyDescent="0.25">
      <c r="B12963" s="11"/>
    </row>
    <row r="12964" spans="2:2" x14ac:dyDescent="0.25">
      <c r="B12964" s="11"/>
    </row>
    <row r="12965" spans="2:2" x14ac:dyDescent="0.25">
      <c r="B12965" s="11"/>
    </row>
    <row r="12966" spans="2:2" x14ac:dyDescent="0.25">
      <c r="B12966" s="11"/>
    </row>
    <row r="12967" spans="2:2" x14ac:dyDescent="0.25">
      <c r="B12967" s="11"/>
    </row>
    <row r="12968" spans="2:2" x14ac:dyDescent="0.25">
      <c r="B12968" s="11"/>
    </row>
    <row r="12969" spans="2:2" x14ac:dyDescent="0.25">
      <c r="B12969" s="11"/>
    </row>
    <row r="12970" spans="2:2" x14ac:dyDescent="0.25">
      <c r="B12970" s="11"/>
    </row>
    <row r="12971" spans="2:2" x14ac:dyDescent="0.25">
      <c r="B12971" s="11"/>
    </row>
    <row r="12972" spans="2:2" x14ac:dyDescent="0.25">
      <c r="B12972" s="11"/>
    </row>
    <row r="12973" spans="2:2" x14ac:dyDescent="0.25">
      <c r="B12973" s="11"/>
    </row>
    <row r="12974" spans="2:2" x14ac:dyDescent="0.25">
      <c r="B12974" s="11"/>
    </row>
    <row r="12975" spans="2:2" x14ac:dyDescent="0.25">
      <c r="B12975" s="11"/>
    </row>
    <row r="12976" spans="2:2" x14ac:dyDescent="0.25">
      <c r="B12976" s="11"/>
    </row>
    <row r="12977" spans="2:2" x14ac:dyDescent="0.25">
      <c r="B12977" s="11"/>
    </row>
    <row r="12978" spans="2:2" x14ac:dyDescent="0.25">
      <c r="B12978" s="11"/>
    </row>
    <row r="12979" spans="2:2" x14ac:dyDescent="0.25">
      <c r="B12979" s="11"/>
    </row>
    <row r="12980" spans="2:2" x14ac:dyDescent="0.25">
      <c r="B12980" s="11"/>
    </row>
    <row r="12981" spans="2:2" x14ac:dyDescent="0.25">
      <c r="B12981" s="11"/>
    </row>
    <row r="12982" spans="2:2" x14ac:dyDescent="0.25">
      <c r="B12982" s="11"/>
    </row>
    <row r="12983" spans="2:2" x14ac:dyDescent="0.25">
      <c r="B12983" s="11"/>
    </row>
    <row r="12984" spans="2:2" x14ac:dyDescent="0.25">
      <c r="B12984" s="11"/>
    </row>
    <row r="12985" spans="2:2" x14ac:dyDescent="0.25">
      <c r="B12985" s="11"/>
    </row>
    <row r="12986" spans="2:2" x14ac:dyDescent="0.25">
      <c r="B12986" s="11"/>
    </row>
    <row r="12987" spans="2:2" x14ac:dyDescent="0.25">
      <c r="B12987" s="11"/>
    </row>
    <row r="12988" spans="2:2" x14ac:dyDescent="0.25">
      <c r="B12988" s="11"/>
    </row>
    <row r="12989" spans="2:2" x14ac:dyDescent="0.25">
      <c r="B12989" s="11"/>
    </row>
    <row r="12990" spans="2:2" x14ac:dyDescent="0.25">
      <c r="B12990" s="11"/>
    </row>
    <row r="12991" spans="2:2" x14ac:dyDescent="0.25">
      <c r="B12991" s="11"/>
    </row>
    <row r="12992" spans="2:2" x14ac:dyDescent="0.25">
      <c r="B12992" s="11"/>
    </row>
    <row r="12993" spans="2:2" x14ac:dyDescent="0.25">
      <c r="B12993" s="11"/>
    </row>
    <row r="12994" spans="2:2" x14ac:dyDescent="0.25">
      <c r="B12994" s="11"/>
    </row>
    <row r="12995" spans="2:2" x14ac:dyDescent="0.25">
      <c r="B12995" s="11"/>
    </row>
    <row r="12996" spans="2:2" x14ac:dyDescent="0.25">
      <c r="B12996" s="11"/>
    </row>
    <row r="12997" spans="2:2" x14ac:dyDescent="0.25">
      <c r="B12997" s="11"/>
    </row>
    <row r="12998" spans="2:2" x14ac:dyDescent="0.25">
      <c r="B12998" s="11"/>
    </row>
    <row r="12999" spans="2:2" x14ac:dyDescent="0.25">
      <c r="B12999" s="11"/>
    </row>
    <row r="13000" spans="2:2" x14ac:dyDescent="0.25">
      <c r="B13000" s="11"/>
    </row>
    <row r="13001" spans="2:2" x14ac:dyDescent="0.25">
      <c r="B13001" s="11"/>
    </row>
    <row r="13002" spans="2:2" x14ac:dyDescent="0.25">
      <c r="B13002" s="11"/>
    </row>
    <row r="13003" spans="2:2" x14ac:dyDescent="0.25">
      <c r="B13003" s="11"/>
    </row>
    <row r="13004" spans="2:2" x14ac:dyDescent="0.25">
      <c r="B13004" s="11"/>
    </row>
    <row r="13005" spans="2:2" x14ac:dyDescent="0.25">
      <c r="B13005" s="11"/>
    </row>
    <row r="13006" spans="2:2" x14ac:dyDescent="0.25">
      <c r="B13006" s="11"/>
    </row>
    <row r="13007" spans="2:2" x14ac:dyDescent="0.25">
      <c r="B13007" s="11"/>
    </row>
    <row r="13008" spans="2:2" x14ac:dyDescent="0.25">
      <c r="B13008" s="11"/>
    </row>
    <row r="13009" spans="2:2" x14ac:dyDescent="0.25">
      <c r="B13009" s="11"/>
    </row>
    <row r="13010" spans="2:2" x14ac:dyDescent="0.25">
      <c r="B13010" s="11"/>
    </row>
    <row r="13011" spans="2:2" x14ac:dyDescent="0.25">
      <c r="B13011" s="11"/>
    </row>
    <row r="13012" spans="2:2" x14ac:dyDescent="0.25">
      <c r="B13012" s="11"/>
    </row>
    <row r="13013" spans="2:2" x14ac:dyDescent="0.25">
      <c r="B13013" s="11"/>
    </row>
    <row r="13014" spans="2:2" x14ac:dyDescent="0.25">
      <c r="B13014" s="11"/>
    </row>
    <row r="13015" spans="2:2" x14ac:dyDescent="0.25">
      <c r="B13015" s="11"/>
    </row>
    <row r="13016" spans="2:2" x14ac:dyDescent="0.25">
      <c r="B13016" s="11"/>
    </row>
    <row r="13017" spans="2:2" x14ac:dyDescent="0.25">
      <c r="B13017" s="11"/>
    </row>
    <row r="13018" spans="2:2" x14ac:dyDescent="0.25">
      <c r="B13018" s="11"/>
    </row>
    <row r="13019" spans="2:2" x14ac:dyDescent="0.25">
      <c r="B13019" s="11"/>
    </row>
    <row r="13020" spans="2:2" x14ac:dyDescent="0.25">
      <c r="B13020" s="11"/>
    </row>
    <row r="13021" spans="2:2" x14ac:dyDescent="0.25">
      <c r="B13021" s="11"/>
    </row>
    <row r="13022" spans="2:2" x14ac:dyDescent="0.25">
      <c r="B13022" s="11"/>
    </row>
    <row r="13023" spans="2:2" x14ac:dyDescent="0.25">
      <c r="B13023" s="11"/>
    </row>
    <row r="13024" spans="2:2" x14ac:dyDescent="0.25">
      <c r="B13024" s="11"/>
    </row>
    <row r="13025" spans="2:2" x14ac:dyDescent="0.25">
      <c r="B13025" s="11"/>
    </row>
    <row r="13026" spans="2:2" x14ac:dyDescent="0.25">
      <c r="B13026" s="11"/>
    </row>
    <row r="13027" spans="2:2" x14ac:dyDescent="0.25">
      <c r="B13027" s="11"/>
    </row>
    <row r="13028" spans="2:2" x14ac:dyDescent="0.25">
      <c r="B13028" s="11"/>
    </row>
    <row r="13029" spans="2:2" x14ac:dyDescent="0.25">
      <c r="B13029" s="11"/>
    </row>
    <row r="13030" spans="2:2" x14ac:dyDescent="0.25">
      <c r="B13030" s="11"/>
    </row>
    <row r="13031" spans="2:2" x14ac:dyDescent="0.25">
      <c r="B13031" s="11"/>
    </row>
    <row r="13032" spans="2:2" x14ac:dyDescent="0.25">
      <c r="B13032" s="11"/>
    </row>
    <row r="13033" spans="2:2" x14ac:dyDescent="0.25">
      <c r="B13033" s="11"/>
    </row>
    <row r="13034" spans="2:2" x14ac:dyDescent="0.25">
      <c r="B13034" s="11"/>
    </row>
    <row r="13035" spans="2:2" x14ac:dyDescent="0.25">
      <c r="B13035" s="11"/>
    </row>
    <row r="13036" spans="2:2" x14ac:dyDescent="0.25">
      <c r="B13036" s="11"/>
    </row>
    <row r="13037" spans="2:2" x14ac:dyDescent="0.25">
      <c r="B13037" s="11"/>
    </row>
    <row r="13038" spans="2:2" x14ac:dyDescent="0.25">
      <c r="B13038" s="11"/>
    </row>
    <row r="13039" spans="2:2" x14ac:dyDescent="0.25">
      <c r="B13039" s="11"/>
    </row>
    <row r="13040" spans="2:2" x14ac:dyDescent="0.25">
      <c r="B13040" s="11"/>
    </row>
    <row r="13041" spans="2:2" x14ac:dyDescent="0.25">
      <c r="B13041" s="11"/>
    </row>
    <row r="13042" spans="2:2" x14ac:dyDescent="0.25">
      <c r="B13042" s="11"/>
    </row>
    <row r="13043" spans="2:2" x14ac:dyDescent="0.25">
      <c r="B13043" s="11"/>
    </row>
    <row r="13044" spans="2:2" x14ac:dyDescent="0.25">
      <c r="B13044" s="11"/>
    </row>
    <row r="13045" spans="2:2" x14ac:dyDescent="0.25">
      <c r="B13045" s="11"/>
    </row>
    <row r="13046" spans="2:2" x14ac:dyDescent="0.25">
      <c r="B13046" s="11"/>
    </row>
    <row r="13047" spans="2:2" x14ac:dyDescent="0.25">
      <c r="B13047" s="11"/>
    </row>
    <row r="13048" spans="2:2" x14ac:dyDescent="0.25">
      <c r="B13048" s="11"/>
    </row>
    <row r="13049" spans="2:2" x14ac:dyDescent="0.25">
      <c r="B13049" s="11"/>
    </row>
    <row r="13050" spans="2:2" x14ac:dyDescent="0.25">
      <c r="B13050" s="11"/>
    </row>
    <row r="13051" spans="2:2" x14ac:dyDescent="0.25">
      <c r="B13051" s="11"/>
    </row>
    <row r="13052" spans="2:2" x14ac:dyDescent="0.25">
      <c r="B13052" s="11"/>
    </row>
    <row r="13053" spans="2:2" x14ac:dyDescent="0.25">
      <c r="B13053" s="11"/>
    </row>
    <row r="13054" spans="2:2" x14ac:dyDescent="0.25">
      <c r="B13054" s="11"/>
    </row>
    <row r="13055" spans="2:2" x14ac:dyDescent="0.25">
      <c r="B13055" s="11"/>
    </row>
    <row r="13056" spans="2:2" x14ac:dyDescent="0.25">
      <c r="B13056" s="11"/>
    </row>
    <row r="13057" spans="2:2" x14ac:dyDescent="0.25">
      <c r="B13057" s="11"/>
    </row>
    <row r="13058" spans="2:2" x14ac:dyDescent="0.25">
      <c r="B13058" s="11"/>
    </row>
    <row r="13059" spans="2:2" x14ac:dyDescent="0.25">
      <c r="B13059" s="11"/>
    </row>
    <row r="13060" spans="2:2" x14ac:dyDescent="0.25">
      <c r="B13060" s="11"/>
    </row>
    <row r="13061" spans="2:2" x14ac:dyDescent="0.25">
      <c r="B13061" s="11"/>
    </row>
    <row r="13062" spans="2:2" x14ac:dyDescent="0.25">
      <c r="B13062" s="11"/>
    </row>
    <row r="13063" spans="2:2" x14ac:dyDescent="0.25">
      <c r="B13063" s="11"/>
    </row>
    <row r="13064" spans="2:2" x14ac:dyDescent="0.25">
      <c r="B13064" s="11"/>
    </row>
    <row r="13065" spans="2:2" x14ac:dyDescent="0.25">
      <c r="B13065" s="11"/>
    </row>
    <row r="13066" spans="2:2" x14ac:dyDescent="0.25">
      <c r="B13066" s="11"/>
    </row>
    <row r="13067" spans="2:2" x14ac:dyDescent="0.25">
      <c r="B13067" s="11"/>
    </row>
    <row r="13068" spans="2:2" x14ac:dyDescent="0.25">
      <c r="B13068" s="11"/>
    </row>
    <row r="13069" spans="2:2" x14ac:dyDescent="0.25">
      <c r="B13069" s="11"/>
    </row>
    <row r="13070" spans="2:2" x14ac:dyDescent="0.25">
      <c r="B13070" s="11"/>
    </row>
    <row r="13071" spans="2:2" x14ac:dyDescent="0.25">
      <c r="B13071" s="11"/>
    </row>
    <row r="13072" spans="2:2" x14ac:dyDescent="0.25">
      <c r="B13072" s="11"/>
    </row>
    <row r="13073" spans="2:2" x14ac:dyDescent="0.25">
      <c r="B13073" s="11"/>
    </row>
    <row r="13074" spans="2:2" x14ac:dyDescent="0.25">
      <c r="B13074" s="11"/>
    </row>
    <row r="13075" spans="2:2" x14ac:dyDescent="0.25">
      <c r="B13075" s="11"/>
    </row>
    <row r="13076" spans="2:2" x14ac:dyDescent="0.25">
      <c r="B13076" s="11"/>
    </row>
    <row r="13077" spans="2:2" x14ac:dyDescent="0.25">
      <c r="B13077" s="11"/>
    </row>
    <row r="13078" spans="2:2" x14ac:dyDescent="0.25">
      <c r="B13078" s="11"/>
    </row>
    <row r="13079" spans="2:2" x14ac:dyDescent="0.25">
      <c r="B13079" s="11"/>
    </row>
    <row r="13080" spans="2:2" x14ac:dyDescent="0.25">
      <c r="B13080" s="11"/>
    </row>
    <row r="13081" spans="2:2" x14ac:dyDescent="0.25">
      <c r="B13081" s="11"/>
    </row>
    <row r="13082" spans="2:2" x14ac:dyDescent="0.25">
      <c r="B13082" s="11"/>
    </row>
    <row r="13083" spans="2:2" x14ac:dyDescent="0.25">
      <c r="B13083" s="11"/>
    </row>
    <row r="13084" spans="2:2" x14ac:dyDescent="0.25">
      <c r="B13084" s="11"/>
    </row>
    <row r="13085" spans="2:2" x14ac:dyDescent="0.25">
      <c r="B13085" s="11"/>
    </row>
    <row r="13086" spans="2:2" x14ac:dyDescent="0.25">
      <c r="B13086" s="11"/>
    </row>
    <row r="13087" spans="2:2" x14ac:dyDescent="0.25">
      <c r="B13087" s="11"/>
    </row>
    <row r="13088" spans="2:2" x14ac:dyDescent="0.25">
      <c r="B13088" s="11"/>
    </row>
    <row r="13089" spans="2:2" x14ac:dyDescent="0.25">
      <c r="B13089" s="11"/>
    </row>
    <row r="13090" spans="2:2" x14ac:dyDescent="0.25">
      <c r="B13090" s="11"/>
    </row>
    <row r="13091" spans="2:2" x14ac:dyDescent="0.25">
      <c r="B13091" s="11"/>
    </row>
    <row r="13092" spans="2:2" x14ac:dyDescent="0.25">
      <c r="B13092" s="11"/>
    </row>
    <row r="13093" spans="2:2" x14ac:dyDescent="0.25">
      <c r="B13093" s="11"/>
    </row>
    <row r="13094" spans="2:2" x14ac:dyDescent="0.25">
      <c r="B13094" s="11"/>
    </row>
    <row r="13095" spans="2:2" x14ac:dyDescent="0.25">
      <c r="B13095" s="11"/>
    </row>
    <row r="13096" spans="2:2" x14ac:dyDescent="0.25">
      <c r="B13096" s="11"/>
    </row>
    <row r="13097" spans="2:2" x14ac:dyDescent="0.25">
      <c r="B13097" s="11"/>
    </row>
    <row r="13098" spans="2:2" x14ac:dyDescent="0.25">
      <c r="B13098" s="11"/>
    </row>
    <row r="13099" spans="2:2" x14ac:dyDescent="0.25">
      <c r="B13099" s="11"/>
    </row>
    <row r="13100" spans="2:2" x14ac:dyDescent="0.25">
      <c r="B13100" s="11"/>
    </row>
    <row r="13101" spans="2:2" x14ac:dyDescent="0.25">
      <c r="B13101" s="11"/>
    </row>
    <row r="13102" spans="2:2" x14ac:dyDescent="0.25">
      <c r="B13102" s="11"/>
    </row>
    <row r="13103" spans="2:2" x14ac:dyDescent="0.25">
      <c r="B13103" s="11"/>
    </row>
    <row r="13104" spans="2:2" x14ac:dyDescent="0.25">
      <c r="B13104" s="11"/>
    </row>
    <row r="13105" spans="2:2" x14ac:dyDescent="0.25">
      <c r="B13105" s="11"/>
    </row>
    <row r="13106" spans="2:2" x14ac:dyDescent="0.25">
      <c r="B13106" s="11"/>
    </row>
    <row r="13107" spans="2:2" x14ac:dyDescent="0.25">
      <c r="B13107" s="11"/>
    </row>
    <row r="13108" spans="2:2" x14ac:dyDescent="0.25">
      <c r="B13108" s="11"/>
    </row>
    <row r="13109" spans="2:2" x14ac:dyDescent="0.25">
      <c r="B13109" s="11"/>
    </row>
    <row r="13110" spans="2:2" x14ac:dyDescent="0.25">
      <c r="B13110" s="11"/>
    </row>
    <row r="13111" spans="2:2" x14ac:dyDescent="0.25">
      <c r="B13111" s="11"/>
    </row>
    <row r="13112" spans="2:2" x14ac:dyDescent="0.25">
      <c r="B13112" s="11"/>
    </row>
    <row r="13113" spans="2:2" x14ac:dyDescent="0.25">
      <c r="B13113" s="11"/>
    </row>
    <row r="13114" spans="2:2" x14ac:dyDescent="0.25">
      <c r="B13114" s="11"/>
    </row>
    <row r="13115" spans="2:2" x14ac:dyDescent="0.25">
      <c r="B13115" s="11"/>
    </row>
    <row r="13116" spans="2:2" x14ac:dyDescent="0.25">
      <c r="B13116" s="11"/>
    </row>
    <row r="13117" spans="2:2" x14ac:dyDescent="0.25">
      <c r="B13117" s="11"/>
    </row>
    <row r="13118" spans="2:2" x14ac:dyDescent="0.25">
      <c r="B13118" s="11"/>
    </row>
    <row r="13119" spans="2:2" x14ac:dyDescent="0.25">
      <c r="B13119" s="11"/>
    </row>
    <row r="13120" spans="2:2" x14ac:dyDescent="0.25">
      <c r="B13120" s="11"/>
    </row>
    <row r="13121" spans="2:2" x14ac:dyDescent="0.25">
      <c r="B13121" s="11"/>
    </row>
    <row r="13122" spans="2:2" x14ac:dyDescent="0.25">
      <c r="B13122" s="11"/>
    </row>
    <row r="13123" spans="2:2" x14ac:dyDescent="0.25">
      <c r="B13123" s="11"/>
    </row>
    <row r="13124" spans="2:2" x14ac:dyDescent="0.25">
      <c r="B13124" s="11"/>
    </row>
    <row r="13125" spans="2:2" x14ac:dyDescent="0.25">
      <c r="B13125" s="11"/>
    </row>
    <row r="13126" spans="2:2" x14ac:dyDescent="0.25">
      <c r="B13126" s="11"/>
    </row>
    <row r="13127" spans="2:2" x14ac:dyDescent="0.25">
      <c r="B13127" s="11"/>
    </row>
    <row r="13128" spans="2:2" x14ac:dyDescent="0.25">
      <c r="B13128" s="11"/>
    </row>
    <row r="13129" spans="2:2" x14ac:dyDescent="0.25">
      <c r="B13129" s="11"/>
    </row>
    <row r="13130" spans="2:2" x14ac:dyDescent="0.25">
      <c r="B13130" s="11"/>
    </row>
    <row r="13131" spans="2:2" x14ac:dyDescent="0.25">
      <c r="B13131" s="11"/>
    </row>
    <row r="13132" spans="2:2" x14ac:dyDescent="0.25">
      <c r="B13132" s="11"/>
    </row>
    <row r="13133" spans="2:2" x14ac:dyDescent="0.25">
      <c r="B13133" s="11"/>
    </row>
    <row r="13134" spans="2:2" x14ac:dyDescent="0.25">
      <c r="B13134" s="11"/>
    </row>
    <row r="13135" spans="2:2" x14ac:dyDescent="0.25">
      <c r="B13135" s="11"/>
    </row>
    <row r="13136" spans="2:2" x14ac:dyDescent="0.25">
      <c r="B13136" s="11"/>
    </row>
    <row r="13137" spans="2:2" x14ac:dyDescent="0.25">
      <c r="B13137" s="11"/>
    </row>
    <row r="13138" spans="2:2" x14ac:dyDescent="0.25">
      <c r="B13138" s="11"/>
    </row>
    <row r="13139" spans="2:2" x14ac:dyDescent="0.25">
      <c r="B13139" s="11"/>
    </row>
    <row r="13140" spans="2:2" x14ac:dyDescent="0.25">
      <c r="B13140" s="11"/>
    </row>
    <row r="13141" spans="2:2" x14ac:dyDescent="0.25">
      <c r="B13141" s="11"/>
    </row>
    <row r="13142" spans="2:2" x14ac:dyDescent="0.25">
      <c r="B13142" s="11"/>
    </row>
    <row r="13143" spans="2:2" x14ac:dyDescent="0.25">
      <c r="B13143" s="11"/>
    </row>
    <row r="13144" spans="2:2" x14ac:dyDescent="0.25">
      <c r="B13144" s="11"/>
    </row>
    <row r="13145" spans="2:2" x14ac:dyDescent="0.25">
      <c r="B13145" s="11"/>
    </row>
    <row r="13146" spans="2:2" x14ac:dyDescent="0.25">
      <c r="B13146" s="11"/>
    </row>
    <row r="13147" spans="2:2" x14ac:dyDescent="0.25">
      <c r="B13147" s="11"/>
    </row>
    <row r="13148" spans="2:2" x14ac:dyDescent="0.25">
      <c r="B13148" s="11"/>
    </row>
    <row r="13149" spans="2:2" x14ac:dyDescent="0.25">
      <c r="B13149" s="11"/>
    </row>
    <row r="13150" spans="2:2" x14ac:dyDescent="0.25">
      <c r="B13150" s="11"/>
    </row>
    <row r="13151" spans="2:2" x14ac:dyDescent="0.25">
      <c r="B13151" s="11"/>
    </row>
    <row r="13152" spans="2:2" x14ac:dyDescent="0.25">
      <c r="B13152" s="11"/>
    </row>
    <row r="13153" spans="2:2" x14ac:dyDescent="0.25">
      <c r="B13153" s="11"/>
    </row>
    <row r="13154" spans="2:2" x14ac:dyDescent="0.25">
      <c r="B13154" s="11"/>
    </row>
    <row r="13155" spans="2:2" x14ac:dyDescent="0.25">
      <c r="B13155" s="11"/>
    </row>
    <row r="13156" spans="2:2" x14ac:dyDescent="0.25">
      <c r="B13156" s="11"/>
    </row>
    <row r="13157" spans="2:2" x14ac:dyDescent="0.25">
      <c r="B13157" s="11"/>
    </row>
    <row r="13158" spans="2:2" x14ac:dyDescent="0.25">
      <c r="B13158" s="11"/>
    </row>
    <row r="13159" spans="2:2" x14ac:dyDescent="0.25">
      <c r="B13159" s="11"/>
    </row>
    <row r="13160" spans="2:2" x14ac:dyDescent="0.25">
      <c r="B13160" s="11"/>
    </row>
    <row r="13161" spans="2:2" x14ac:dyDescent="0.25">
      <c r="B13161" s="11"/>
    </row>
    <row r="13162" spans="2:2" x14ac:dyDescent="0.25">
      <c r="B13162" s="11"/>
    </row>
    <row r="13163" spans="2:2" x14ac:dyDescent="0.25">
      <c r="B13163" s="11"/>
    </row>
    <row r="13164" spans="2:2" x14ac:dyDescent="0.25">
      <c r="B13164" s="11"/>
    </row>
    <row r="13165" spans="2:2" x14ac:dyDescent="0.25">
      <c r="B13165" s="11"/>
    </row>
    <row r="13166" spans="2:2" x14ac:dyDescent="0.25">
      <c r="B13166" s="11"/>
    </row>
    <row r="13167" spans="2:2" x14ac:dyDescent="0.25">
      <c r="B13167" s="11"/>
    </row>
    <row r="13168" spans="2:2" x14ac:dyDescent="0.25">
      <c r="B13168" s="11"/>
    </row>
    <row r="13169" spans="2:2" x14ac:dyDescent="0.25">
      <c r="B13169" s="11"/>
    </row>
    <row r="13170" spans="2:2" x14ac:dyDescent="0.25">
      <c r="B13170" s="11"/>
    </row>
    <row r="13171" spans="2:2" x14ac:dyDescent="0.25">
      <c r="B13171" s="11"/>
    </row>
    <row r="13172" spans="2:2" x14ac:dyDescent="0.25">
      <c r="B13172" s="11"/>
    </row>
    <row r="13173" spans="2:2" x14ac:dyDescent="0.25">
      <c r="B13173" s="11"/>
    </row>
    <row r="13174" spans="2:2" x14ac:dyDescent="0.25">
      <c r="B13174" s="11"/>
    </row>
    <row r="13175" spans="2:2" x14ac:dyDescent="0.25">
      <c r="B13175" s="11"/>
    </row>
    <row r="13176" spans="2:2" x14ac:dyDescent="0.25">
      <c r="B13176" s="11"/>
    </row>
    <row r="13177" spans="2:2" x14ac:dyDescent="0.25">
      <c r="B13177" s="11"/>
    </row>
    <row r="13178" spans="2:2" x14ac:dyDescent="0.25">
      <c r="B13178" s="11"/>
    </row>
    <row r="13179" spans="2:2" x14ac:dyDescent="0.25">
      <c r="B13179" s="11"/>
    </row>
    <row r="13180" spans="2:2" x14ac:dyDescent="0.25">
      <c r="B13180" s="11"/>
    </row>
    <row r="13181" spans="2:2" x14ac:dyDescent="0.25">
      <c r="B13181" s="11"/>
    </row>
    <row r="13182" spans="2:2" x14ac:dyDescent="0.25">
      <c r="B13182" s="11"/>
    </row>
    <row r="13183" spans="2:2" x14ac:dyDescent="0.25">
      <c r="B13183" s="11"/>
    </row>
    <row r="13184" spans="2:2" x14ac:dyDescent="0.25">
      <c r="B13184" s="11"/>
    </row>
    <row r="13185" spans="2:2" x14ac:dyDescent="0.25">
      <c r="B13185" s="11"/>
    </row>
    <row r="13186" spans="2:2" x14ac:dyDescent="0.25">
      <c r="B13186" s="11"/>
    </row>
    <row r="13187" spans="2:2" x14ac:dyDescent="0.25">
      <c r="B13187" s="11"/>
    </row>
    <row r="13188" spans="2:2" x14ac:dyDescent="0.25">
      <c r="B13188" s="11"/>
    </row>
    <row r="13189" spans="2:2" x14ac:dyDescent="0.25">
      <c r="B13189" s="11"/>
    </row>
    <row r="13190" spans="2:2" x14ac:dyDescent="0.25">
      <c r="B13190" s="11"/>
    </row>
    <row r="13191" spans="2:2" x14ac:dyDescent="0.25">
      <c r="B13191" s="11"/>
    </row>
    <row r="13192" spans="2:2" x14ac:dyDescent="0.25">
      <c r="B13192" s="11"/>
    </row>
    <row r="13193" spans="2:2" x14ac:dyDescent="0.25">
      <c r="B13193" s="11"/>
    </row>
    <row r="13194" spans="2:2" x14ac:dyDescent="0.25">
      <c r="B13194" s="11"/>
    </row>
    <row r="13195" spans="2:2" x14ac:dyDescent="0.25">
      <c r="B13195" s="11"/>
    </row>
    <row r="13196" spans="2:2" x14ac:dyDescent="0.25">
      <c r="B13196" s="11"/>
    </row>
    <row r="13197" spans="2:2" x14ac:dyDescent="0.25">
      <c r="B13197" s="11"/>
    </row>
    <row r="13198" spans="2:2" x14ac:dyDescent="0.25">
      <c r="B13198" s="11"/>
    </row>
    <row r="13199" spans="2:2" x14ac:dyDescent="0.25">
      <c r="B13199" s="11"/>
    </row>
    <row r="13200" spans="2:2" x14ac:dyDescent="0.25">
      <c r="B13200" s="11"/>
    </row>
    <row r="13201" spans="2:2" x14ac:dyDescent="0.25">
      <c r="B13201" s="11"/>
    </row>
    <row r="13202" spans="2:2" x14ac:dyDescent="0.25">
      <c r="B13202" s="11"/>
    </row>
    <row r="13203" spans="2:2" x14ac:dyDescent="0.25">
      <c r="B13203" s="11"/>
    </row>
    <row r="13204" spans="2:2" x14ac:dyDescent="0.25">
      <c r="B13204" s="11"/>
    </row>
    <row r="13205" spans="2:2" x14ac:dyDescent="0.25">
      <c r="B13205" s="11"/>
    </row>
    <row r="13206" spans="2:2" x14ac:dyDescent="0.25">
      <c r="B13206" s="11"/>
    </row>
    <row r="13207" spans="2:2" x14ac:dyDescent="0.25">
      <c r="B13207" s="11"/>
    </row>
    <row r="13208" spans="2:2" x14ac:dyDescent="0.25">
      <c r="B13208" s="11"/>
    </row>
    <row r="13209" spans="2:2" x14ac:dyDescent="0.25">
      <c r="B13209" s="11"/>
    </row>
    <row r="13210" spans="2:2" x14ac:dyDescent="0.25">
      <c r="B13210" s="11"/>
    </row>
    <row r="13211" spans="2:2" x14ac:dyDescent="0.25">
      <c r="B13211" s="11"/>
    </row>
    <row r="13212" spans="2:2" x14ac:dyDescent="0.25">
      <c r="B13212" s="11"/>
    </row>
    <row r="13213" spans="2:2" x14ac:dyDescent="0.25">
      <c r="B13213" s="11"/>
    </row>
    <row r="13214" spans="2:2" x14ac:dyDescent="0.25">
      <c r="B13214" s="11"/>
    </row>
    <row r="13215" spans="2:2" x14ac:dyDescent="0.25">
      <c r="B13215" s="11"/>
    </row>
    <row r="13216" spans="2:2" x14ac:dyDescent="0.25">
      <c r="B13216" s="11"/>
    </row>
    <row r="13217" spans="2:2" x14ac:dyDescent="0.25">
      <c r="B13217" s="11"/>
    </row>
    <row r="13218" spans="2:2" x14ac:dyDescent="0.25">
      <c r="B13218" s="11"/>
    </row>
    <row r="13219" spans="2:2" x14ac:dyDescent="0.25">
      <c r="B13219" s="11"/>
    </row>
    <row r="13220" spans="2:2" x14ac:dyDescent="0.25">
      <c r="B13220" s="11"/>
    </row>
    <row r="13221" spans="2:2" x14ac:dyDescent="0.25">
      <c r="B13221" s="11"/>
    </row>
    <row r="13222" spans="2:2" x14ac:dyDescent="0.25">
      <c r="B13222" s="11"/>
    </row>
    <row r="13223" spans="2:2" x14ac:dyDescent="0.25">
      <c r="B13223" s="11"/>
    </row>
    <row r="13224" spans="2:2" x14ac:dyDescent="0.25">
      <c r="B13224" s="11"/>
    </row>
    <row r="13225" spans="2:2" x14ac:dyDescent="0.25">
      <c r="B13225" s="11"/>
    </row>
    <row r="13226" spans="2:2" x14ac:dyDescent="0.25">
      <c r="B13226" s="11"/>
    </row>
    <row r="13227" spans="2:2" x14ac:dyDescent="0.25">
      <c r="B13227" s="11"/>
    </row>
    <row r="13228" spans="2:2" x14ac:dyDescent="0.25">
      <c r="B13228" s="11"/>
    </row>
    <row r="13229" spans="2:2" x14ac:dyDescent="0.25">
      <c r="B13229" s="11"/>
    </row>
    <row r="13230" spans="2:2" x14ac:dyDescent="0.25">
      <c r="B13230" s="11"/>
    </row>
    <row r="13231" spans="2:2" x14ac:dyDescent="0.25">
      <c r="B13231" s="11"/>
    </row>
    <row r="13232" spans="2:2" x14ac:dyDescent="0.25">
      <c r="B13232" s="11"/>
    </row>
    <row r="13233" spans="2:2" x14ac:dyDescent="0.25">
      <c r="B13233" s="11"/>
    </row>
    <row r="13234" spans="2:2" x14ac:dyDescent="0.25">
      <c r="B13234" s="11"/>
    </row>
    <row r="13235" spans="2:2" x14ac:dyDescent="0.25">
      <c r="B13235" s="11"/>
    </row>
    <row r="13236" spans="2:2" x14ac:dyDescent="0.25">
      <c r="B13236" s="11"/>
    </row>
    <row r="13237" spans="2:2" x14ac:dyDescent="0.25">
      <c r="B13237" s="11"/>
    </row>
    <row r="13238" spans="2:2" x14ac:dyDescent="0.25">
      <c r="B13238" s="11"/>
    </row>
    <row r="13239" spans="2:2" x14ac:dyDescent="0.25">
      <c r="B13239" s="11"/>
    </row>
    <row r="13240" spans="2:2" x14ac:dyDescent="0.25">
      <c r="B13240" s="11"/>
    </row>
    <row r="13241" spans="2:2" x14ac:dyDescent="0.25">
      <c r="B13241" s="11"/>
    </row>
    <row r="13242" spans="2:2" x14ac:dyDescent="0.25">
      <c r="B13242" s="11"/>
    </row>
    <row r="13243" spans="2:2" x14ac:dyDescent="0.25">
      <c r="B13243" s="11"/>
    </row>
    <row r="13244" spans="2:2" x14ac:dyDescent="0.25">
      <c r="B13244" s="11"/>
    </row>
    <row r="13245" spans="2:2" x14ac:dyDescent="0.25">
      <c r="B13245" s="11"/>
    </row>
    <row r="13246" spans="2:2" x14ac:dyDescent="0.25">
      <c r="B13246" s="11"/>
    </row>
    <row r="13247" spans="2:2" x14ac:dyDescent="0.25">
      <c r="B13247" s="11"/>
    </row>
    <row r="13248" spans="2:2" x14ac:dyDescent="0.25">
      <c r="B13248" s="11"/>
    </row>
    <row r="13249" spans="2:2" x14ac:dyDescent="0.25">
      <c r="B13249" s="11"/>
    </row>
    <row r="13250" spans="2:2" x14ac:dyDescent="0.25">
      <c r="B13250" s="11"/>
    </row>
    <row r="13251" spans="2:2" x14ac:dyDescent="0.25">
      <c r="B13251" s="11"/>
    </row>
    <row r="13252" spans="2:2" x14ac:dyDescent="0.25">
      <c r="B13252" s="11"/>
    </row>
    <row r="13253" spans="2:2" x14ac:dyDescent="0.25">
      <c r="B13253" s="11"/>
    </row>
    <row r="13254" spans="2:2" x14ac:dyDescent="0.25">
      <c r="B13254" s="11"/>
    </row>
    <row r="13255" spans="2:2" x14ac:dyDescent="0.25">
      <c r="B13255" s="11"/>
    </row>
    <row r="13256" spans="2:2" x14ac:dyDescent="0.25">
      <c r="B13256" s="11"/>
    </row>
    <row r="13257" spans="2:2" x14ac:dyDescent="0.25">
      <c r="B13257" s="11"/>
    </row>
    <row r="13258" spans="2:2" x14ac:dyDescent="0.25">
      <c r="B13258" s="11"/>
    </row>
    <row r="13259" spans="2:2" x14ac:dyDescent="0.25">
      <c r="B13259" s="11"/>
    </row>
    <row r="13260" spans="2:2" x14ac:dyDescent="0.25">
      <c r="B13260" s="11"/>
    </row>
    <row r="13261" spans="2:2" x14ac:dyDescent="0.25">
      <c r="B13261" s="11"/>
    </row>
    <row r="13262" spans="2:2" x14ac:dyDescent="0.25">
      <c r="B13262" s="11"/>
    </row>
    <row r="13263" spans="2:2" x14ac:dyDescent="0.25">
      <c r="B13263" s="11"/>
    </row>
    <row r="13264" spans="2:2" x14ac:dyDescent="0.25">
      <c r="B13264" s="11"/>
    </row>
    <row r="13265" spans="2:2" x14ac:dyDescent="0.25">
      <c r="B13265" s="11"/>
    </row>
    <row r="13266" spans="2:2" x14ac:dyDescent="0.25">
      <c r="B13266" s="11"/>
    </row>
    <row r="13267" spans="2:2" x14ac:dyDescent="0.25">
      <c r="B13267" s="11"/>
    </row>
    <row r="13268" spans="2:2" x14ac:dyDescent="0.25">
      <c r="B13268" s="11"/>
    </row>
    <row r="13269" spans="2:2" x14ac:dyDescent="0.25">
      <c r="B13269" s="11"/>
    </row>
    <row r="13270" spans="2:2" x14ac:dyDescent="0.25">
      <c r="B13270" s="11"/>
    </row>
    <row r="13271" spans="2:2" x14ac:dyDescent="0.25">
      <c r="B13271" s="11"/>
    </row>
    <row r="13272" spans="2:2" x14ac:dyDescent="0.25">
      <c r="B13272" s="11"/>
    </row>
    <row r="13273" spans="2:2" x14ac:dyDescent="0.25">
      <c r="B13273" s="11"/>
    </row>
    <row r="13274" spans="2:2" x14ac:dyDescent="0.25">
      <c r="B13274" s="11"/>
    </row>
    <row r="13275" spans="2:2" x14ac:dyDescent="0.25">
      <c r="B13275" s="11"/>
    </row>
    <row r="13276" spans="2:2" x14ac:dyDescent="0.25">
      <c r="B13276" s="11"/>
    </row>
    <row r="13277" spans="2:2" x14ac:dyDescent="0.25">
      <c r="B13277" s="11"/>
    </row>
    <row r="13278" spans="2:2" x14ac:dyDescent="0.25">
      <c r="B13278" s="11"/>
    </row>
    <row r="13279" spans="2:2" x14ac:dyDescent="0.25">
      <c r="B13279" s="11"/>
    </row>
    <row r="13280" spans="2:2" x14ac:dyDescent="0.25">
      <c r="B13280" s="11"/>
    </row>
    <row r="13281" spans="2:2" x14ac:dyDescent="0.25">
      <c r="B13281" s="11"/>
    </row>
    <row r="13282" spans="2:2" x14ac:dyDescent="0.25">
      <c r="B13282" s="11"/>
    </row>
    <row r="13283" spans="2:2" x14ac:dyDescent="0.25">
      <c r="B13283" s="11"/>
    </row>
    <row r="13284" spans="2:2" x14ac:dyDescent="0.25">
      <c r="B13284" s="11"/>
    </row>
    <row r="13285" spans="2:2" x14ac:dyDescent="0.25">
      <c r="B13285" s="11"/>
    </row>
    <row r="13286" spans="2:2" x14ac:dyDescent="0.25">
      <c r="B13286" s="11"/>
    </row>
    <row r="13287" spans="2:2" x14ac:dyDescent="0.25">
      <c r="B13287" s="11"/>
    </row>
    <row r="13288" spans="2:2" x14ac:dyDescent="0.25">
      <c r="B13288" s="11"/>
    </row>
    <row r="13289" spans="2:2" x14ac:dyDescent="0.25">
      <c r="B13289" s="11"/>
    </row>
    <row r="13290" spans="2:2" x14ac:dyDescent="0.25">
      <c r="B13290" s="11"/>
    </row>
    <row r="13291" spans="2:2" x14ac:dyDescent="0.25">
      <c r="B13291" s="11"/>
    </row>
    <row r="13292" spans="2:2" x14ac:dyDescent="0.25">
      <c r="B13292" s="11"/>
    </row>
    <row r="13293" spans="2:2" x14ac:dyDescent="0.25">
      <c r="B13293" s="11"/>
    </row>
    <row r="13294" spans="2:2" x14ac:dyDescent="0.25">
      <c r="B13294" s="11"/>
    </row>
    <row r="13295" spans="2:2" x14ac:dyDescent="0.25">
      <c r="B13295" s="11"/>
    </row>
    <row r="13296" spans="2:2" x14ac:dyDescent="0.25">
      <c r="B13296" s="11"/>
    </row>
    <row r="13297" spans="2:2" x14ac:dyDescent="0.25">
      <c r="B13297" s="11"/>
    </row>
    <row r="13298" spans="2:2" x14ac:dyDescent="0.25">
      <c r="B13298" s="11"/>
    </row>
    <row r="13299" spans="2:2" x14ac:dyDescent="0.25">
      <c r="B13299" s="11"/>
    </row>
    <row r="13300" spans="2:2" x14ac:dyDescent="0.25">
      <c r="B13300" s="11"/>
    </row>
    <row r="13301" spans="2:2" x14ac:dyDescent="0.25">
      <c r="B13301" s="11"/>
    </row>
    <row r="13302" spans="2:2" x14ac:dyDescent="0.25">
      <c r="B13302" s="11"/>
    </row>
    <row r="13303" spans="2:2" x14ac:dyDescent="0.25">
      <c r="B13303" s="11"/>
    </row>
    <row r="13304" spans="2:2" x14ac:dyDescent="0.25">
      <c r="B13304" s="11"/>
    </row>
    <row r="13305" spans="2:2" x14ac:dyDescent="0.25">
      <c r="B13305" s="11"/>
    </row>
    <row r="13306" spans="2:2" x14ac:dyDescent="0.25">
      <c r="B13306" s="11"/>
    </row>
    <row r="13307" spans="2:2" x14ac:dyDescent="0.25">
      <c r="B13307" s="11"/>
    </row>
    <row r="13308" spans="2:2" x14ac:dyDescent="0.25">
      <c r="B13308" s="11"/>
    </row>
    <row r="13309" spans="2:2" x14ac:dyDescent="0.25">
      <c r="B13309" s="11"/>
    </row>
    <row r="13310" spans="2:2" x14ac:dyDescent="0.25">
      <c r="B13310" s="11"/>
    </row>
    <row r="13311" spans="2:2" x14ac:dyDescent="0.25">
      <c r="B13311" s="11"/>
    </row>
    <row r="13312" spans="2:2" x14ac:dyDescent="0.25">
      <c r="B13312" s="11"/>
    </row>
    <row r="13313" spans="2:2" x14ac:dyDescent="0.25">
      <c r="B13313" s="11"/>
    </row>
    <row r="13314" spans="2:2" x14ac:dyDescent="0.25">
      <c r="B13314" s="11"/>
    </row>
    <row r="13315" spans="2:2" x14ac:dyDescent="0.25">
      <c r="B13315" s="11"/>
    </row>
    <row r="13316" spans="2:2" x14ac:dyDescent="0.25">
      <c r="B13316" s="11"/>
    </row>
    <row r="13317" spans="2:2" x14ac:dyDescent="0.25">
      <c r="B13317" s="11"/>
    </row>
    <row r="13318" spans="2:2" x14ac:dyDescent="0.25">
      <c r="B13318" s="11"/>
    </row>
    <row r="13319" spans="2:2" x14ac:dyDescent="0.25">
      <c r="B13319" s="11"/>
    </row>
    <row r="13320" spans="2:2" x14ac:dyDescent="0.25">
      <c r="B13320" s="11"/>
    </row>
    <row r="13321" spans="2:2" x14ac:dyDescent="0.25">
      <c r="B13321" s="11"/>
    </row>
    <row r="13322" spans="2:2" x14ac:dyDescent="0.25">
      <c r="B13322" s="11"/>
    </row>
    <row r="13323" spans="2:2" x14ac:dyDescent="0.25">
      <c r="B13323" s="11"/>
    </row>
    <row r="13324" spans="2:2" x14ac:dyDescent="0.25">
      <c r="B13324" s="11"/>
    </row>
    <row r="13325" spans="2:2" x14ac:dyDescent="0.25">
      <c r="B13325" s="11"/>
    </row>
    <row r="13326" spans="2:2" x14ac:dyDescent="0.25">
      <c r="B13326" s="11"/>
    </row>
    <row r="13327" spans="2:2" x14ac:dyDescent="0.25">
      <c r="B13327" s="11"/>
    </row>
    <row r="13328" spans="2:2" x14ac:dyDescent="0.25">
      <c r="B13328" s="11"/>
    </row>
    <row r="13329" spans="2:2" x14ac:dyDescent="0.25">
      <c r="B13329" s="11"/>
    </row>
    <row r="13330" spans="2:2" x14ac:dyDescent="0.25">
      <c r="B13330" s="11"/>
    </row>
    <row r="13331" spans="2:2" x14ac:dyDescent="0.25">
      <c r="B13331" s="11"/>
    </row>
    <row r="13332" spans="2:2" x14ac:dyDescent="0.25">
      <c r="B13332" s="11"/>
    </row>
    <row r="13333" spans="2:2" x14ac:dyDescent="0.25">
      <c r="B13333" s="11"/>
    </row>
    <row r="13334" spans="2:2" x14ac:dyDescent="0.25">
      <c r="B13334" s="11"/>
    </row>
    <row r="13335" spans="2:2" x14ac:dyDescent="0.25">
      <c r="B13335" s="11"/>
    </row>
    <row r="13336" spans="2:2" x14ac:dyDescent="0.25">
      <c r="B13336" s="11"/>
    </row>
    <row r="13337" spans="2:2" x14ac:dyDescent="0.25">
      <c r="B13337" s="11"/>
    </row>
    <row r="13338" spans="2:2" x14ac:dyDescent="0.25">
      <c r="B13338" s="11"/>
    </row>
    <row r="13339" spans="2:2" x14ac:dyDescent="0.25">
      <c r="B13339" s="11"/>
    </row>
    <row r="13340" spans="2:2" x14ac:dyDescent="0.25">
      <c r="B13340" s="11"/>
    </row>
    <row r="13341" spans="2:2" x14ac:dyDescent="0.25">
      <c r="B13341" s="11"/>
    </row>
    <row r="13342" spans="2:2" x14ac:dyDescent="0.25">
      <c r="B13342" s="11"/>
    </row>
    <row r="13343" spans="2:2" x14ac:dyDescent="0.25">
      <c r="B13343" s="11"/>
    </row>
    <row r="13344" spans="2:2" x14ac:dyDescent="0.25">
      <c r="B13344" s="11"/>
    </row>
    <row r="13345" spans="2:2" x14ac:dyDescent="0.25">
      <c r="B13345" s="11"/>
    </row>
    <row r="13346" spans="2:2" x14ac:dyDescent="0.25">
      <c r="B13346" s="11"/>
    </row>
    <row r="13347" spans="2:2" x14ac:dyDescent="0.25">
      <c r="B13347" s="11"/>
    </row>
    <row r="13348" spans="2:2" x14ac:dyDescent="0.25">
      <c r="B13348" s="11"/>
    </row>
    <row r="13349" spans="2:2" x14ac:dyDescent="0.25">
      <c r="B13349" s="11"/>
    </row>
    <row r="13350" spans="2:2" x14ac:dyDescent="0.25">
      <c r="B13350" s="11"/>
    </row>
    <row r="13351" spans="2:2" x14ac:dyDescent="0.25">
      <c r="B13351" s="11"/>
    </row>
    <row r="13352" spans="2:2" x14ac:dyDescent="0.25">
      <c r="B13352" s="11"/>
    </row>
    <row r="13353" spans="2:2" x14ac:dyDescent="0.25">
      <c r="B13353" s="11"/>
    </row>
    <row r="13354" spans="2:2" x14ac:dyDescent="0.25">
      <c r="B13354" s="11"/>
    </row>
    <row r="13355" spans="2:2" x14ac:dyDescent="0.25">
      <c r="B13355" s="11"/>
    </row>
    <row r="13356" spans="2:2" x14ac:dyDescent="0.25">
      <c r="B13356" s="11"/>
    </row>
    <row r="13357" spans="2:2" x14ac:dyDescent="0.25">
      <c r="B13357" s="11"/>
    </row>
    <row r="13358" spans="2:2" x14ac:dyDescent="0.25">
      <c r="B13358" s="11"/>
    </row>
    <row r="13359" spans="2:2" x14ac:dyDescent="0.25">
      <c r="B13359" s="11"/>
    </row>
    <row r="13360" spans="2:2" x14ac:dyDescent="0.25">
      <c r="B13360" s="11"/>
    </row>
    <row r="13361" spans="2:2" x14ac:dyDescent="0.25">
      <c r="B13361" s="11"/>
    </row>
    <row r="13362" spans="2:2" x14ac:dyDescent="0.25">
      <c r="B13362" s="11"/>
    </row>
    <row r="13363" spans="2:2" x14ac:dyDescent="0.25">
      <c r="B13363" s="11"/>
    </row>
    <row r="13364" spans="2:2" x14ac:dyDescent="0.25">
      <c r="B13364" s="11"/>
    </row>
    <row r="13365" spans="2:2" x14ac:dyDescent="0.25">
      <c r="B13365" s="11"/>
    </row>
    <row r="13366" spans="2:2" x14ac:dyDescent="0.25">
      <c r="B13366" s="11"/>
    </row>
    <row r="13367" spans="2:2" x14ac:dyDescent="0.25">
      <c r="B13367" s="11"/>
    </row>
    <row r="13368" spans="2:2" x14ac:dyDescent="0.25">
      <c r="B13368" s="11"/>
    </row>
    <row r="13369" spans="2:2" x14ac:dyDescent="0.25">
      <c r="B13369" s="11"/>
    </row>
    <row r="13370" spans="2:2" x14ac:dyDescent="0.25">
      <c r="B13370" s="11"/>
    </row>
    <row r="13371" spans="2:2" x14ac:dyDescent="0.25">
      <c r="B13371" s="11"/>
    </row>
    <row r="13372" spans="2:2" x14ac:dyDescent="0.25">
      <c r="B13372" s="11"/>
    </row>
    <row r="13373" spans="2:2" x14ac:dyDescent="0.25">
      <c r="B13373" s="11"/>
    </row>
    <row r="13374" spans="2:2" x14ac:dyDescent="0.25">
      <c r="B13374" s="11"/>
    </row>
    <row r="13375" spans="2:2" x14ac:dyDescent="0.25">
      <c r="B13375" s="11"/>
    </row>
    <row r="13376" spans="2:2" x14ac:dyDescent="0.25">
      <c r="B13376" s="11"/>
    </row>
    <row r="13377" spans="2:2" x14ac:dyDescent="0.25">
      <c r="B13377" s="11"/>
    </row>
    <row r="13378" spans="2:2" x14ac:dyDescent="0.25">
      <c r="B13378" s="11"/>
    </row>
    <row r="13379" spans="2:2" x14ac:dyDescent="0.25">
      <c r="B13379" s="11"/>
    </row>
    <row r="13380" spans="2:2" x14ac:dyDescent="0.25">
      <c r="B13380" s="11"/>
    </row>
    <row r="13381" spans="2:2" x14ac:dyDescent="0.25">
      <c r="B13381" s="11"/>
    </row>
    <row r="13382" spans="2:2" x14ac:dyDescent="0.25">
      <c r="B13382" s="11"/>
    </row>
    <row r="13383" spans="2:2" x14ac:dyDescent="0.25">
      <c r="B13383" s="11"/>
    </row>
    <row r="13384" spans="2:2" x14ac:dyDescent="0.25">
      <c r="B13384" s="11"/>
    </row>
    <row r="13385" spans="2:2" x14ac:dyDescent="0.25">
      <c r="B13385" s="11"/>
    </row>
    <row r="13386" spans="2:2" x14ac:dyDescent="0.25">
      <c r="B13386" s="11"/>
    </row>
    <row r="13387" spans="2:2" x14ac:dyDescent="0.25">
      <c r="B13387" s="11"/>
    </row>
    <row r="13388" spans="2:2" x14ac:dyDescent="0.25">
      <c r="B13388" s="11"/>
    </row>
    <row r="13389" spans="2:2" x14ac:dyDescent="0.25">
      <c r="B13389" s="11"/>
    </row>
    <row r="13390" spans="2:2" x14ac:dyDescent="0.25">
      <c r="B13390" s="11"/>
    </row>
    <row r="13391" spans="2:2" x14ac:dyDescent="0.25">
      <c r="B13391" s="11"/>
    </row>
    <row r="13392" spans="2:2" x14ac:dyDescent="0.25">
      <c r="B13392" s="11"/>
    </row>
    <row r="13393" spans="2:2" x14ac:dyDescent="0.25">
      <c r="B13393" s="11"/>
    </row>
    <row r="13394" spans="2:2" x14ac:dyDescent="0.25">
      <c r="B13394" s="11"/>
    </row>
    <row r="13395" spans="2:2" x14ac:dyDescent="0.25">
      <c r="B13395" s="11"/>
    </row>
    <row r="13396" spans="2:2" x14ac:dyDescent="0.25">
      <c r="B13396" s="11"/>
    </row>
    <row r="13397" spans="2:2" x14ac:dyDescent="0.25">
      <c r="B13397" s="11"/>
    </row>
    <row r="13398" spans="2:2" x14ac:dyDescent="0.25">
      <c r="B13398" s="11"/>
    </row>
    <row r="13399" spans="2:2" x14ac:dyDescent="0.25">
      <c r="B13399" s="11"/>
    </row>
    <row r="13400" spans="2:2" x14ac:dyDescent="0.25">
      <c r="B13400" s="11"/>
    </row>
    <row r="13401" spans="2:2" x14ac:dyDescent="0.25">
      <c r="B13401" s="11"/>
    </row>
    <row r="13402" spans="2:2" x14ac:dyDescent="0.25">
      <c r="B13402" s="11"/>
    </row>
    <row r="13403" spans="2:2" x14ac:dyDescent="0.25">
      <c r="B13403" s="11"/>
    </row>
    <row r="13404" spans="2:2" x14ac:dyDescent="0.25">
      <c r="B13404" s="11"/>
    </row>
    <row r="13405" spans="2:2" x14ac:dyDescent="0.25">
      <c r="B13405" s="11"/>
    </row>
    <row r="13406" spans="2:2" x14ac:dyDescent="0.25">
      <c r="B13406" s="11"/>
    </row>
    <row r="13407" spans="2:2" x14ac:dyDescent="0.25">
      <c r="B13407" s="11"/>
    </row>
    <row r="13408" spans="2:2" x14ac:dyDescent="0.25">
      <c r="B13408" s="11"/>
    </row>
    <row r="13409" spans="2:2" x14ac:dyDescent="0.25">
      <c r="B13409" s="11"/>
    </row>
    <row r="13410" spans="2:2" x14ac:dyDescent="0.25">
      <c r="B13410" s="11"/>
    </row>
    <row r="13411" spans="2:2" x14ac:dyDescent="0.25">
      <c r="B13411" s="11"/>
    </row>
    <row r="13412" spans="2:2" x14ac:dyDescent="0.25">
      <c r="B13412" s="11"/>
    </row>
    <row r="13413" spans="2:2" x14ac:dyDescent="0.25">
      <c r="B13413" s="11"/>
    </row>
    <row r="13414" spans="2:2" x14ac:dyDescent="0.25">
      <c r="B13414" s="11"/>
    </row>
    <row r="13415" spans="2:2" x14ac:dyDescent="0.25">
      <c r="B13415" s="11"/>
    </row>
    <row r="13416" spans="2:2" x14ac:dyDescent="0.25">
      <c r="B13416" s="11"/>
    </row>
    <row r="13417" spans="2:2" x14ac:dyDescent="0.25">
      <c r="B13417" s="11"/>
    </row>
    <row r="13418" spans="2:2" x14ac:dyDescent="0.25">
      <c r="B13418" s="11"/>
    </row>
    <row r="13419" spans="2:2" x14ac:dyDescent="0.25">
      <c r="B13419" s="11"/>
    </row>
    <row r="13420" spans="2:2" x14ac:dyDescent="0.25">
      <c r="B13420" s="11"/>
    </row>
    <row r="13421" spans="2:2" x14ac:dyDescent="0.25">
      <c r="B13421" s="11"/>
    </row>
    <row r="13422" spans="2:2" x14ac:dyDescent="0.25">
      <c r="B13422" s="11"/>
    </row>
    <row r="13423" spans="2:2" x14ac:dyDescent="0.25">
      <c r="B13423" s="11"/>
    </row>
    <row r="13424" spans="2:2" x14ac:dyDescent="0.25">
      <c r="B13424" s="11"/>
    </row>
    <row r="13425" spans="2:2" x14ac:dyDescent="0.25">
      <c r="B13425" s="11"/>
    </row>
    <row r="13426" spans="2:2" x14ac:dyDescent="0.25">
      <c r="B13426" s="11"/>
    </row>
    <row r="13427" spans="2:2" x14ac:dyDescent="0.25">
      <c r="B13427" s="11"/>
    </row>
    <row r="13428" spans="2:2" x14ac:dyDescent="0.25">
      <c r="B13428" s="11"/>
    </row>
    <row r="13429" spans="2:2" x14ac:dyDescent="0.25">
      <c r="B13429" s="11"/>
    </row>
    <row r="13430" spans="2:2" x14ac:dyDescent="0.25">
      <c r="B13430" s="11"/>
    </row>
    <row r="13431" spans="2:2" x14ac:dyDescent="0.25">
      <c r="B13431" s="11"/>
    </row>
    <row r="13432" spans="2:2" x14ac:dyDescent="0.25">
      <c r="B13432" s="11"/>
    </row>
    <row r="13433" spans="2:2" x14ac:dyDescent="0.25">
      <c r="B13433" s="11"/>
    </row>
    <row r="13434" spans="2:2" x14ac:dyDescent="0.25">
      <c r="B13434" s="11"/>
    </row>
    <row r="13435" spans="2:2" x14ac:dyDescent="0.25">
      <c r="B13435" s="11"/>
    </row>
    <row r="13436" spans="2:2" x14ac:dyDescent="0.25">
      <c r="B13436" s="11"/>
    </row>
    <row r="13437" spans="2:2" x14ac:dyDescent="0.25">
      <c r="B13437" s="11"/>
    </row>
    <row r="13438" spans="2:2" x14ac:dyDescent="0.25">
      <c r="B13438" s="11"/>
    </row>
    <row r="13439" spans="2:2" x14ac:dyDescent="0.25">
      <c r="B13439" s="11"/>
    </row>
    <row r="13440" spans="2:2" x14ac:dyDescent="0.25">
      <c r="B13440" s="11"/>
    </row>
    <row r="13441" spans="2:2" x14ac:dyDescent="0.25">
      <c r="B13441" s="11"/>
    </row>
    <row r="13442" spans="2:2" x14ac:dyDescent="0.25">
      <c r="B13442" s="11"/>
    </row>
    <row r="13443" spans="2:2" x14ac:dyDescent="0.25">
      <c r="B13443" s="11"/>
    </row>
    <row r="13444" spans="2:2" x14ac:dyDescent="0.25">
      <c r="B13444" s="11"/>
    </row>
    <row r="13445" spans="2:2" x14ac:dyDescent="0.25">
      <c r="B13445" s="11"/>
    </row>
    <row r="13446" spans="2:2" x14ac:dyDescent="0.25">
      <c r="B13446" s="11"/>
    </row>
    <row r="13447" spans="2:2" x14ac:dyDescent="0.25">
      <c r="B13447" s="11"/>
    </row>
    <row r="13448" spans="2:2" x14ac:dyDescent="0.25">
      <c r="B13448" s="11"/>
    </row>
    <row r="13449" spans="2:2" x14ac:dyDescent="0.25">
      <c r="B13449" s="11"/>
    </row>
    <row r="13450" spans="2:2" x14ac:dyDescent="0.25">
      <c r="B13450" s="11"/>
    </row>
    <row r="13451" spans="2:2" x14ac:dyDescent="0.25">
      <c r="B13451" s="11"/>
    </row>
    <row r="13452" spans="2:2" x14ac:dyDescent="0.25">
      <c r="B13452" s="11"/>
    </row>
    <row r="13453" spans="2:2" x14ac:dyDescent="0.25">
      <c r="B13453" s="11"/>
    </row>
    <row r="13454" spans="2:2" x14ac:dyDescent="0.25">
      <c r="B13454" s="11"/>
    </row>
    <row r="13455" spans="2:2" x14ac:dyDescent="0.25">
      <c r="B13455" s="11"/>
    </row>
    <row r="13456" spans="2:2" x14ac:dyDescent="0.25">
      <c r="B13456" s="11"/>
    </row>
    <row r="13457" spans="2:2" x14ac:dyDescent="0.25">
      <c r="B13457" s="11"/>
    </row>
    <row r="13458" spans="2:2" x14ac:dyDescent="0.25">
      <c r="B13458" s="11"/>
    </row>
    <row r="13459" spans="2:2" x14ac:dyDescent="0.25">
      <c r="B13459" s="11"/>
    </row>
    <row r="13460" spans="2:2" x14ac:dyDescent="0.25">
      <c r="B13460" s="11"/>
    </row>
    <row r="13461" spans="2:2" x14ac:dyDescent="0.25">
      <c r="B13461" s="11"/>
    </row>
    <row r="13462" spans="2:2" x14ac:dyDescent="0.25">
      <c r="B13462" s="11"/>
    </row>
    <row r="13463" spans="2:2" x14ac:dyDescent="0.25">
      <c r="B13463" s="11"/>
    </row>
    <row r="13464" spans="2:2" x14ac:dyDescent="0.25">
      <c r="B13464" s="11"/>
    </row>
    <row r="13465" spans="2:2" x14ac:dyDescent="0.25">
      <c r="B13465" s="11"/>
    </row>
    <row r="13466" spans="2:2" x14ac:dyDescent="0.25">
      <c r="B13466" s="11"/>
    </row>
    <row r="13467" spans="2:2" x14ac:dyDescent="0.25">
      <c r="B13467" s="11"/>
    </row>
    <row r="13468" spans="2:2" x14ac:dyDescent="0.25">
      <c r="B13468" s="11"/>
    </row>
    <row r="13469" spans="2:2" x14ac:dyDescent="0.25">
      <c r="B13469" s="11"/>
    </row>
    <row r="13470" spans="2:2" x14ac:dyDescent="0.25">
      <c r="B13470" s="11"/>
    </row>
    <row r="13471" spans="2:2" x14ac:dyDescent="0.25">
      <c r="B13471" s="11"/>
    </row>
    <row r="13472" spans="2:2" x14ac:dyDescent="0.25">
      <c r="B13472" s="11"/>
    </row>
    <row r="13473" spans="2:2" x14ac:dyDescent="0.25">
      <c r="B13473" s="11"/>
    </row>
    <row r="13474" spans="2:2" x14ac:dyDescent="0.25">
      <c r="B13474" s="11"/>
    </row>
    <row r="13475" spans="2:2" x14ac:dyDescent="0.25">
      <c r="B13475" s="11"/>
    </row>
    <row r="13476" spans="2:2" x14ac:dyDescent="0.25">
      <c r="B13476" s="11"/>
    </row>
    <row r="13477" spans="2:2" x14ac:dyDescent="0.25">
      <c r="B13477" s="11"/>
    </row>
    <row r="13478" spans="2:2" x14ac:dyDescent="0.25">
      <c r="B13478" s="11"/>
    </row>
    <row r="13479" spans="2:2" x14ac:dyDescent="0.25">
      <c r="B13479" s="11"/>
    </row>
    <row r="13480" spans="2:2" x14ac:dyDescent="0.25">
      <c r="B13480" s="11"/>
    </row>
    <row r="13481" spans="2:2" x14ac:dyDescent="0.25">
      <c r="B13481" s="11"/>
    </row>
    <row r="13482" spans="2:2" x14ac:dyDescent="0.25">
      <c r="B13482" s="11"/>
    </row>
    <row r="13483" spans="2:2" x14ac:dyDescent="0.25">
      <c r="B13483" s="11"/>
    </row>
    <row r="13484" spans="2:2" x14ac:dyDescent="0.25">
      <c r="B13484" s="11"/>
    </row>
    <row r="13485" spans="2:2" x14ac:dyDescent="0.25">
      <c r="B13485" s="11"/>
    </row>
    <row r="13486" spans="2:2" x14ac:dyDescent="0.25">
      <c r="B13486" s="11"/>
    </row>
    <row r="13487" spans="2:2" x14ac:dyDescent="0.25">
      <c r="B13487" s="11"/>
    </row>
    <row r="13488" spans="2:2" x14ac:dyDescent="0.25">
      <c r="B13488" s="11"/>
    </row>
    <row r="13489" spans="2:2" x14ac:dyDescent="0.25">
      <c r="B13489" s="11"/>
    </row>
    <row r="13490" spans="2:2" x14ac:dyDescent="0.25">
      <c r="B13490" s="11"/>
    </row>
    <row r="13491" spans="2:2" x14ac:dyDescent="0.25">
      <c r="B13491" s="11"/>
    </row>
    <row r="13492" spans="2:2" x14ac:dyDescent="0.25">
      <c r="B13492" s="11"/>
    </row>
    <row r="13493" spans="2:2" x14ac:dyDescent="0.25">
      <c r="B13493" s="11"/>
    </row>
    <row r="13494" spans="2:2" x14ac:dyDescent="0.25">
      <c r="B13494" s="11"/>
    </row>
    <row r="13495" spans="2:2" x14ac:dyDescent="0.25">
      <c r="B13495" s="11"/>
    </row>
    <row r="13496" spans="2:2" x14ac:dyDescent="0.25">
      <c r="B13496" s="11"/>
    </row>
    <row r="13497" spans="2:2" x14ac:dyDescent="0.25">
      <c r="B13497" s="11"/>
    </row>
    <row r="13498" spans="2:2" x14ac:dyDescent="0.25">
      <c r="B13498" s="11"/>
    </row>
    <row r="13499" spans="2:2" x14ac:dyDescent="0.25">
      <c r="B13499" s="11"/>
    </row>
    <row r="13500" spans="2:2" x14ac:dyDescent="0.25">
      <c r="B13500" s="11"/>
    </row>
    <row r="13501" spans="2:2" x14ac:dyDescent="0.25">
      <c r="B13501" s="11"/>
    </row>
    <row r="13502" spans="2:2" x14ac:dyDescent="0.25">
      <c r="B13502" s="11"/>
    </row>
    <row r="13503" spans="2:2" x14ac:dyDescent="0.25">
      <c r="B13503" s="11"/>
    </row>
    <row r="13504" spans="2:2" x14ac:dyDescent="0.25">
      <c r="B13504" s="11"/>
    </row>
    <row r="13505" spans="2:2" x14ac:dyDescent="0.25">
      <c r="B13505" s="11"/>
    </row>
    <row r="13506" spans="2:2" x14ac:dyDescent="0.25">
      <c r="B13506" s="11"/>
    </row>
    <row r="13507" spans="2:2" x14ac:dyDescent="0.25">
      <c r="B13507" s="11"/>
    </row>
    <row r="13508" spans="2:2" x14ac:dyDescent="0.25">
      <c r="B13508" s="11"/>
    </row>
    <row r="13509" spans="2:2" x14ac:dyDescent="0.25">
      <c r="B13509" s="11"/>
    </row>
    <row r="13510" spans="2:2" x14ac:dyDescent="0.25">
      <c r="B13510" s="11"/>
    </row>
    <row r="13511" spans="2:2" x14ac:dyDescent="0.25">
      <c r="B13511" s="11"/>
    </row>
    <row r="13512" spans="2:2" x14ac:dyDescent="0.25">
      <c r="B13512" s="11"/>
    </row>
    <row r="13513" spans="2:2" x14ac:dyDescent="0.25">
      <c r="B13513" s="11"/>
    </row>
    <row r="13514" spans="2:2" x14ac:dyDescent="0.25">
      <c r="B13514" s="11"/>
    </row>
    <row r="13515" spans="2:2" x14ac:dyDescent="0.25">
      <c r="B13515" s="11"/>
    </row>
    <row r="13516" spans="2:2" x14ac:dyDescent="0.25">
      <c r="B13516" s="11"/>
    </row>
    <row r="13517" spans="2:2" x14ac:dyDescent="0.25">
      <c r="B13517" s="11"/>
    </row>
    <row r="13518" spans="2:2" x14ac:dyDescent="0.25">
      <c r="B13518" s="11"/>
    </row>
    <row r="13519" spans="2:2" x14ac:dyDescent="0.25">
      <c r="B13519" s="11"/>
    </row>
    <row r="13520" spans="2:2" x14ac:dyDescent="0.25">
      <c r="B13520" s="11"/>
    </row>
    <row r="13521" spans="2:2" x14ac:dyDescent="0.25">
      <c r="B13521" s="11"/>
    </row>
    <row r="13522" spans="2:2" x14ac:dyDescent="0.25">
      <c r="B13522" s="11"/>
    </row>
    <row r="13523" spans="2:2" x14ac:dyDescent="0.25">
      <c r="B13523" s="11"/>
    </row>
    <row r="13524" spans="2:2" x14ac:dyDescent="0.25">
      <c r="B13524" s="11"/>
    </row>
    <row r="13525" spans="2:2" x14ac:dyDescent="0.25">
      <c r="B13525" s="11"/>
    </row>
    <row r="13526" spans="2:2" x14ac:dyDescent="0.25">
      <c r="B13526" s="11"/>
    </row>
    <row r="13527" spans="2:2" x14ac:dyDescent="0.25">
      <c r="B13527" s="11"/>
    </row>
    <row r="13528" spans="2:2" x14ac:dyDescent="0.25">
      <c r="B13528" s="11"/>
    </row>
    <row r="13529" spans="2:2" x14ac:dyDescent="0.25">
      <c r="B13529" s="11"/>
    </row>
    <row r="13530" spans="2:2" x14ac:dyDescent="0.25">
      <c r="B13530" s="11"/>
    </row>
    <row r="13531" spans="2:2" x14ac:dyDescent="0.25">
      <c r="B13531" s="11"/>
    </row>
    <row r="13532" spans="2:2" x14ac:dyDescent="0.25">
      <c r="B13532" s="11"/>
    </row>
    <row r="13533" spans="2:2" x14ac:dyDescent="0.25">
      <c r="B13533" s="11"/>
    </row>
    <row r="13534" spans="2:2" x14ac:dyDescent="0.25">
      <c r="B13534" s="11"/>
    </row>
    <row r="13535" spans="2:2" x14ac:dyDescent="0.25">
      <c r="B13535" s="11"/>
    </row>
    <row r="13536" spans="2:2" x14ac:dyDescent="0.25">
      <c r="B13536" s="11"/>
    </row>
    <row r="13537" spans="2:2" x14ac:dyDescent="0.25">
      <c r="B13537" s="11"/>
    </row>
    <row r="13538" spans="2:2" x14ac:dyDescent="0.25">
      <c r="B13538" s="11"/>
    </row>
    <row r="13539" spans="2:2" x14ac:dyDescent="0.25">
      <c r="B13539" s="11"/>
    </row>
    <row r="13540" spans="2:2" x14ac:dyDescent="0.25">
      <c r="B13540" s="11"/>
    </row>
    <row r="13541" spans="2:2" x14ac:dyDescent="0.25">
      <c r="B13541" s="11"/>
    </row>
    <row r="13542" spans="2:2" x14ac:dyDescent="0.25">
      <c r="B13542" s="11"/>
    </row>
    <row r="13543" spans="2:2" x14ac:dyDescent="0.25">
      <c r="B13543" s="11"/>
    </row>
    <row r="13544" spans="2:2" x14ac:dyDescent="0.25">
      <c r="B13544" s="11"/>
    </row>
    <row r="13545" spans="2:2" x14ac:dyDescent="0.25">
      <c r="B13545" s="11"/>
    </row>
    <row r="13546" spans="2:2" x14ac:dyDescent="0.25">
      <c r="B13546" s="11"/>
    </row>
    <row r="13547" spans="2:2" x14ac:dyDescent="0.25">
      <c r="B13547" s="11"/>
    </row>
    <row r="13548" spans="2:2" x14ac:dyDescent="0.25">
      <c r="B13548" s="11"/>
    </row>
    <row r="13549" spans="2:2" x14ac:dyDescent="0.25">
      <c r="B13549" s="11"/>
    </row>
    <row r="13550" spans="2:2" x14ac:dyDescent="0.25">
      <c r="B13550" s="11"/>
    </row>
    <row r="13551" spans="2:2" x14ac:dyDescent="0.25">
      <c r="B13551" s="11"/>
    </row>
    <row r="13552" spans="2:2" x14ac:dyDescent="0.25">
      <c r="B13552" s="11"/>
    </row>
    <row r="13553" spans="2:2" x14ac:dyDescent="0.25">
      <c r="B13553" s="11"/>
    </row>
    <row r="13554" spans="2:2" x14ac:dyDescent="0.25">
      <c r="B13554" s="11"/>
    </row>
    <row r="13555" spans="2:2" x14ac:dyDescent="0.25">
      <c r="B13555" s="11"/>
    </row>
    <row r="13556" spans="2:2" x14ac:dyDescent="0.25">
      <c r="B13556" s="11"/>
    </row>
    <row r="13557" spans="2:2" x14ac:dyDescent="0.25">
      <c r="B13557" s="11"/>
    </row>
    <row r="13558" spans="2:2" x14ac:dyDescent="0.25">
      <c r="B13558" s="11"/>
    </row>
    <row r="13559" spans="2:2" x14ac:dyDescent="0.25">
      <c r="B13559" s="11"/>
    </row>
    <row r="13560" spans="2:2" x14ac:dyDescent="0.25">
      <c r="B13560" s="11"/>
    </row>
    <row r="13561" spans="2:2" x14ac:dyDescent="0.25">
      <c r="B13561" s="11"/>
    </row>
    <row r="13562" spans="2:2" x14ac:dyDescent="0.25">
      <c r="B13562" s="11"/>
    </row>
    <row r="13563" spans="2:2" x14ac:dyDescent="0.25">
      <c r="B13563" s="11"/>
    </row>
    <row r="13564" spans="2:2" x14ac:dyDescent="0.25">
      <c r="B13564" s="11"/>
    </row>
    <row r="13565" spans="2:2" x14ac:dyDescent="0.25">
      <c r="B13565" s="11"/>
    </row>
    <row r="13566" spans="2:2" x14ac:dyDescent="0.25">
      <c r="B13566" s="11"/>
    </row>
    <row r="13567" spans="2:2" x14ac:dyDescent="0.25">
      <c r="B13567" s="11"/>
    </row>
    <row r="13568" spans="2:2" x14ac:dyDescent="0.25">
      <c r="B13568" s="11"/>
    </row>
    <row r="13569" spans="2:2" x14ac:dyDescent="0.25">
      <c r="B13569" s="11"/>
    </row>
    <row r="13570" spans="2:2" x14ac:dyDescent="0.25">
      <c r="B13570" s="11"/>
    </row>
    <row r="13571" spans="2:2" x14ac:dyDescent="0.25">
      <c r="B13571" s="11"/>
    </row>
    <row r="13572" spans="2:2" x14ac:dyDescent="0.25">
      <c r="B13572" s="11"/>
    </row>
    <row r="13573" spans="2:2" x14ac:dyDescent="0.25">
      <c r="B13573" s="11"/>
    </row>
    <row r="13574" spans="2:2" x14ac:dyDescent="0.25">
      <c r="B13574" s="11"/>
    </row>
    <row r="13575" spans="2:2" x14ac:dyDescent="0.25">
      <c r="B13575" s="11"/>
    </row>
    <row r="13576" spans="2:2" x14ac:dyDescent="0.25">
      <c r="B13576" s="11"/>
    </row>
    <row r="13577" spans="2:2" x14ac:dyDescent="0.25">
      <c r="B13577" s="11"/>
    </row>
    <row r="13578" spans="2:2" x14ac:dyDescent="0.25">
      <c r="B13578" s="11"/>
    </row>
    <row r="13579" spans="2:2" x14ac:dyDescent="0.25">
      <c r="B13579" s="11"/>
    </row>
    <row r="13580" spans="2:2" x14ac:dyDescent="0.25">
      <c r="B13580" s="11"/>
    </row>
    <row r="13581" spans="2:2" x14ac:dyDescent="0.25">
      <c r="B13581" s="11"/>
    </row>
    <row r="13582" spans="2:2" x14ac:dyDescent="0.25">
      <c r="B13582" s="11"/>
    </row>
    <row r="13583" spans="2:2" x14ac:dyDescent="0.25">
      <c r="B13583" s="11"/>
    </row>
    <row r="13584" spans="2:2" x14ac:dyDescent="0.25">
      <c r="B13584" s="11"/>
    </row>
    <row r="13585" spans="2:2" x14ac:dyDescent="0.25">
      <c r="B13585" s="11"/>
    </row>
    <row r="13586" spans="2:2" x14ac:dyDescent="0.25">
      <c r="B13586" s="11"/>
    </row>
    <row r="13587" spans="2:2" x14ac:dyDescent="0.25">
      <c r="B13587" s="11"/>
    </row>
    <row r="13588" spans="2:2" x14ac:dyDescent="0.25">
      <c r="B13588" s="11"/>
    </row>
    <row r="13589" spans="2:2" x14ac:dyDescent="0.25">
      <c r="B13589" s="11"/>
    </row>
    <row r="13590" spans="2:2" x14ac:dyDescent="0.25">
      <c r="B13590" s="11"/>
    </row>
    <row r="13591" spans="2:2" x14ac:dyDescent="0.25">
      <c r="B13591" s="11"/>
    </row>
    <row r="13592" spans="2:2" x14ac:dyDescent="0.25">
      <c r="B13592" s="11"/>
    </row>
    <row r="13593" spans="2:2" x14ac:dyDescent="0.25">
      <c r="B13593" s="11"/>
    </row>
    <row r="13594" spans="2:2" x14ac:dyDescent="0.25">
      <c r="B13594" s="11"/>
    </row>
    <row r="13595" spans="2:2" x14ac:dyDescent="0.25">
      <c r="B13595" s="11"/>
    </row>
    <row r="13596" spans="2:2" x14ac:dyDescent="0.25">
      <c r="B13596" s="11"/>
    </row>
    <row r="13597" spans="2:2" x14ac:dyDescent="0.25">
      <c r="B13597" s="11"/>
    </row>
    <row r="13598" spans="2:2" x14ac:dyDescent="0.25">
      <c r="B13598" s="11"/>
    </row>
    <row r="13599" spans="2:2" x14ac:dyDescent="0.25">
      <c r="B13599" s="11"/>
    </row>
    <row r="13600" spans="2:2" x14ac:dyDescent="0.25">
      <c r="B13600" s="11"/>
    </row>
    <row r="13601" spans="2:2" x14ac:dyDescent="0.25">
      <c r="B13601" s="11"/>
    </row>
    <row r="13602" spans="2:2" x14ac:dyDescent="0.25">
      <c r="B13602" s="11"/>
    </row>
    <row r="13603" spans="2:2" x14ac:dyDescent="0.25">
      <c r="B13603" s="11"/>
    </row>
    <row r="13604" spans="2:2" x14ac:dyDescent="0.25">
      <c r="B13604" s="11"/>
    </row>
    <row r="13605" spans="2:2" x14ac:dyDescent="0.25">
      <c r="B13605" s="11"/>
    </row>
    <row r="13606" spans="2:2" x14ac:dyDescent="0.25">
      <c r="B13606" s="11"/>
    </row>
    <row r="13607" spans="2:2" x14ac:dyDescent="0.25">
      <c r="B13607" s="11"/>
    </row>
    <row r="13608" spans="2:2" x14ac:dyDescent="0.25">
      <c r="B13608" s="11"/>
    </row>
    <row r="13609" spans="2:2" x14ac:dyDescent="0.25">
      <c r="B13609" s="11"/>
    </row>
    <row r="13610" spans="2:2" x14ac:dyDescent="0.25">
      <c r="B13610" s="11"/>
    </row>
    <row r="13611" spans="2:2" x14ac:dyDescent="0.25">
      <c r="B13611" s="11"/>
    </row>
    <row r="13612" spans="2:2" x14ac:dyDescent="0.25">
      <c r="B13612" s="11"/>
    </row>
    <row r="13613" spans="2:2" x14ac:dyDescent="0.25">
      <c r="B13613" s="11"/>
    </row>
    <row r="13614" spans="2:2" x14ac:dyDescent="0.25">
      <c r="B13614" s="11"/>
    </row>
    <row r="13615" spans="2:2" x14ac:dyDescent="0.25">
      <c r="B13615" s="11"/>
    </row>
    <row r="13616" spans="2:2" x14ac:dyDescent="0.25">
      <c r="B13616" s="11"/>
    </row>
    <row r="13617" spans="2:2" x14ac:dyDescent="0.25">
      <c r="B13617" s="11"/>
    </row>
    <row r="13618" spans="2:2" x14ac:dyDescent="0.25">
      <c r="B13618" s="11"/>
    </row>
    <row r="13619" spans="2:2" x14ac:dyDescent="0.25">
      <c r="B13619" s="11"/>
    </row>
    <row r="13620" spans="2:2" x14ac:dyDescent="0.25">
      <c r="B13620" s="11"/>
    </row>
    <row r="13621" spans="2:2" x14ac:dyDescent="0.25">
      <c r="B13621" s="11"/>
    </row>
    <row r="13622" spans="2:2" x14ac:dyDescent="0.25">
      <c r="B13622" s="11"/>
    </row>
    <row r="13623" spans="2:2" x14ac:dyDescent="0.25">
      <c r="B13623" s="11"/>
    </row>
    <row r="13624" spans="2:2" x14ac:dyDescent="0.25">
      <c r="B13624" s="11"/>
    </row>
    <row r="13625" spans="2:2" x14ac:dyDescent="0.25">
      <c r="B13625" s="11"/>
    </row>
    <row r="13626" spans="2:2" x14ac:dyDescent="0.25">
      <c r="B13626" s="11"/>
    </row>
    <row r="13627" spans="2:2" x14ac:dyDescent="0.25">
      <c r="B13627" s="11"/>
    </row>
    <row r="13628" spans="2:2" x14ac:dyDescent="0.25">
      <c r="B13628" s="11"/>
    </row>
    <row r="13629" spans="2:2" x14ac:dyDescent="0.25">
      <c r="B13629" s="11"/>
    </row>
    <row r="13630" spans="2:2" x14ac:dyDescent="0.25">
      <c r="B13630" s="11"/>
    </row>
    <row r="13631" spans="2:2" x14ac:dyDescent="0.25">
      <c r="B13631" s="11"/>
    </row>
    <row r="13632" spans="2:2" x14ac:dyDescent="0.25">
      <c r="B13632" s="11"/>
    </row>
    <row r="13633" spans="2:2" x14ac:dyDescent="0.25">
      <c r="B13633" s="11"/>
    </row>
    <row r="13634" spans="2:2" x14ac:dyDescent="0.25">
      <c r="B13634" s="11"/>
    </row>
    <row r="13635" spans="2:2" x14ac:dyDescent="0.25">
      <c r="B13635" s="11"/>
    </row>
    <row r="13636" spans="2:2" x14ac:dyDescent="0.25">
      <c r="B13636" s="11"/>
    </row>
    <row r="13637" spans="2:2" x14ac:dyDescent="0.25">
      <c r="B13637" s="11"/>
    </row>
    <row r="13638" spans="2:2" x14ac:dyDescent="0.25">
      <c r="B13638" s="11"/>
    </row>
    <row r="13639" spans="2:2" x14ac:dyDescent="0.25">
      <c r="B13639" s="11"/>
    </row>
    <row r="13640" spans="2:2" x14ac:dyDescent="0.25">
      <c r="B13640" s="11"/>
    </row>
    <row r="13641" spans="2:2" x14ac:dyDescent="0.25">
      <c r="B13641" s="11"/>
    </row>
    <row r="13642" spans="2:2" x14ac:dyDescent="0.25">
      <c r="B13642" s="11"/>
    </row>
    <row r="13643" spans="2:2" x14ac:dyDescent="0.25">
      <c r="B13643" s="11"/>
    </row>
    <row r="13644" spans="2:2" x14ac:dyDescent="0.25">
      <c r="B13644" s="11"/>
    </row>
    <row r="13645" spans="2:2" x14ac:dyDescent="0.25">
      <c r="B13645" s="11"/>
    </row>
    <row r="13646" spans="2:2" x14ac:dyDescent="0.25">
      <c r="B13646" s="11"/>
    </row>
    <row r="13647" spans="2:2" x14ac:dyDescent="0.25">
      <c r="B13647" s="11"/>
    </row>
    <row r="13648" spans="2:2" x14ac:dyDescent="0.25">
      <c r="B13648" s="11"/>
    </row>
    <row r="13649" spans="2:2" x14ac:dyDescent="0.25">
      <c r="B13649" s="11"/>
    </row>
    <row r="13650" spans="2:2" x14ac:dyDescent="0.25">
      <c r="B13650" s="11"/>
    </row>
    <row r="13651" spans="2:2" x14ac:dyDescent="0.25">
      <c r="B13651" s="11"/>
    </row>
    <row r="13652" spans="2:2" x14ac:dyDescent="0.25">
      <c r="B13652" s="11"/>
    </row>
    <row r="13653" spans="2:2" x14ac:dyDescent="0.25">
      <c r="B13653" s="11"/>
    </row>
    <row r="13654" spans="2:2" x14ac:dyDescent="0.25">
      <c r="B13654" s="11"/>
    </row>
    <row r="13655" spans="2:2" x14ac:dyDescent="0.25">
      <c r="B13655" s="11"/>
    </row>
    <row r="13656" spans="2:2" x14ac:dyDescent="0.25">
      <c r="B13656" s="11"/>
    </row>
    <row r="13657" spans="2:2" x14ac:dyDescent="0.25">
      <c r="B13657" s="11"/>
    </row>
    <row r="13658" spans="2:2" x14ac:dyDescent="0.25">
      <c r="B13658" s="11"/>
    </row>
    <row r="13659" spans="2:2" x14ac:dyDescent="0.25">
      <c r="B13659" s="11"/>
    </row>
    <row r="13660" spans="2:2" x14ac:dyDescent="0.25">
      <c r="B13660" s="11"/>
    </row>
    <row r="13661" spans="2:2" x14ac:dyDescent="0.25">
      <c r="B13661" s="11"/>
    </row>
    <row r="13662" spans="2:2" x14ac:dyDescent="0.25">
      <c r="B13662" s="11"/>
    </row>
    <row r="13663" spans="2:2" x14ac:dyDescent="0.25">
      <c r="B13663" s="11"/>
    </row>
    <row r="13664" spans="2:2" x14ac:dyDescent="0.25">
      <c r="B13664" s="11"/>
    </row>
    <row r="13665" spans="2:2" x14ac:dyDescent="0.25">
      <c r="B13665" s="11"/>
    </row>
    <row r="13666" spans="2:2" x14ac:dyDescent="0.25">
      <c r="B13666" s="11"/>
    </row>
    <row r="13667" spans="2:2" x14ac:dyDescent="0.25">
      <c r="B13667" s="11"/>
    </row>
    <row r="13668" spans="2:2" x14ac:dyDescent="0.25">
      <c r="B13668" s="11"/>
    </row>
    <row r="13669" spans="2:2" x14ac:dyDescent="0.25">
      <c r="B13669" s="11"/>
    </row>
    <row r="13670" spans="2:2" x14ac:dyDescent="0.25">
      <c r="B13670" s="11"/>
    </row>
    <row r="13671" spans="2:2" x14ac:dyDescent="0.25">
      <c r="B13671" s="11"/>
    </row>
    <row r="13672" spans="2:2" x14ac:dyDescent="0.25">
      <c r="B13672" s="11"/>
    </row>
    <row r="13673" spans="2:2" x14ac:dyDescent="0.25">
      <c r="B13673" s="11"/>
    </row>
    <row r="13674" spans="2:2" x14ac:dyDescent="0.25">
      <c r="B13674" s="11"/>
    </row>
    <row r="13675" spans="2:2" x14ac:dyDescent="0.25">
      <c r="B13675" s="11"/>
    </row>
    <row r="13676" spans="2:2" x14ac:dyDescent="0.25">
      <c r="B13676" s="11"/>
    </row>
    <row r="13677" spans="2:2" x14ac:dyDescent="0.25">
      <c r="B13677" s="11"/>
    </row>
    <row r="13678" spans="2:2" x14ac:dyDescent="0.25">
      <c r="B13678" s="11"/>
    </row>
    <row r="13679" spans="2:2" x14ac:dyDescent="0.25">
      <c r="B13679" s="11"/>
    </row>
    <row r="13680" spans="2:2" x14ac:dyDescent="0.25">
      <c r="B13680" s="11"/>
    </row>
    <row r="13681" spans="2:2" x14ac:dyDescent="0.25">
      <c r="B13681" s="11"/>
    </row>
    <row r="13682" spans="2:2" x14ac:dyDescent="0.25">
      <c r="B13682" s="11"/>
    </row>
    <row r="13683" spans="2:2" x14ac:dyDescent="0.25">
      <c r="B13683" s="11"/>
    </row>
    <row r="13684" spans="2:2" x14ac:dyDescent="0.25">
      <c r="B13684" s="11"/>
    </row>
    <row r="13685" spans="2:2" x14ac:dyDescent="0.25">
      <c r="B13685" s="11"/>
    </row>
    <row r="13686" spans="2:2" x14ac:dyDescent="0.25">
      <c r="B13686" s="11"/>
    </row>
    <row r="13687" spans="2:2" x14ac:dyDescent="0.25">
      <c r="B13687" s="11"/>
    </row>
    <row r="13688" spans="2:2" x14ac:dyDescent="0.25">
      <c r="B13688" s="11"/>
    </row>
    <row r="13689" spans="2:2" x14ac:dyDescent="0.25">
      <c r="B13689" s="11"/>
    </row>
    <row r="13690" spans="2:2" x14ac:dyDescent="0.25">
      <c r="B13690" s="11"/>
    </row>
    <row r="13691" spans="2:2" x14ac:dyDescent="0.25">
      <c r="B13691" s="11"/>
    </row>
    <row r="13692" spans="2:2" x14ac:dyDescent="0.25">
      <c r="B13692" s="11"/>
    </row>
    <row r="13693" spans="2:2" x14ac:dyDescent="0.25">
      <c r="B13693" s="11"/>
    </row>
    <row r="13694" spans="2:2" x14ac:dyDescent="0.25">
      <c r="B13694" s="11"/>
    </row>
    <row r="13695" spans="2:2" x14ac:dyDescent="0.25">
      <c r="B13695" s="11"/>
    </row>
    <row r="13696" spans="2:2" x14ac:dyDescent="0.25">
      <c r="B13696" s="11"/>
    </row>
    <row r="13697" spans="2:2" x14ac:dyDescent="0.25">
      <c r="B13697" s="11"/>
    </row>
    <row r="13698" spans="2:2" x14ac:dyDescent="0.25">
      <c r="B13698" s="11"/>
    </row>
    <row r="13699" spans="2:2" x14ac:dyDescent="0.25">
      <c r="B13699" s="11"/>
    </row>
    <row r="13700" spans="2:2" x14ac:dyDescent="0.25">
      <c r="B13700" s="11"/>
    </row>
    <row r="13701" spans="2:2" x14ac:dyDescent="0.25">
      <c r="B13701" s="11"/>
    </row>
    <row r="13702" spans="2:2" x14ac:dyDescent="0.25">
      <c r="B13702" s="11"/>
    </row>
    <row r="13703" spans="2:2" x14ac:dyDescent="0.25">
      <c r="B13703" s="11"/>
    </row>
    <row r="13704" spans="2:2" x14ac:dyDescent="0.25">
      <c r="B13704" s="11"/>
    </row>
    <row r="13705" spans="2:2" x14ac:dyDescent="0.25">
      <c r="B13705" s="11"/>
    </row>
    <row r="13706" spans="2:2" x14ac:dyDescent="0.25">
      <c r="B13706" s="11"/>
    </row>
    <row r="13707" spans="2:2" x14ac:dyDescent="0.25">
      <c r="B13707" s="11"/>
    </row>
    <row r="13708" spans="2:2" x14ac:dyDescent="0.25">
      <c r="B13708" s="11"/>
    </row>
    <row r="13709" spans="2:2" x14ac:dyDescent="0.25">
      <c r="B13709" s="11"/>
    </row>
    <row r="13710" spans="2:2" x14ac:dyDescent="0.25">
      <c r="B13710" s="11"/>
    </row>
    <row r="13711" spans="2:2" x14ac:dyDescent="0.25">
      <c r="B13711" s="11"/>
    </row>
    <row r="13712" spans="2:2" x14ac:dyDescent="0.25">
      <c r="B13712" s="11"/>
    </row>
    <row r="13713" spans="2:2" x14ac:dyDescent="0.25">
      <c r="B13713" s="11"/>
    </row>
    <row r="13714" spans="2:2" x14ac:dyDescent="0.25">
      <c r="B13714" s="11"/>
    </row>
    <row r="13715" spans="2:2" x14ac:dyDescent="0.25">
      <c r="B13715" s="11"/>
    </row>
    <row r="13716" spans="2:2" x14ac:dyDescent="0.25">
      <c r="B13716" s="11"/>
    </row>
    <row r="13717" spans="2:2" x14ac:dyDescent="0.25">
      <c r="B13717" s="11"/>
    </row>
    <row r="13718" spans="2:2" x14ac:dyDescent="0.25">
      <c r="B13718" s="11"/>
    </row>
    <row r="13719" spans="2:2" x14ac:dyDescent="0.25">
      <c r="B13719" s="11"/>
    </row>
    <row r="13720" spans="2:2" x14ac:dyDescent="0.25">
      <c r="B13720" s="11"/>
    </row>
    <row r="13721" spans="2:2" x14ac:dyDescent="0.25">
      <c r="B13721" s="11"/>
    </row>
    <row r="13722" spans="2:2" x14ac:dyDescent="0.25">
      <c r="B13722" s="11"/>
    </row>
    <row r="13723" spans="2:2" x14ac:dyDescent="0.25">
      <c r="B13723" s="11"/>
    </row>
    <row r="13724" spans="2:2" x14ac:dyDescent="0.25">
      <c r="B13724" s="11"/>
    </row>
    <row r="13725" spans="2:2" x14ac:dyDescent="0.25">
      <c r="B13725" s="11"/>
    </row>
    <row r="13726" spans="2:2" x14ac:dyDescent="0.25">
      <c r="B13726" s="11"/>
    </row>
    <row r="13727" spans="2:2" x14ac:dyDescent="0.25">
      <c r="B13727" s="11"/>
    </row>
    <row r="13728" spans="2:2" x14ac:dyDescent="0.25">
      <c r="B13728" s="11"/>
    </row>
    <row r="13729" spans="2:2" x14ac:dyDescent="0.25">
      <c r="B13729" s="11"/>
    </row>
    <row r="13730" spans="2:2" x14ac:dyDescent="0.25">
      <c r="B13730" s="11"/>
    </row>
    <row r="13731" spans="2:2" x14ac:dyDescent="0.25">
      <c r="B13731" s="11"/>
    </row>
    <row r="13732" spans="2:2" x14ac:dyDescent="0.25">
      <c r="B13732" s="11"/>
    </row>
    <row r="13733" spans="2:2" x14ac:dyDescent="0.25">
      <c r="B13733" s="11"/>
    </row>
    <row r="13734" spans="2:2" x14ac:dyDescent="0.25">
      <c r="B13734" s="11"/>
    </row>
    <row r="13735" spans="2:2" x14ac:dyDescent="0.25">
      <c r="B13735" s="11"/>
    </row>
    <row r="13736" spans="2:2" x14ac:dyDescent="0.25">
      <c r="B13736" s="11"/>
    </row>
    <row r="13737" spans="2:2" x14ac:dyDescent="0.25">
      <c r="B13737" s="11"/>
    </row>
    <row r="13738" spans="2:2" x14ac:dyDescent="0.25">
      <c r="B13738" s="11"/>
    </row>
    <row r="13739" spans="2:2" x14ac:dyDescent="0.25">
      <c r="B13739" s="11"/>
    </row>
    <row r="13740" spans="2:2" x14ac:dyDescent="0.25">
      <c r="B13740" s="11"/>
    </row>
    <row r="13741" spans="2:2" x14ac:dyDescent="0.25">
      <c r="B13741" s="11"/>
    </row>
    <row r="13742" spans="2:2" x14ac:dyDescent="0.25">
      <c r="B13742" s="11"/>
    </row>
    <row r="13743" spans="2:2" x14ac:dyDescent="0.25">
      <c r="B13743" s="11"/>
    </row>
    <row r="13744" spans="2:2" x14ac:dyDescent="0.25">
      <c r="B13744" s="11"/>
    </row>
    <row r="13745" spans="2:2" x14ac:dyDescent="0.25">
      <c r="B13745" s="11"/>
    </row>
    <row r="13746" spans="2:2" x14ac:dyDescent="0.25">
      <c r="B13746" s="11"/>
    </row>
    <row r="13747" spans="2:2" x14ac:dyDescent="0.25">
      <c r="B13747" s="11"/>
    </row>
    <row r="13748" spans="2:2" x14ac:dyDescent="0.25">
      <c r="B13748" s="11"/>
    </row>
    <row r="13749" spans="2:2" x14ac:dyDescent="0.25">
      <c r="B13749" s="11"/>
    </row>
    <row r="13750" spans="2:2" x14ac:dyDescent="0.25">
      <c r="B13750" s="11"/>
    </row>
    <row r="13751" spans="2:2" x14ac:dyDescent="0.25">
      <c r="B13751" s="11"/>
    </row>
    <row r="13752" spans="2:2" x14ac:dyDescent="0.25">
      <c r="B13752" s="11"/>
    </row>
    <row r="13753" spans="2:2" x14ac:dyDescent="0.25">
      <c r="B13753" s="11"/>
    </row>
    <row r="13754" spans="2:2" x14ac:dyDescent="0.25">
      <c r="B13754" s="11"/>
    </row>
    <row r="13755" spans="2:2" x14ac:dyDescent="0.25">
      <c r="B13755" s="11"/>
    </row>
    <row r="13756" spans="2:2" x14ac:dyDescent="0.25">
      <c r="B13756" s="11"/>
    </row>
    <row r="13757" spans="2:2" x14ac:dyDescent="0.25">
      <c r="B13757" s="11"/>
    </row>
    <row r="13758" spans="2:2" x14ac:dyDescent="0.25">
      <c r="B13758" s="11"/>
    </row>
    <row r="13759" spans="2:2" x14ac:dyDescent="0.25">
      <c r="B13759" s="11"/>
    </row>
    <row r="13760" spans="2:2" x14ac:dyDescent="0.25">
      <c r="B13760" s="11"/>
    </row>
    <row r="13761" spans="2:2" x14ac:dyDescent="0.25">
      <c r="B13761" s="11"/>
    </row>
    <row r="13762" spans="2:2" x14ac:dyDescent="0.25">
      <c r="B13762" s="11"/>
    </row>
    <row r="13763" spans="2:2" x14ac:dyDescent="0.25">
      <c r="B13763" s="11"/>
    </row>
    <row r="13764" spans="2:2" x14ac:dyDescent="0.25">
      <c r="B13764" s="11"/>
    </row>
    <row r="13765" spans="2:2" x14ac:dyDescent="0.25">
      <c r="B13765" s="11"/>
    </row>
    <row r="13766" spans="2:2" x14ac:dyDescent="0.25">
      <c r="B13766" s="11"/>
    </row>
    <row r="13767" spans="2:2" x14ac:dyDescent="0.25">
      <c r="B13767" s="11"/>
    </row>
    <row r="13768" spans="2:2" x14ac:dyDescent="0.25">
      <c r="B13768" s="11"/>
    </row>
    <row r="13769" spans="2:2" x14ac:dyDescent="0.25">
      <c r="B13769" s="11"/>
    </row>
    <row r="13770" spans="2:2" x14ac:dyDescent="0.25">
      <c r="B13770" s="11"/>
    </row>
    <row r="13771" spans="2:2" x14ac:dyDescent="0.25">
      <c r="B13771" s="11"/>
    </row>
    <row r="13772" spans="2:2" x14ac:dyDescent="0.25">
      <c r="B13772" s="11"/>
    </row>
    <row r="13773" spans="2:2" x14ac:dyDescent="0.25">
      <c r="B13773" s="11"/>
    </row>
    <row r="13774" spans="2:2" x14ac:dyDescent="0.25">
      <c r="B13774" s="11"/>
    </row>
    <row r="13775" spans="2:2" x14ac:dyDescent="0.25">
      <c r="B13775" s="11"/>
    </row>
    <row r="13776" spans="2:2" x14ac:dyDescent="0.25">
      <c r="B13776" s="11"/>
    </row>
    <row r="13777" spans="2:2" x14ac:dyDescent="0.25">
      <c r="B13777" s="11"/>
    </row>
    <row r="13778" spans="2:2" x14ac:dyDescent="0.25">
      <c r="B13778" s="11"/>
    </row>
    <row r="13779" spans="2:2" x14ac:dyDescent="0.25">
      <c r="B13779" s="11"/>
    </row>
    <row r="13780" spans="2:2" x14ac:dyDescent="0.25">
      <c r="B13780" s="11"/>
    </row>
    <row r="13781" spans="2:2" x14ac:dyDescent="0.25">
      <c r="B13781" s="11"/>
    </row>
    <row r="13782" spans="2:2" x14ac:dyDescent="0.25">
      <c r="B13782" s="11"/>
    </row>
    <row r="13783" spans="2:2" x14ac:dyDescent="0.25">
      <c r="B13783" s="11"/>
    </row>
    <row r="13784" spans="2:2" x14ac:dyDescent="0.25">
      <c r="B13784" s="11"/>
    </row>
    <row r="13785" spans="2:2" x14ac:dyDescent="0.25">
      <c r="B13785" s="11"/>
    </row>
    <row r="13786" spans="2:2" x14ac:dyDescent="0.25">
      <c r="B13786" s="11"/>
    </row>
    <row r="13787" spans="2:2" x14ac:dyDescent="0.25">
      <c r="B13787" s="11"/>
    </row>
    <row r="13788" spans="2:2" x14ac:dyDescent="0.25">
      <c r="B13788" s="11"/>
    </row>
    <row r="13789" spans="2:2" x14ac:dyDescent="0.25">
      <c r="B13789" s="11"/>
    </row>
    <row r="13790" spans="2:2" x14ac:dyDescent="0.25">
      <c r="B13790" s="11"/>
    </row>
    <row r="13791" spans="2:2" x14ac:dyDescent="0.25">
      <c r="B13791" s="11"/>
    </row>
    <row r="13792" spans="2:2" x14ac:dyDescent="0.25">
      <c r="B13792" s="11"/>
    </row>
    <row r="13793" spans="2:2" x14ac:dyDescent="0.25">
      <c r="B13793" s="11"/>
    </row>
    <row r="13794" spans="2:2" x14ac:dyDescent="0.25">
      <c r="B13794" s="11"/>
    </row>
    <row r="13795" spans="2:2" x14ac:dyDescent="0.25">
      <c r="B13795" s="11"/>
    </row>
    <row r="13796" spans="2:2" x14ac:dyDescent="0.25">
      <c r="B13796" s="11"/>
    </row>
    <row r="13797" spans="2:2" x14ac:dyDescent="0.25">
      <c r="B13797" s="11"/>
    </row>
    <row r="13798" spans="2:2" x14ac:dyDescent="0.25">
      <c r="B13798" s="11"/>
    </row>
    <row r="13799" spans="2:2" x14ac:dyDescent="0.25">
      <c r="B13799" s="11"/>
    </row>
    <row r="13800" spans="2:2" x14ac:dyDescent="0.25">
      <c r="B13800" s="11"/>
    </row>
    <row r="13801" spans="2:2" x14ac:dyDescent="0.25">
      <c r="B13801" s="11"/>
    </row>
    <row r="13802" spans="2:2" x14ac:dyDescent="0.25">
      <c r="B13802" s="11"/>
    </row>
    <row r="13803" spans="2:2" x14ac:dyDescent="0.25">
      <c r="B13803" s="11"/>
    </row>
    <row r="13804" spans="2:2" x14ac:dyDescent="0.25">
      <c r="B13804" s="11"/>
    </row>
    <row r="13805" spans="2:2" x14ac:dyDescent="0.25">
      <c r="B13805" s="11"/>
    </row>
    <row r="13806" spans="2:2" x14ac:dyDescent="0.25">
      <c r="B13806" s="11"/>
    </row>
    <row r="13807" spans="2:2" x14ac:dyDescent="0.25">
      <c r="B13807" s="11"/>
    </row>
    <row r="13808" spans="2:2" x14ac:dyDescent="0.25">
      <c r="B13808" s="11"/>
    </row>
    <row r="13809" spans="2:2" x14ac:dyDescent="0.25">
      <c r="B13809" s="11"/>
    </row>
    <row r="13810" spans="2:2" x14ac:dyDescent="0.25">
      <c r="B13810" s="11"/>
    </row>
    <row r="13811" spans="2:2" x14ac:dyDescent="0.25">
      <c r="B13811" s="11"/>
    </row>
    <row r="13812" spans="2:2" x14ac:dyDescent="0.25">
      <c r="B13812" s="11"/>
    </row>
    <row r="13813" spans="2:2" x14ac:dyDescent="0.25">
      <c r="B13813" s="11"/>
    </row>
    <row r="13814" spans="2:2" x14ac:dyDescent="0.25">
      <c r="B13814" s="11"/>
    </row>
    <row r="13815" spans="2:2" x14ac:dyDescent="0.25">
      <c r="B13815" s="11"/>
    </row>
    <row r="13816" spans="2:2" x14ac:dyDescent="0.25">
      <c r="B13816" s="11"/>
    </row>
    <row r="13817" spans="2:2" x14ac:dyDescent="0.25">
      <c r="B13817" s="11"/>
    </row>
    <row r="13818" spans="2:2" x14ac:dyDescent="0.25">
      <c r="B13818" s="11"/>
    </row>
    <row r="13819" spans="2:2" x14ac:dyDescent="0.25">
      <c r="B13819" s="11"/>
    </row>
    <row r="13820" spans="2:2" x14ac:dyDescent="0.25">
      <c r="B13820" s="11"/>
    </row>
    <row r="13821" spans="2:2" x14ac:dyDescent="0.25">
      <c r="B13821" s="11"/>
    </row>
    <row r="13822" spans="2:2" x14ac:dyDescent="0.25">
      <c r="B13822" s="11"/>
    </row>
    <row r="13823" spans="2:2" x14ac:dyDescent="0.25">
      <c r="B13823" s="11"/>
    </row>
    <row r="13824" spans="2:2" x14ac:dyDescent="0.25">
      <c r="B13824" s="11"/>
    </row>
    <row r="13825" spans="2:2" x14ac:dyDescent="0.25">
      <c r="B13825" s="11"/>
    </row>
    <row r="13826" spans="2:2" x14ac:dyDescent="0.25">
      <c r="B13826" s="11"/>
    </row>
    <row r="13827" spans="2:2" x14ac:dyDescent="0.25">
      <c r="B13827" s="11"/>
    </row>
    <row r="13828" spans="2:2" x14ac:dyDescent="0.25">
      <c r="B13828" s="11"/>
    </row>
    <row r="13829" spans="2:2" x14ac:dyDescent="0.25">
      <c r="B13829" s="11"/>
    </row>
    <row r="13830" spans="2:2" x14ac:dyDescent="0.25">
      <c r="B13830" s="11"/>
    </row>
    <row r="13831" spans="2:2" x14ac:dyDescent="0.25">
      <c r="B13831" s="11"/>
    </row>
    <row r="13832" spans="2:2" x14ac:dyDescent="0.25">
      <c r="B13832" s="11"/>
    </row>
    <row r="13833" spans="2:2" x14ac:dyDescent="0.25">
      <c r="B13833" s="11"/>
    </row>
    <row r="13834" spans="2:2" x14ac:dyDescent="0.25">
      <c r="B13834" s="11"/>
    </row>
    <row r="13835" spans="2:2" x14ac:dyDescent="0.25">
      <c r="B13835" s="11"/>
    </row>
    <row r="13836" spans="2:2" x14ac:dyDescent="0.25">
      <c r="B13836" s="11"/>
    </row>
    <row r="13837" spans="2:2" x14ac:dyDescent="0.25">
      <c r="B13837" s="11"/>
    </row>
    <row r="13838" spans="2:2" x14ac:dyDescent="0.25">
      <c r="B13838" s="11"/>
    </row>
    <row r="13839" spans="2:2" x14ac:dyDescent="0.25">
      <c r="B13839" s="11"/>
    </row>
    <row r="13840" spans="2:2" x14ac:dyDescent="0.25">
      <c r="B13840" s="11"/>
    </row>
    <row r="13841" spans="2:2" x14ac:dyDescent="0.25">
      <c r="B13841" s="11"/>
    </row>
    <row r="13842" spans="2:2" x14ac:dyDescent="0.25">
      <c r="B13842" s="11"/>
    </row>
    <row r="13843" spans="2:2" x14ac:dyDescent="0.25">
      <c r="B13843" s="11"/>
    </row>
    <row r="13844" spans="2:2" x14ac:dyDescent="0.25">
      <c r="B13844" s="11"/>
    </row>
    <row r="13845" spans="2:2" x14ac:dyDescent="0.25">
      <c r="B13845" s="11"/>
    </row>
    <row r="13846" spans="2:2" x14ac:dyDescent="0.25">
      <c r="B13846" s="11"/>
    </row>
    <row r="13847" spans="2:2" x14ac:dyDescent="0.25">
      <c r="B13847" s="11"/>
    </row>
    <row r="13848" spans="2:2" x14ac:dyDescent="0.25">
      <c r="B13848" s="11"/>
    </row>
    <row r="13849" spans="2:2" x14ac:dyDescent="0.25">
      <c r="B13849" s="11"/>
    </row>
    <row r="13850" spans="2:2" x14ac:dyDescent="0.25">
      <c r="B13850" s="11"/>
    </row>
    <row r="13851" spans="2:2" x14ac:dyDescent="0.25">
      <c r="B13851" s="11"/>
    </row>
    <row r="13852" spans="2:2" x14ac:dyDescent="0.25">
      <c r="B13852" s="11"/>
    </row>
    <row r="13853" spans="2:2" x14ac:dyDescent="0.25">
      <c r="B13853" s="11"/>
    </row>
    <row r="13854" spans="2:2" x14ac:dyDescent="0.25">
      <c r="B13854" s="11"/>
    </row>
    <row r="13855" spans="2:2" x14ac:dyDescent="0.25">
      <c r="B13855" s="11"/>
    </row>
    <row r="13856" spans="2:2" x14ac:dyDescent="0.25">
      <c r="B13856" s="11"/>
    </row>
    <row r="13857" spans="2:2" x14ac:dyDescent="0.25">
      <c r="B13857" s="11"/>
    </row>
    <row r="13858" spans="2:2" x14ac:dyDescent="0.25">
      <c r="B13858" s="11"/>
    </row>
    <row r="13859" spans="2:2" x14ac:dyDescent="0.25">
      <c r="B13859" s="11"/>
    </row>
    <row r="13860" spans="2:2" x14ac:dyDescent="0.25">
      <c r="B13860" s="11"/>
    </row>
    <row r="13861" spans="2:2" x14ac:dyDescent="0.25">
      <c r="B13861" s="11"/>
    </row>
    <row r="13862" spans="2:2" x14ac:dyDescent="0.25">
      <c r="B13862" s="11"/>
    </row>
    <row r="13863" spans="2:2" x14ac:dyDescent="0.25">
      <c r="B13863" s="11"/>
    </row>
    <row r="13864" spans="2:2" x14ac:dyDescent="0.25">
      <c r="B13864" s="11"/>
    </row>
    <row r="13865" spans="2:2" x14ac:dyDescent="0.25">
      <c r="B13865" s="11"/>
    </row>
    <row r="13866" spans="2:2" x14ac:dyDescent="0.25">
      <c r="B13866" s="11"/>
    </row>
    <row r="13867" spans="2:2" x14ac:dyDescent="0.25">
      <c r="B13867" s="11"/>
    </row>
    <row r="13868" spans="2:2" x14ac:dyDescent="0.25">
      <c r="B13868" s="11"/>
    </row>
    <row r="13869" spans="2:2" x14ac:dyDescent="0.25">
      <c r="B13869" s="11"/>
    </row>
    <row r="13870" spans="2:2" x14ac:dyDescent="0.25">
      <c r="B13870" s="11"/>
    </row>
    <row r="13871" spans="2:2" x14ac:dyDescent="0.25">
      <c r="B13871" s="11"/>
    </row>
    <row r="13872" spans="2:2" x14ac:dyDescent="0.25">
      <c r="B13872" s="11"/>
    </row>
    <row r="13873" spans="2:2" x14ac:dyDescent="0.25">
      <c r="B13873" s="11"/>
    </row>
    <row r="13874" spans="2:2" x14ac:dyDescent="0.25">
      <c r="B13874" s="11"/>
    </row>
    <row r="13875" spans="2:2" x14ac:dyDescent="0.25">
      <c r="B13875" s="11"/>
    </row>
    <row r="13876" spans="2:2" x14ac:dyDescent="0.25">
      <c r="B13876" s="11"/>
    </row>
    <row r="13877" spans="2:2" x14ac:dyDescent="0.25">
      <c r="B13877" s="11"/>
    </row>
    <row r="13878" spans="2:2" x14ac:dyDescent="0.25">
      <c r="B13878" s="11"/>
    </row>
    <row r="13879" spans="2:2" x14ac:dyDescent="0.25">
      <c r="B13879" s="11"/>
    </row>
    <row r="13880" spans="2:2" x14ac:dyDescent="0.25">
      <c r="B13880" s="11"/>
    </row>
    <row r="13881" spans="2:2" x14ac:dyDescent="0.25">
      <c r="B13881" s="11"/>
    </row>
    <row r="13882" spans="2:2" x14ac:dyDescent="0.25">
      <c r="B13882" s="11"/>
    </row>
    <row r="13883" spans="2:2" x14ac:dyDescent="0.25">
      <c r="B13883" s="11"/>
    </row>
    <row r="13884" spans="2:2" x14ac:dyDescent="0.25">
      <c r="B13884" s="11"/>
    </row>
    <row r="13885" spans="2:2" x14ac:dyDescent="0.25">
      <c r="B13885" s="11"/>
    </row>
    <row r="13886" spans="2:2" x14ac:dyDescent="0.25">
      <c r="B13886" s="11"/>
    </row>
    <row r="13887" spans="2:2" x14ac:dyDescent="0.25">
      <c r="B13887" s="11"/>
    </row>
    <row r="13888" spans="2:2" x14ac:dyDescent="0.25">
      <c r="B13888" s="11"/>
    </row>
    <row r="13889" spans="2:2" x14ac:dyDescent="0.25">
      <c r="B13889" s="11"/>
    </row>
    <row r="13890" spans="2:2" x14ac:dyDescent="0.25">
      <c r="B13890" s="11"/>
    </row>
    <row r="13891" spans="2:2" x14ac:dyDescent="0.25">
      <c r="B13891" s="11"/>
    </row>
    <row r="13892" spans="2:2" x14ac:dyDescent="0.25">
      <c r="B13892" s="11"/>
    </row>
    <row r="13893" spans="2:2" x14ac:dyDescent="0.25">
      <c r="B13893" s="11"/>
    </row>
    <row r="13894" spans="2:2" x14ac:dyDescent="0.25">
      <c r="B13894" s="11"/>
    </row>
    <row r="13895" spans="2:2" x14ac:dyDescent="0.25">
      <c r="B13895" s="11"/>
    </row>
    <row r="13896" spans="2:2" x14ac:dyDescent="0.25">
      <c r="B13896" s="11"/>
    </row>
    <row r="13897" spans="2:2" x14ac:dyDescent="0.25">
      <c r="B13897" s="11"/>
    </row>
    <row r="13898" spans="2:2" x14ac:dyDescent="0.25">
      <c r="B13898" s="11"/>
    </row>
    <row r="13899" spans="2:2" x14ac:dyDescent="0.25">
      <c r="B13899" s="11"/>
    </row>
    <row r="13900" spans="2:2" x14ac:dyDescent="0.25">
      <c r="B13900" s="11"/>
    </row>
    <row r="13901" spans="2:2" x14ac:dyDescent="0.25">
      <c r="B13901" s="11"/>
    </row>
    <row r="13902" spans="2:2" x14ac:dyDescent="0.25">
      <c r="B13902" s="11"/>
    </row>
    <row r="13903" spans="2:2" x14ac:dyDescent="0.25">
      <c r="B13903" s="11"/>
    </row>
    <row r="13904" spans="2:2" x14ac:dyDescent="0.25">
      <c r="B13904" s="11"/>
    </row>
    <row r="13905" spans="2:2" x14ac:dyDescent="0.25">
      <c r="B13905" s="11"/>
    </row>
    <row r="13906" spans="2:2" x14ac:dyDescent="0.25">
      <c r="B13906" s="11"/>
    </row>
    <row r="13907" spans="2:2" x14ac:dyDescent="0.25">
      <c r="B13907" s="11"/>
    </row>
    <row r="13908" spans="2:2" x14ac:dyDescent="0.25">
      <c r="B13908" s="11"/>
    </row>
    <row r="13909" spans="2:2" x14ac:dyDescent="0.25">
      <c r="B13909" s="11"/>
    </row>
    <row r="13910" spans="2:2" x14ac:dyDescent="0.25">
      <c r="B13910" s="11"/>
    </row>
    <row r="13911" spans="2:2" x14ac:dyDescent="0.25">
      <c r="B13911" s="11"/>
    </row>
    <row r="13912" spans="2:2" x14ac:dyDescent="0.25">
      <c r="B13912" s="11"/>
    </row>
    <row r="13913" spans="2:2" x14ac:dyDescent="0.25">
      <c r="B13913" s="11"/>
    </row>
    <row r="13914" spans="2:2" x14ac:dyDescent="0.25">
      <c r="B13914" s="11"/>
    </row>
    <row r="13915" spans="2:2" x14ac:dyDescent="0.25">
      <c r="B13915" s="11"/>
    </row>
    <row r="13916" spans="2:2" x14ac:dyDescent="0.25">
      <c r="B13916" s="11"/>
    </row>
    <row r="13917" spans="2:2" x14ac:dyDescent="0.25">
      <c r="B13917" s="11"/>
    </row>
    <row r="13918" spans="2:2" x14ac:dyDescent="0.25">
      <c r="B13918" s="11"/>
    </row>
    <row r="13919" spans="2:2" x14ac:dyDescent="0.25">
      <c r="B13919" s="11"/>
    </row>
    <row r="13920" spans="2:2" x14ac:dyDescent="0.25">
      <c r="B13920" s="11"/>
    </row>
    <row r="13921" spans="2:2" x14ac:dyDescent="0.25">
      <c r="B13921" s="11"/>
    </row>
    <row r="13922" spans="2:2" x14ac:dyDescent="0.25">
      <c r="B13922" s="11"/>
    </row>
    <row r="13923" spans="2:2" x14ac:dyDescent="0.25">
      <c r="B13923" s="11"/>
    </row>
    <row r="13924" spans="2:2" x14ac:dyDescent="0.25">
      <c r="B13924" s="11"/>
    </row>
    <row r="13925" spans="2:2" x14ac:dyDescent="0.25">
      <c r="B13925" s="11"/>
    </row>
    <row r="13926" spans="2:2" x14ac:dyDescent="0.25">
      <c r="B13926" s="11"/>
    </row>
    <row r="13927" spans="2:2" x14ac:dyDescent="0.25">
      <c r="B13927" s="11"/>
    </row>
    <row r="13928" spans="2:2" x14ac:dyDescent="0.25">
      <c r="B13928" s="11"/>
    </row>
    <row r="13929" spans="2:2" x14ac:dyDescent="0.25">
      <c r="B13929" s="11"/>
    </row>
    <row r="13930" spans="2:2" x14ac:dyDescent="0.25">
      <c r="B13930" s="11"/>
    </row>
    <row r="13931" spans="2:2" x14ac:dyDescent="0.25">
      <c r="B13931" s="11"/>
    </row>
    <row r="13932" spans="2:2" x14ac:dyDescent="0.25">
      <c r="B13932" s="11"/>
    </row>
    <row r="13933" spans="2:2" x14ac:dyDescent="0.25">
      <c r="B13933" s="11"/>
    </row>
    <row r="13934" spans="2:2" x14ac:dyDescent="0.25">
      <c r="B13934" s="11"/>
    </row>
    <row r="13935" spans="2:2" x14ac:dyDescent="0.25">
      <c r="B13935" s="11"/>
    </row>
    <row r="13936" spans="2:2" x14ac:dyDescent="0.25">
      <c r="B13936" s="11"/>
    </row>
    <row r="13937" spans="2:2" x14ac:dyDescent="0.25">
      <c r="B13937" s="11"/>
    </row>
    <row r="13938" spans="2:2" x14ac:dyDescent="0.25">
      <c r="B13938" s="11"/>
    </row>
    <row r="13939" spans="2:2" x14ac:dyDescent="0.25">
      <c r="B13939" s="11"/>
    </row>
    <row r="13940" spans="2:2" x14ac:dyDescent="0.25">
      <c r="B13940" s="11"/>
    </row>
    <row r="13941" spans="2:2" x14ac:dyDescent="0.25">
      <c r="B13941" s="11"/>
    </row>
    <row r="13942" spans="2:2" x14ac:dyDescent="0.25">
      <c r="B13942" s="11"/>
    </row>
    <row r="13943" spans="2:2" x14ac:dyDescent="0.25">
      <c r="B13943" s="11"/>
    </row>
    <row r="13944" spans="2:2" x14ac:dyDescent="0.25">
      <c r="B13944" s="11"/>
    </row>
    <row r="13945" spans="2:2" x14ac:dyDescent="0.25">
      <c r="B13945" s="11"/>
    </row>
    <row r="13946" spans="2:2" x14ac:dyDescent="0.25">
      <c r="B13946" s="11"/>
    </row>
    <row r="13947" spans="2:2" x14ac:dyDescent="0.25">
      <c r="B13947" s="11"/>
    </row>
    <row r="13948" spans="2:2" x14ac:dyDescent="0.25">
      <c r="B13948" s="11"/>
    </row>
    <row r="13949" spans="2:2" x14ac:dyDescent="0.25">
      <c r="B13949" s="11"/>
    </row>
    <row r="13950" spans="2:2" x14ac:dyDescent="0.25">
      <c r="B13950" s="11"/>
    </row>
    <row r="13951" spans="2:2" x14ac:dyDescent="0.25">
      <c r="B13951" s="11"/>
    </row>
    <row r="13952" spans="2:2" x14ac:dyDescent="0.25">
      <c r="B13952" s="11"/>
    </row>
    <row r="13953" spans="2:2" x14ac:dyDescent="0.25">
      <c r="B13953" s="11"/>
    </row>
    <row r="13954" spans="2:2" x14ac:dyDescent="0.25">
      <c r="B13954" s="11"/>
    </row>
    <row r="13955" spans="2:2" x14ac:dyDescent="0.25">
      <c r="B13955" s="11"/>
    </row>
    <row r="13956" spans="2:2" x14ac:dyDescent="0.25">
      <c r="B13956" s="11"/>
    </row>
    <row r="13957" spans="2:2" x14ac:dyDescent="0.25">
      <c r="B13957" s="11"/>
    </row>
    <row r="13958" spans="2:2" x14ac:dyDescent="0.25">
      <c r="B13958" s="11"/>
    </row>
    <row r="13959" spans="2:2" x14ac:dyDescent="0.25">
      <c r="B13959" s="11"/>
    </row>
    <row r="13960" spans="2:2" x14ac:dyDescent="0.25">
      <c r="B13960" s="11"/>
    </row>
    <row r="13961" spans="2:2" x14ac:dyDescent="0.25">
      <c r="B13961" s="11"/>
    </row>
    <row r="13962" spans="2:2" x14ac:dyDescent="0.25">
      <c r="B13962" s="11"/>
    </row>
    <row r="13963" spans="2:2" x14ac:dyDescent="0.25">
      <c r="B13963" s="11"/>
    </row>
    <row r="13964" spans="2:2" x14ac:dyDescent="0.25">
      <c r="B13964" s="11"/>
    </row>
    <row r="13965" spans="2:2" x14ac:dyDescent="0.25">
      <c r="B13965" s="11"/>
    </row>
    <row r="13966" spans="2:2" x14ac:dyDescent="0.25">
      <c r="B13966" s="11"/>
    </row>
    <row r="13967" spans="2:2" x14ac:dyDescent="0.25">
      <c r="B13967" s="11"/>
    </row>
    <row r="13968" spans="2:2" x14ac:dyDescent="0.25">
      <c r="B13968" s="11"/>
    </row>
    <row r="13969" spans="2:2" x14ac:dyDescent="0.25">
      <c r="B13969" s="11"/>
    </row>
    <row r="13970" spans="2:2" x14ac:dyDescent="0.25">
      <c r="B13970" s="11"/>
    </row>
    <row r="13971" spans="2:2" x14ac:dyDescent="0.25">
      <c r="B13971" s="11"/>
    </row>
    <row r="13972" spans="2:2" x14ac:dyDescent="0.25">
      <c r="B13972" s="11"/>
    </row>
    <row r="13973" spans="2:2" x14ac:dyDescent="0.25">
      <c r="B13973" s="11"/>
    </row>
    <row r="13974" spans="2:2" x14ac:dyDescent="0.25">
      <c r="B13974" s="11"/>
    </row>
    <row r="13975" spans="2:2" x14ac:dyDescent="0.25">
      <c r="B13975" s="11"/>
    </row>
    <row r="13976" spans="2:2" x14ac:dyDescent="0.25">
      <c r="B13976" s="11"/>
    </row>
    <row r="13977" spans="2:2" x14ac:dyDescent="0.25">
      <c r="B13977" s="11"/>
    </row>
    <row r="13978" spans="2:2" x14ac:dyDescent="0.25">
      <c r="B13978" s="11"/>
    </row>
    <row r="13979" spans="2:2" x14ac:dyDescent="0.25">
      <c r="B13979" s="11"/>
    </row>
    <row r="13980" spans="2:2" x14ac:dyDescent="0.25">
      <c r="B13980" s="11"/>
    </row>
    <row r="13981" spans="2:2" x14ac:dyDescent="0.25">
      <c r="B13981" s="11"/>
    </row>
    <row r="13982" spans="2:2" x14ac:dyDescent="0.25">
      <c r="B13982" s="11"/>
    </row>
    <row r="13983" spans="2:2" x14ac:dyDescent="0.25">
      <c r="B13983" s="11"/>
    </row>
    <row r="13984" spans="2:2" x14ac:dyDescent="0.25">
      <c r="B13984" s="11"/>
    </row>
    <row r="13985" spans="2:2" x14ac:dyDescent="0.25">
      <c r="B13985" s="11"/>
    </row>
    <row r="13986" spans="2:2" x14ac:dyDescent="0.25">
      <c r="B13986" s="11"/>
    </row>
    <row r="13987" spans="2:2" x14ac:dyDescent="0.25">
      <c r="B13987" s="11"/>
    </row>
    <row r="13988" spans="2:2" x14ac:dyDescent="0.25">
      <c r="B13988" s="11"/>
    </row>
    <row r="13989" spans="2:2" x14ac:dyDescent="0.25">
      <c r="B13989" s="11"/>
    </row>
    <row r="13990" spans="2:2" x14ac:dyDescent="0.25">
      <c r="B13990" s="11"/>
    </row>
    <row r="13991" spans="2:2" x14ac:dyDescent="0.25">
      <c r="B13991" s="11"/>
    </row>
    <row r="13992" spans="2:2" x14ac:dyDescent="0.25">
      <c r="B13992" s="11"/>
    </row>
    <row r="13993" spans="2:2" x14ac:dyDescent="0.25">
      <c r="B13993" s="11"/>
    </row>
    <row r="13994" spans="2:2" x14ac:dyDescent="0.25">
      <c r="B13994" s="11"/>
    </row>
    <row r="13995" spans="2:2" x14ac:dyDescent="0.25">
      <c r="B13995" s="11"/>
    </row>
    <row r="13996" spans="2:2" x14ac:dyDescent="0.25">
      <c r="B13996" s="11"/>
    </row>
    <row r="13997" spans="2:2" x14ac:dyDescent="0.25">
      <c r="B13997" s="11"/>
    </row>
    <row r="13998" spans="2:2" x14ac:dyDescent="0.25">
      <c r="B13998" s="11"/>
    </row>
    <row r="13999" spans="2:2" x14ac:dyDescent="0.25">
      <c r="B13999" s="11"/>
    </row>
    <row r="14000" spans="2:2" x14ac:dyDescent="0.25">
      <c r="B14000" s="11"/>
    </row>
    <row r="14001" spans="2:2" x14ac:dyDescent="0.25">
      <c r="B14001" s="11"/>
    </row>
    <row r="14002" spans="2:2" x14ac:dyDescent="0.25">
      <c r="B14002" s="11"/>
    </row>
    <row r="14003" spans="2:2" x14ac:dyDescent="0.25">
      <c r="B14003" s="11"/>
    </row>
    <row r="14004" spans="2:2" x14ac:dyDescent="0.25">
      <c r="B14004" s="11"/>
    </row>
    <row r="14005" spans="2:2" x14ac:dyDescent="0.25">
      <c r="B14005" s="11"/>
    </row>
    <row r="14006" spans="2:2" x14ac:dyDescent="0.25">
      <c r="B14006" s="11"/>
    </row>
    <row r="14007" spans="2:2" x14ac:dyDescent="0.25">
      <c r="B14007" s="11"/>
    </row>
    <row r="14008" spans="2:2" x14ac:dyDescent="0.25">
      <c r="B14008" s="11"/>
    </row>
    <row r="14009" spans="2:2" x14ac:dyDescent="0.25">
      <c r="B14009" s="11"/>
    </row>
    <row r="14010" spans="2:2" x14ac:dyDescent="0.25">
      <c r="B14010" s="11"/>
    </row>
    <row r="14011" spans="2:2" x14ac:dyDescent="0.25">
      <c r="B14011" s="11"/>
    </row>
    <row r="14012" spans="2:2" x14ac:dyDescent="0.25">
      <c r="B14012" s="11"/>
    </row>
    <row r="14013" spans="2:2" x14ac:dyDescent="0.25">
      <c r="B14013" s="11"/>
    </row>
    <row r="14014" spans="2:2" x14ac:dyDescent="0.25">
      <c r="B14014" s="11"/>
    </row>
    <row r="14015" spans="2:2" x14ac:dyDescent="0.25">
      <c r="B14015" s="11"/>
    </row>
    <row r="14016" spans="2:2" x14ac:dyDescent="0.25">
      <c r="B14016" s="11"/>
    </row>
    <row r="14017" spans="2:2" x14ac:dyDescent="0.25">
      <c r="B14017" s="11"/>
    </row>
    <row r="14018" spans="2:2" x14ac:dyDescent="0.25">
      <c r="B14018" s="11"/>
    </row>
    <row r="14019" spans="2:2" x14ac:dyDescent="0.25">
      <c r="B14019" s="11"/>
    </row>
    <row r="14020" spans="2:2" x14ac:dyDescent="0.25">
      <c r="B14020" s="11"/>
    </row>
    <row r="14021" spans="2:2" x14ac:dyDescent="0.25">
      <c r="B14021" s="11"/>
    </row>
    <row r="14022" spans="2:2" x14ac:dyDescent="0.25">
      <c r="B14022" s="11"/>
    </row>
    <row r="14023" spans="2:2" x14ac:dyDescent="0.25">
      <c r="B14023" s="11"/>
    </row>
    <row r="14024" spans="2:2" x14ac:dyDescent="0.25">
      <c r="B14024" s="11"/>
    </row>
    <row r="14025" spans="2:2" x14ac:dyDescent="0.25">
      <c r="B14025" s="11"/>
    </row>
    <row r="14026" spans="2:2" x14ac:dyDescent="0.25">
      <c r="B14026" s="11"/>
    </row>
    <row r="14027" spans="2:2" x14ac:dyDescent="0.25">
      <c r="B14027" s="11"/>
    </row>
    <row r="14028" spans="2:2" x14ac:dyDescent="0.25">
      <c r="B14028" s="11"/>
    </row>
    <row r="14029" spans="2:2" x14ac:dyDescent="0.25">
      <c r="B14029" s="11"/>
    </row>
    <row r="14030" spans="2:2" x14ac:dyDescent="0.25">
      <c r="B14030" s="11"/>
    </row>
    <row r="14031" spans="2:2" x14ac:dyDescent="0.25">
      <c r="B14031" s="11"/>
    </row>
    <row r="14032" spans="2:2" x14ac:dyDescent="0.25">
      <c r="B14032" s="11"/>
    </row>
    <row r="14033" spans="2:2" x14ac:dyDescent="0.25">
      <c r="B14033" s="11"/>
    </row>
    <row r="14034" spans="2:2" x14ac:dyDescent="0.25">
      <c r="B14034" s="11"/>
    </row>
    <row r="14035" spans="2:2" x14ac:dyDescent="0.25">
      <c r="B14035" s="11"/>
    </row>
    <row r="14036" spans="2:2" x14ac:dyDescent="0.25">
      <c r="B14036" s="11"/>
    </row>
    <row r="14037" spans="2:2" x14ac:dyDescent="0.25">
      <c r="B14037" s="11"/>
    </row>
    <row r="14038" spans="2:2" x14ac:dyDescent="0.25">
      <c r="B14038" s="11"/>
    </row>
    <row r="14039" spans="2:2" x14ac:dyDescent="0.25">
      <c r="B14039" s="11"/>
    </row>
    <row r="14040" spans="2:2" x14ac:dyDescent="0.25">
      <c r="B14040" s="11"/>
    </row>
    <row r="14041" spans="2:2" x14ac:dyDescent="0.25">
      <c r="B14041" s="11"/>
    </row>
    <row r="14042" spans="2:2" x14ac:dyDescent="0.25">
      <c r="B14042" s="11"/>
    </row>
    <row r="14043" spans="2:2" x14ac:dyDescent="0.25">
      <c r="B14043" s="11"/>
    </row>
    <row r="14044" spans="2:2" x14ac:dyDescent="0.25">
      <c r="B14044" s="11"/>
    </row>
    <row r="14045" spans="2:2" x14ac:dyDescent="0.25">
      <c r="B14045" s="11"/>
    </row>
    <row r="14046" spans="2:2" x14ac:dyDescent="0.25">
      <c r="B14046" s="11"/>
    </row>
    <row r="14047" spans="2:2" x14ac:dyDescent="0.25">
      <c r="B14047" s="11"/>
    </row>
    <row r="14048" spans="2:2" x14ac:dyDescent="0.25">
      <c r="B14048" s="11"/>
    </row>
    <row r="14049" spans="2:2" x14ac:dyDescent="0.25">
      <c r="B14049" s="11"/>
    </row>
    <row r="14050" spans="2:2" x14ac:dyDescent="0.25">
      <c r="B14050" s="11"/>
    </row>
    <row r="14051" spans="2:2" x14ac:dyDescent="0.25">
      <c r="B14051" s="11"/>
    </row>
    <row r="14052" spans="2:2" x14ac:dyDescent="0.25">
      <c r="B14052" s="11"/>
    </row>
    <row r="14053" spans="2:2" x14ac:dyDescent="0.25">
      <c r="B14053" s="11"/>
    </row>
    <row r="14054" spans="2:2" x14ac:dyDescent="0.25">
      <c r="B14054" s="11"/>
    </row>
    <row r="14055" spans="2:2" x14ac:dyDescent="0.25">
      <c r="B14055" s="11"/>
    </row>
    <row r="14056" spans="2:2" x14ac:dyDescent="0.25">
      <c r="B14056" s="11"/>
    </row>
    <row r="14057" spans="2:2" x14ac:dyDescent="0.25">
      <c r="B14057" s="11"/>
    </row>
    <row r="14058" spans="2:2" x14ac:dyDescent="0.25">
      <c r="B14058" s="11"/>
    </row>
    <row r="14059" spans="2:2" x14ac:dyDescent="0.25">
      <c r="B14059" s="11"/>
    </row>
    <row r="14060" spans="2:2" x14ac:dyDescent="0.25">
      <c r="B14060" s="11"/>
    </row>
    <row r="14061" spans="2:2" x14ac:dyDescent="0.25">
      <c r="B14061" s="11"/>
    </row>
    <row r="14062" spans="2:2" x14ac:dyDescent="0.25">
      <c r="B14062" s="11"/>
    </row>
    <row r="14063" spans="2:2" x14ac:dyDescent="0.25">
      <c r="B14063" s="11"/>
    </row>
    <row r="14064" spans="2:2" x14ac:dyDescent="0.25">
      <c r="B14064" s="11"/>
    </row>
    <row r="14065" spans="2:2" x14ac:dyDescent="0.25">
      <c r="B14065" s="11"/>
    </row>
    <row r="14066" spans="2:2" x14ac:dyDescent="0.25">
      <c r="B14066" s="11"/>
    </row>
    <row r="14067" spans="2:2" x14ac:dyDescent="0.25">
      <c r="B14067" s="11"/>
    </row>
    <row r="14068" spans="2:2" x14ac:dyDescent="0.25">
      <c r="B14068" s="11"/>
    </row>
    <row r="14069" spans="2:2" x14ac:dyDescent="0.25">
      <c r="B14069" s="11"/>
    </row>
    <row r="14070" spans="2:2" x14ac:dyDescent="0.25">
      <c r="B14070" s="11"/>
    </row>
    <row r="14071" spans="2:2" x14ac:dyDescent="0.25">
      <c r="B14071" s="11"/>
    </row>
    <row r="14072" spans="2:2" x14ac:dyDescent="0.25">
      <c r="B14072" s="11"/>
    </row>
    <row r="14073" spans="2:2" x14ac:dyDescent="0.25">
      <c r="B14073" s="11"/>
    </row>
    <row r="14074" spans="2:2" x14ac:dyDescent="0.25">
      <c r="B14074" s="11"/>
    </row>
    <row r="14075" spans="2:2" x14ac:dyDescent="0.25">
      <c r="B14075" s="11"/>
    </row>
    <row r="14076" spans="2:2" x14ac:dyDescent="0.25">
      <c r="B14076" s="11"/>
    </row>
    <row r="14077" spans="2:2" x14ac:dyDescent="0.25">
      <c r="B14077" s="11"/>
    </row>
    <row r="14078" spans="2:2" x14ac:dyDescent="0.25">
      <c r="B14078" s="11"/>
    </row>
    <row r="14079" spans="2:2" x14ac:dyDescent="0.25">
      <c r="B14079" s="11"/>
    </row>
    <row r="14080" spans="2:2" x14ac:dyDescent="0.25">
      <c r="B14080" s="11"/>
    </row>
    <row r="14081" spans="2:2" x14ac:dyDescent="0.25">
      <c r="B14081" s="11"/>
    </row>
    <row r="14082" spans="2:2" x14ac:dyDescent="0.25">
      <c r="B14082" s="11"/>
    </row>
    <row r="14083" spans="2:2" x14ac:dyDescent="0.25">
      <c r="B14083" s="11"/>
    </row>
    <row r="14084" spans="2:2" x14ac:dyDescent="0.25">
      <c r="B14084" s="11"/>
    </row>
    <row r="14085" spans="2:2" x14ac:dyDescent="0.25">
      <c r="B14085" s="11"/>
    </row>
    <row r="14086" spans="2:2" x14ac:dyDescent="0.25">
      <c r="B14086" s="11"/>
    </row>
    <row r="14087" spans="2:2" x14ac:dyDescent="0.25">
      <c r="B14087" s="11"/>
    </row>
    <row r="14088" spans="2:2" x14ac:dyDescent="0.25">
      <c r="B14088" s="11"/>
    </row>
    <row r="14089" spans="2:2" x14ac:dyDescent="0.25">
      <c r="B14089" s="11"/>
    </row>
    <row r="14090" spans="2:2" x14ac:dyDescent="0.25">
      <c r="B14090" s="11"/>
    </row>
    <row r="14091" spans="2:2" x14ac:dyDescent="0.25">
      <c r="B14091" s="11"/>
    </row>
    <row r="14092" spans="2:2" x14ac:dyDescent="0.25">
      <c r="B14092" s="11"/>
    </row>
    <row r="14093" spans="2:2" x14ac:dyDescent="0.25">
      <c r="B14093" s="11"/>
    </row>
    <row r="14094" spans="2:2" x14ac:dyDescent="0.25">
      <c r="B14094" s="11"/>
    </row>
    <row r="14095" spans="2:2" x14ac:dyDescent="0.25">
      <c r="B14095" s="11"/>
    </row>
    <row r="14096" spans="2:2" x14ac:dyDescent="0.25">
      <c r="B14096" s="11"/>
    </row>
    <row r="14097" spans="2:2" x14ac:dyDescent="0.25">
      <c r="B14097" s="11"/>
    </row>
    <row r="14098" spans="2:2" x14ac:dyDescent="0.25">
      <c r="B14098" s="11"/>
    </row>
    <row r="14099" spans="2:2" x14ac:dyDescent="0.25">
      <c r="B14099" s="11"/>
    </row>
    <row r="14100" spans="2:2" x14ac:dyDescent="0.25">
      <c r="B14100" s="11"/>
    </row>
    <row r="14101" spans="2:2" x14ac:dyDescent="0.25">
      <c r="B14101" s="11"/>
    </row>
    <row r="14102" spans="2:2" x14ac:dyDescent="0.25">
      <c r="B14102" s="11"/>
    </row>
    <row r="14103" spans="2:2" x14ac:dyDescent="0.25">
      <c r="B14103" s="11"/>
    </row>
    <row r="14104" spans="2:2" x14ac:dyDescent="0.25">
      <c r="B14104" s="11"/>
    </row>
    <row r="14105" spans="2:2" x14ac:dyDescent="0.25">
      <c r="B14105" s="11"/>
    </row>
    <row r="14106" spans="2:2" x14ac:dyDescent="0.25">
      <c r="B14106" s="11"/>
    </row>
    <row r="14107" spans="2:2" x14ac:dyDescent="0.25">
      <c r="B14107" s="11"/>
    </row>
    <row r="14108" spans="2:2" x14ac:dyDescent="0.25">
      <c r="B14108" s="11"/>
    </row>
    <row r="14109" spans="2:2" x14ac:dyDescent="0.25">
      <c r="B14109" s="11"/>
    </row>
    <row r="14110" spans="2:2" x14ac:dyDescent="0.25">
      <c r="B14110" s="11"/>
    </row>
    <row r="14111" spans="2:2" x14ac:dyDescent="0.25">
      <c r="B14111" s="11"/>
    </row>
    <row r="14112" spans="2:2" x14ac:dyDescent="0.25">
      <c r="B14112" s="11"/>
    </row>
    <row r="14113" spans="2:2" x14ac:dyDescent="0.25">
      <c r="B14113" s="11"/>
    </row>
    <row r="14114" spans="2:2" x14ac:dyDescent="0.25">
      <c r="B14114" s="11"/>
    </row>
    <row r="14115" spans="2:2" x14ac:dyDescent="0.25">
      <c r="B14115" s="11"/>
    </row>
    <row r="14116" spans="2:2" x14ac:dyDescent="0.25">
      <c r="B14116" s="11"/>
    </row>
    <row r="14117" spans="2:2" x14ac:dyDescent="0.25">
      <c r="B14117" s="11"/>
    </row>
    <row r="14118" spans="2:2" x14ac:dyDescent="0.25">
      <c r="B14118" s="11"/>
    </row>
    <row r="14119" spans="2:2" x14ac:dyDescent="0.25">
      <c r="B14119" s="11"/>
    </row>
    <row r="14120" spans="2:2" x14ac:dyDescent="0.25">
      <c r="B14120" s="11"/>
    </row>
    <row r="14121" spans="2:2" x14ac:dyDescent="0.25">
      <c r="B14121" s="11"/>
    </row>
    <row r="14122" spans="2:2" x14ac:dyDescent="0.25">
      <c r="B14122" s="11"/>
    </row>
    <row r="14123" spans="2:2" x14ac:dyDescent="0.25">
      <c r="B14123" s="11"/>
    </row>
    <row r="14124" spans="2:2" x14ac:dyDescent="0.25">
      <c r="B14124" s="11"/>
    </row>
    <row r="14125" spans="2:2" x14ac:dyDescent="0.25">
      <c r="B14125" s="11"/>
    </row>
    <row r="14126" spans="2:2" x14ac:dyDescent="0.25">
      <c r="B14126" s="11"/>
    </row>
    <row r="14127" spans="2:2" x14ac:dyDescent="0.25">
      <c r="B14127" s="11"/>
    </row>
    <row r="14128" spans="2:2" x14ac:dyDescent="0.25">
      <c r="B14128" s="11"/>
    </row>
    <row r="14129" spans="2:2" x14ac:dyDescent="0.25">
      <c r="B14129" s="11"/>
    </row>
    <row r="14130" spans="2:2" x14ac:dyDescent="0.25">
      <c r="B14130" s="11"/>
    </row>
    <row r="14131" spans="2:2" x14ac:dyDescent="0.25">
      <c r="B14131" s="11"/>
    </row>
    <row r="14132" spans="2:2" x14ac:dyDescent="0.25">
      <c r="B14132" s="11"/>
    </row>
    <row r="14133" spans="2:2" x14ac:dyDescent="0.25">
      <c r="B14133" s="11"/>
    </row>
    <row r="14134" spans="2:2" x14ac:dyDescent="0.25">
      <c r="B14134" s="11"/>
    </row>
    <row r="14135" spans="2:2" x14ac:dyDescent="0.25">
      <c r="B14135" s="11"/>
    </row>
    <row r="14136" spans="2:2" x14ac:dyDescent="0.25">
      <c r="B14136" s="11"/>
    </row>
    <row r="14137" spans="2:2" x14ac:dyDescent="0.25">
      <c r="B14137" s="11"/>
    </row>
    <row r="14138" spans="2:2" x14ac:dyDescent="0.25">
      <c r="B14138" s="11"/>
    </row>
    <row r="14139" spans="2:2" x14ac:dyDescent="0.25">
      <c r="B14139" s="11"/>
    </row>
    <row r="14140" spans="2:2" x14ac:dyDescent="0.25">
      <c r="B14140" s="11"/>
    </row>
    <row r="14141" spans="2:2" x14ac:dyDescent="0.25">
      <c r="B14141" s="11"/>
    </row>
    <row r="14142" spans="2:2" x14ac:dyDescent="0.25">
      <c r="B14142" s="11"/>
    </row>
    <row r="14143" spans="2:2" x14ac:dyDescent="0.25">
      <c r="B14143" s="11"/>
    </row>
    <row r="14144" spans="2:2" x14ac:dyDescent="0.25">
      <c r="B14144" s="11"/>
    </row>
    <row r="14145" spans="2:2" x14ac:dyDescent="0.25">
      <c r="B14145" s="11"/>
    </row>
    <row r="14146" spans="2:2" x14ac:dyDescent="0.25">
      <c r="B14146" s="11"/>
    </row>
    <row r="14147" spans="2:2" x14ac:dyDescent="0.25">
      <c r="B14147" s="11"/>
    </row>
    <row r="14148" spans="2:2" x14ac:dyDescent="0.25">
      <c r="B14148" s="11"/>
    </row>
    <row r="14149" spans="2:2" x14ac:dyDescent="0.25">
      <c r="B14149" s="11"/>
    </row>
    <row r="14150" spans="2:2" x14ac:dyDescent="0.25">
      <c r="B14150" s="11"/>
    </row>
    <row r="14151" spans="2:2" x14ac:dyDescent="0.25">
      <c r="B14151" s="11"/>
    </row>
    <row r="14152" spans="2:2" x14ac:dyDescent="0.25">
      <c r="B14152" s="11"/>
    </row>
    <row r="14153" spans="2:2" x14ac:dyDescent="0.25">
      <c r="B14153" s="11"/>
    </row>
    <row r="14154" spans="2:2" x14ac:dyDescent="0.25">
      <c r="B14154" s="11"/>
    </row>
    <row r="14155" spans="2:2" x14ac:dyDescent="0.25">
      <c r="B14155" s="11"/>
    </row>
    <row r="14156" spans="2:2" x14ac:dyDescent="0.25">
      <c r="B14156" s="11"/>
    </row>
    <row r="14157" spans="2:2" x14ac:dyDescent="0.25">
      <c r="B14157" s="11"/>
    </row>
    <row r="14158" spans="2:2" x14ac:dyDescent="0.25">
      <c r="B14158" s="11"/>
    </row>
    <row r="14159" spans="2:2" x14ac:dyDescent="0.25">
      <c r="B14159" s="11"/>
    </row>
    <row r="14160" spans="2:2" x14ac:dyDescent="0.25">
      <c r="B14160" s="11"/>
    </row>
    <row r="14161" spans="2:2" x14ac:dyDescent="0.25">
      <c r="B14161" s="11"/>
    </row>
    <row r="14162" spans="2:2" x14ac:dyDescent="0.25">
      <c r="B14162" s="11"/>
    </row>
    <row r="14163" spans="2:2" x14ac:dyDescent="0.25">
      <c r="B14163" s="11"/>
    </row>
    <row r="14164" spans="2:2" x14ac:dyDescent="0.25">
      <c r="B14164" s="11"/>
    </row>
    <row r="14165" spans="2:2" x14ac:dyDescent="0.25">
      <c r="B14165" s="11"/>
    </row>
    <row r="14166" spans="2:2" x14ac:dyDescent="0.25">
      <c r="B14166" s="11"/>
    </row>
    <row r="14167" spans="2:2" x14ac:dyDescent="0.25">
      <c r="B14167" s="11"/>
    </row>
    <row r="14168" spans="2:2" x14ac:dyDescent="0.25">
      <c r="B14168" s="11"/>
    </row>
    <row r="14169" spans="2:2" x14ac:dyDescent="0.25">
      <c r="B14169" s="11"/>
    </row>
    <row r="14170" spans="2:2" x14ac:dyDescent="0.25">
      <c r="B14170" s="11"/>
    </row>
    <row r="14171" spans="2:2" x14ac:dyDescent="0.25">
      <c r="B14171" s="11"/>
    </row>
    <row r="14172" spans="2:2" x14ac:dyDescent="0.25">
      <c r="B14172" s="11"/>
    </row>
    <row r="14173" spans="2:2" x14ac:dyDescent="0.25">
      <c r="B14173" s="11"/>
    </row>
    <row r="14174" spans="2:2" x14ac:dyDescent="0.25">
      <c r="B14174" s="11"/>
    </row>
    <row r="14175" spans="2:2" x14ac:dyDescent="0.25">
      <c r="B14175" s="11"/>
    </row>
    <row r="14176" spans="2:2" x14ac:dyDescent="0.25">
      <c r="B14176" s="11"/>
    </row>
    <row r="14177" spans="2:2" x14ac:dyDescent="0.25">
      <c r="B14177" s="11"/>
    </row>
    <row r="14178" spans="2:2" x14ac:dyDescent="0.25">
      <c r="B14178" s="11"/>
    </row>
    <row r="14179" spans="2:2" x14ac:dyDescent="0.25">
      <c r="B14179" s="11"/>
    </row>
    <row r="14180" spans="2:2" x14ac:dyDescent="0.25">
      <c r="B14180" s="11"/>
    </row>
    <row r="14181" spans="2:2" x14ac:dyDescent="0.25">
      <c r="B14181" s="11"/>
    </row>
    <row r="14182" spans="2:2" x14ac:dyDescent="0.25">
      <c r="B14182" s="11"/>
    </row>
    <row r="14183" spans="2:2" x14ac:dyDescent="0.25">
      <c r="B14183" s="11"/>
    </row>
    <row r="14184" spans="2:2" x14ac:dyDescent="0.25">
      <c r="B14184" s="11"/>
    </row>
    <row r="14185" spans="2:2" x14ac:dyDescent="0.25">
      <c r="B14185" s="11"/>
    </row>
    <row r="14186" spans="2:2" x14ac:dyDescent="0.25">
      <c r="B14186" s="11"/>
    </row>
    <row r="14187" spans="2:2" x14ac:dyDescent="0.25">
      <c r="B14187" s="11"/>
    </row>
    <row r="14188" spans="2:2" x14ac:dyDescent="0.25">
      <c r="B14188" s="11"/>
    </row>
    <row r="14189" spans="2:2" x14ac:dyDescent="0.25">
      <c r="B14189" s="11"/>
    </row>
    <row r="14190" spans="2:2" x14ac:dyDescent="0.25">
      <c r="B14190" s="11"/>
    </row>
    <row r="14191" spans="2:2" x14ac:dyDescent="0.25">
      <c r="B14191" s="11"/>
    </row>
    <row r="14192" spans="2:2" x14ac:dyDescent="0.25">
      <c r="B14192" s="11"/>
    </row>
    <row r="14193" spans="2:2" x14ac:dyDescent="0.25">
      <c r="B14193" s="11"/>
    </row>
    <row r="14194" spans="2:2" x14ac:dyDescent="0.25">
      <c r="B14194" s="11"/>
    </row>
    <row r="14195" spans="2:2" x14ac:dyDescent="0.25">
      <c r="B14195" s="11"/>
    </row>
    <row r="14196" spans="2:2" x14ac:dyDescent="0.25">
      <c r="B14196" s="11"/>
    </row>
    <row r="14197" spans="2:2" x14ac:dyDescent="0.25">
      <c r="B14197" s="11"/>
    </row>
    <row r="14198" spans="2:2" x14ac:dyDescent="0.25">
      <c r="B14198" s="11"/>
    </row>
    <row r="14199" spans="2:2" x14ac:dyDescent="0.25">
      <c r="B14199" s="11"/>
    </row>
    <row r="14200" spans="2:2" x14ac:dyDescent="0.25">
      <c r="B14200" s="11"/>
    </row>
    <row r="14201" spans="2:2" x14ac:dyDescent="0.25">
      <c r="B14201" s="11"/>
    </row>
    <row r="14202" spans="2:2" x14ac:dyDescent="0.25">
      <c r="B14202" s="11"/>
    </row>
    <row r="14203" spans="2:2" x14ac:dyDescent="0.25">
      <c r="B14203" s="11"/>
    </row>
    <row r="14204" spans="2:2" x14ac:dyDescent="0.25">
      <c r="B14204" s="11"/>
    </row>
    <row r="14205" spans="2:2" x14ac:dyDescent="0.25">
      <c r="B14205" s="11"/>
    </row>
    <row r="14206" spans="2:2" x14ac:dyDescent="0.25">
      <c r="B14206" s="11"/>
    </row>
    <row r="14207" spans="2:2" x14ac:dyDescent="0.25">
      <c r="B14207" s="11"/>
    </row>
    <row r="14208" spans="2:2" x14ac:dyDescent="0.25">
      <c r="B14208" s="11"/>
    </row>
    <row r="14209" spans="2:2" x14ac:dyDescent="0.25">
      <c r="B14209" s="11"/>
    </row>
    <row r="14210" spans="2:2" x14ac:dyDescent="0.25">
      <c r="B14210" s="11"/>
    </row>
    <row r="14211" spans="2:2" x14ac:dyDescent="0.25">
      <c r="B14211" s="11"/>
    </row>
    <row r="14212" spans="2:2" x14ac:dyDescent="0.25">
      <c r="B14212" s="11"/>
    </row>
    <row r="14213" spans="2:2" x14ac:dyDescent="0.25">
      <c r="B14213" s="11"/>
    </row>
    <row r="14214" spans="2:2" x14ac:dyDescent="0.25">
      <c r="B14214" s="11"/>
    </row>
    <row r="14215" spans="2:2" x14ac:dyDescent="0.25">
      <c r="B14215" s="11"/>
    </row>
    <row r="14216" spans="2:2" x14ac:dyDescent="0.25">
      <c r="B14216" s="11"/>
    </row>
    <row r="14217" spans="2:2" x14ac:dyDescent="0.25">
      <c r="B14217" s="11"/>
    </row>
    <row r="14218" spans="2:2" x14ac:dyDescent="0.25">
      <c r="B14218" s="11"/>
    </row>
    <row r="14219" spans="2:2" x14ac:dyDescent="0.25">
      <c r="B14219" s="11"/>
    </row>
    <row r="14220" spans="2:2" x14ac:dyDescent="0.25">
      <c r="B14220" s="11"/>
    </row>
    <row r="14221" spans="2:2" x14ac:dyDescent="0.25">
      <c r="B14221" s="11"/>
    </row>
    <row r="14222" spans="2:2" x14ac:dyDescent="0.25">
      <c r="B14222" s="11"/>
    </row>
    <row r="14223" spans="2:2" x14ac:dyDescent="0.25">
      <c r="B14223" s="11"/>
    </row>
    <row r="14224" spans="2:2" x14ac:dyDescent="0.25">
      <c r="B14224" s="11"/>
    </row>
    <row r="14225" spans="2:2" x14ac:dyDescent="0.25">
      <c r="B14225" s="11"/>
    </row>
    <row r="14226" spans="2:2" x14ac:dyDescent="0.25">
      <c r="B14226" s="11"/>
    </row>
    <row r="14227" spans="2:2" x14ac:dyDescent="0.25">
      <c r="B14227" s="11"/>
    </row>
    <row r="14228" spans="2:2" x14ac:dyDescent="0.25">
      <c r="B14228" s="11"/>
    </row>
    <row r="14229" spans="2:2" x14ac:dyDescent="0.25">
      <c r="B14229" s="11"/>
    </row>
    <row r="14230" spans="2:2" x14ac:dyDescent="0.25">
      <c r="B14230" s="11"/>
    </row>
    <row r="14231" spans="2:2" x14ac:dyDescent="0.25">
      <c r="B14231" s="11"/>
    </row>
    <row r="14232" spans="2:2" x14ac:dyDescent="0.25">
      <c r="B14232" s="11"/>
    </row>
    <row r="14233" spans="2:2" x14ac:dyDescent="0.25">
      <c r="B14233" s="11"/>
    </row>
    <row r="14234" spans="2:2" x14ac:dyDescent="0.25">
      <c r="B14234" s="11"/>
    </row>
    <row r="14235" spans="2:2" x14ac:dyDescent="0.25">
      <c r="B14235" s="11"/>
    </row>
    <row r="14236" spans="2:2" x14ac:dyDescent="0.25">
      <c r="B14236" s="11"/>
    </row>
    <row r="14237" spans="2:2" x14ac:dyDescent="0.25">
      <c r="B14237" s="11"/>
    </row>
    <row r="14238" spans="2:2" x14ac:dyDescent="0.25">
      <c r="B14238" s="11"/>
    </row>
    <row r="14239" spans="2:2" x14ac:dyDescent="0.25">
      <c r="B14239" s="11"/>
    </row>
    <row r="14240" spans="2:2" x14ac:dyDescent="0.25">
      <c r="B14240" s="11"/>
    </row>
    <row r="14241" spans="2:2" x14ac:dyDescent="0.25">
      <c r="B14241" s="11"/>
    </row>
    <row r="14242" spans="2:2" x14ac:dyDescent="0.25">
      <c r="B14242" s="11"/>
    </row>
    <row r="14243" spans="2:2" x14ac:dyDescent="0.25">
      <c r="B14243" s="11"/>
    </row>
    <row r="14244" spans="2:2" x14ac:dyDescent="0.25">
      <c r="B14244" s="11"/>
    </row>
    <row r="14245" spans="2:2" x14ac:dyDescent="0.25">
      <c r="B14245" s="11"/>
    </row>
    <row r="14246" spans="2:2" x14ac:dyDescent="0.25">
      <c r="B14246" s="11"/>
    </row>
    <row r="14247" spans="2:2" x14ac:dyDescent="0.25">
      <c r="B14247" s="11"/>
    </row>
    <row r="14248" spans="2:2" x14ac:dyDescent="0.25">
      <c r="B14248" s="11"/>
    </row>
    <row r="14249" spans="2:2" x14ac:dyDescent="0.25">
      <c r="B14249" s="11"/>
    </row>
    <row r="14250" spans="2:2" x14ac:dyDescent="0.25">
      <c r="B14250" s="11"/>
    </row>
    <row r="14251" spans="2:2" x14ac:dyDescent="0.25">
      <c r="B14251" s="11"/>
    </row>
    <row r="14252" spans="2:2" x14ac:dyDescent="0.25">
      <c r="B14252" s="11"/>
    </row>
    <row r="14253" spans="2:2" x14ac:dyDescent="0.25">
      <c r="B14253" s="11"/>
    </row>
    <row r="14254" spans="2:2" x14ac:dyDescent="0.25">
      <c r="B14254" s="11"/>
    </row>
    <row r="14255" spans="2:2" x14ac:dyDescent="0.25">
      <c r="B14255" s="11"/>
    </row>
    <row r="14256" spans="2:2" x14ac:dyDescent="0.25">
      <c r="B14256" s="11"/>
    </row>
    <row r="14257" spans="2:2" x14ac:dyDescent="0.25">
      <c r="B14257" s="11"/>
    </row>
    <row r="14258" spans="2:2" x14ac:dyDescent="0.25">
      <c r="B14258" s="11"/>
    </row>
    <row r="14259" spans="2:2" x14ac:dyDescent="0.25">
      <c r="B14259" s="11"/>
    </row>
    <row r="14260" spans="2:2" x14ac:dyDescent="0.25">
      <c r="B14260" s="11"/>
    </row>
    <row r="14261" spans="2:2" x14ac:dyDescent="0.25">
      <c r="B14261" s="11"/>
    </row>
    <row r="14262" spans="2:2" x14ac:dyDescent="0.25">
      <c r="B14262" s="11"/>
    </row>
    <row r="14263" spans="2:2" x14ac:dyDescent="0.25">
      <c r="B14263" s="11"/>
    </row>
    <row r="14264" spans="2:2" x14ac:dyDescent="0.25">
      <c r="B14264" s="11"/>
    </row>
    <row r="14265" spans="2:2" x14ac:dyDescent="0.25">
      <c r="B14265" s="11"/>
    </row>
    <row r="14266" spans="2:2" x14ac:dyDescent="0.25">
      <c r="B14266" s="11"/>
    </row>
    <row r="14267" spans="2:2" x14ac:dyDescent="0.25">
      <c r="B14267" s="11"/>
    </row>
    <row r="14268" spans="2:2" x14ac:dyDescent="0.25">
      <c r="B14268" s="11"/>
    </row>
    <row r="14269" spans="2:2" x14ac:dyDescent="0.25">
      <c r="B14269" s="11"/>
    </row>
    <row r="14270" spans="2:2" x14ac:dyDescent="0.25">
      <c r="B14270" s="11"/>
    </row>
    <row r="14271" spans="2:2" x14ac:dyDescent="0.25">
      <c r="B14271" s="11"/>
    </row>
    <row r="14272" spans="2:2" x14ac:dyDescent="0.25">
      <c r="B14272" s="11"/>
    </row>
    <row r="14273" spans="2:2" x14ac:dyDescent="0.25">
      <c r="B14273" s="11"/>
    </row>
    <row r="14274" spans="2:2" x14ac:dyDescent="0.25">
      <c r="B14274" s="11"/>
    </row>
    <row r="14275" spans="2:2" x14ac:dyDescent="0.25">
      <c r="B14275" s="11"/>
    </row>
    <row r="14276" spans="2:2" x14ac:dyDescent="0.25">
      <c r="B14276" s="11"/>
    </row>
    <row r="14277" spans="2:2" x14ac:dyDescent="0.25">
      <c r="B14277" s="11"/>
    </row>
    <row r="14278" spans="2:2" x14ac:dyDescent="0.25">
      <c r="B14278" s="11"/>
    </row>
    <row r="14279" spans="2:2" x14ac:dyDescent="0.25">
      <c r="B14279" s="11"/>
    </row>
    <row r="14280" spans="2:2" x14ac:dyDescent="0.25">
      <c r="B14280" s="11"/>
    </row>
    <row r="14281" spans="2:2" x14ac:dyDescent="0.25">
      <c r="B14281" s="11"/>
    </row>
    <row r="14282" spans="2:2" x14ac:dyDescent="0.25">
      <c r="B14282" s="11"/>
    </row>
    <row r="14283" spans="2:2" x14ac:dyDescent="0.25">
      <c r="B14283" s="11"/>
    </row>
    <row r="14284" spans="2:2" x14ac:dyDescent="0.25">
      <c r="B14284" s="11"/>
    </row>
    <row r="14285" spans="2:2" x14ac:dyDescent="0.25">
      <c r="B14285" s="11"/>
    </row>
    <row r="14286" spans="2:2" x14ac:dyDescent="0.25">
      <c r="B14286" s="11"/>
    </row>
    <row r="14287" spans="2:2" x14ac:dyDescent="0.25">
      <c r="B14287" s="11"/>
    </row>
    <row r="14288" spans="2:2" x14ac:dyDescent="0.25">
      <c r="B14288" s="11"/>
    </row>
    <row r="14289" spans="2:2" x14ac:dyDescent="0.25">
      <c r="B14289" s="11"/>
    </row>
    <row r="14290" spans="2:2" x14ac:dyDescent="0.25">
      <c r="B14290" s="11"/>
    </row>
    <row r="14291" spans="2:2" x14ac:dyDescent="0.25">
      <c r="B14291" s="11"/>
    </row>
    <row r="14292" spans="2:2" x14ac:dyDescent="0.25">
      <c r="B14292" s="11"/>
    </row>
    <row r="14293" spans="2:2" x14ac:dyDescent="0.25">
      <c r="B14293" s="11"/>
    </row>
    <row r="14294" spans="2:2" x14ac:dyDescent="0.25">
      <c r="B14294" s="11"/>
    </row>
    <row r="14295" spans="2:2" x14ac:dyDescent="0.25">
      <c r="B14295" s="11"/>
    </row>
    <row r="14296" spans="2:2" x14ac:dyDescent="0.25">
      <c r="B14296" s="11"/>
    </row>
    <row r="14297" spans="2:2" x14ac:dyDescent="0.25">
      <c r="B14297" s="11"/>
    </row>
    <row r="14298" spans="2:2" x14ac:dyDescent="0.25">
      <c r="B14298" s="11"/>
    </row>
    <row r="14299" spans="2:2" x14ac:dyDescent="0.25">
      <c r="B14299" s="11"/>
    </row>
    <row r="14300" spans="2:2" x14ac:dyDescent="0.25">
      <c r="B14300" s="11"/>
    </row>
    <row r="14301" spans="2:2" x14ac:dyDescent="0.25">
      <c r="B14301" s="11"/>
    </row>
    <row r="14302" spans="2:2" x14ac:dyDescent="0.25">
      <c r="B14302" s="11"/>
    </row>
    <row r="14303" spans="2:2" x14ac:dyDescent="0.25">
      <c r="B14303" s="11"/>
    </row>
    <row r="14304" spans="2:2" x14ac:dyDescent="0.25">
      <c r="B14304" s="11"/>
    </row>
    <row r="14305" spans="2:2" x14ac:dyDescent="0.25">
      <c r="B14305" s="11"/>
    </row>
    <row r="14306" spans="2:2" x14ac:dyDescent="0.25">
      <c r="B14306" s="11"/>
    </row>
    <row r="14307" spans="2:2" x14ac:dyDescent="0.25">
      <c r="B14307" s="11"/>
    </row>
    <row r="14308" spans="2:2" x14ac:dyDescent="0.25">
      <c r="B14308" s="11"/>
    </row>
    <row r="14309" spans="2:2" x14ac:dyDescent="0.25">
      <c r="B14309" s="11"/>
    </row>
    <row r="14310" spans="2:2" x14ac:dyDescent="0.25">
      <c r="B14310" s="11"/>
    </row>
    <row r="14311" spans="2:2" x14ac:dyDescent="0.25">
      <c r="B14311" s="11"/>
    </row>
    <row r="14312" spans="2:2" x14ac:dyDescent="0.25">
      <c r="B14312" s="11"/>
    </row>
    <row r="14313" spans="2:2" x14ac:dyDescent="0.25">
      <c r="B14313" s="11"/>
    </row>
    <row r="14314" spans="2:2" x14ac:dyDescent="0.25">
      <c r="B14314" s="11"/>
    </row>
    <row r="14315" spans="2:2" x14ac:dyDescent="0.25">
      <c r="B14315" s="11"/>
    </row>
    <row r="14316" spans="2:2" x14ac:dyDescent="0.25">
      <c r="B14316" s="11"/>
    </row>
    <row r="14317" spans="2:2" x14ac:dyDescent="0.25">
      <c r="B14317" s="11"/>
    </row>
    <row r="14318" spans="2:2" x14ac:dyDescent="0.25">
      <c r="B14318" s="11"/>
    </row>
    <row r="14319" spans="2:2" x14ac:dyDescent="0.25">
      <c r="B14319" s="11"/>
    </row>
    <row r="14320" spans="2:2" x14ac:dyDescent="0.25">
      <c r="B14320" s="11"/>
    </row>
    <row r="14321" spans="2:2" x14ac:dyDescent="0.25">
      <c r="B14321" s="11"/>
    </row>
    <row r="14322" spans="2:2" x14ac:dyDescent="0.25">
      <c r="B14322" s="11"/>
    </row>
    <row r="14323" spans="2:2" x14ac:dyDescent="0.25">
      <c r="B14323" s="11"/>
    </row>
    <row r="14324" spans="2:2" x14ac:dyDescent="0.25">
      <c r="B14324" s="11"/>
    </row>
    <row r="14325" spans="2:2" x14ac:dyDescent="0.25">
      <c r="B14325" s="11"/>
    </row>
    <row r="14326" spans="2:2" x14ac:dyDescent="0.25">
      <c r="B14326" s="11"/>
    </row>
    <row r="14327" spans="2:2" x14ac:dyDescent="0.25">
      <c r="B14327" s="11"/>
    </row>
    <row r="14328" spans="2:2" x14ac:dyDescent="0.25">
      <c r="B14328" s="11"/>
    </row>
    <row r="14329" spans="2:2" x14ac:dyDescent="0.25">
      <c r="B14329" s="11"/>
    </row>
    <row r="14330" spans="2:2" x14ac:dyDescent="0.25">
      <c r="B14330" s="11"/>
    </row>
    <row r="14331" spans="2:2" x14ac:dyDescent="0.25">
      <c r="B14331" s="11"/>
    </row>
    <row r="14332" spans="2:2" x14ac:dyDescent="0.25">
      <c r="B14332" s="11"/>
    </row>
    <row r="14333" spans="2:2" x14ac:dyDescent="0.25">
      <c r="B14333" s="11"/>
    </row>
    <row r="14334" spans="2:2" x14ac:dyDescent="0.25">
      <c r="B14334" s="11"/>
    </row>
    <row r="14335" spans="2:2" x14ac:dyDescent="0.25">
      <c r="B14335" s="11"/>
    </row>
    <row r="14336" spans="2:2" x14ac:dyDescent="0.25">
      <c r="B14336" s="11"/>
    </row>
    <row r="14337" spans="2:2" x14ac:dyDescent="0.25">
      <c r="B14337" s="11"/>
    </row>
    <row r="14338" spans="2:2" x14ac:dyDescent="0.25">
      <c r="B14338" s="11"/>
    </row>
    <row r="14339" spans="2:2" x14ac:dyDescent="0.25">
      <c r="B14339" s="11"/>
    </row>
    <row r="14340" spans="2:2" x14ac:dyDescent="0.25">
      <c r="B14340" s="11"/>
    </row>
    <row r="14341" spans="2:2" x14ac:dyDescent="0.25">
      <c r="B14341" s="11"/>
    </row>
    <row r="14342" spans="2:2" x14ac:dyDescent="0.25">
      <c r="B14342" s="11"/>
    </row>
    <row r="14343" spans="2:2" x14ac:dyDescent="0.25">
      <c r="B14343" s="11"/>
    </row>
    <row r="14344" spans="2:2" x14ac:dyDescent="0.25">
      <c r="B14344" s="11"/>
    </row>
    <row r="14345" spans="2:2" x14ac:dyDescent="0.25">
      <c r="B14345" s="11"/>
    </row>
    <row r="14346" spans="2:2" x14ac:dyDescent="0.25">
      <c r="B14346" s="11"/>
    </row>
    <row r="14347" spans="2:2" x14ac:dyDescent="0.25">
      <c r="B14347" s="11"/>
    </row>
    <row r="14348" spans="2:2" x14ac:dyDescent="0.25">
      <c r="B14348" s="11"/>
    </row>
    <row r="14349" spans="2:2" x14ac:dyDescent="0.25">
      <c r="B14349" s="11"/>
    </row>
    <row r="14350" spans="2:2" x14ac:dyDescent="0.25">
      <c r="B14350" s="11"/>
    </row>
    <row r="14351" spans="2:2" x14ac:dyDescent="0.25">
      <c r="B14351" s="11"/>
    </row>
    <row r="14352" spans="2:2" x14ac:dyDescent="0.25">
      <c r="B14352" s="11"/>
    </row>
    <row r="14353" spans="2:2" x14ac:dyDescent="0.25">
      <c r="B14353" s="11"/>
    </row>
    <row r="14354" spans="2:2" x14ac:dyDescent="0.25">
      <c r="B14354" s="11"/>
    </row>
    <row r="14355" spans="2:2" x14ac:dyDescent="0.25">
      <c r="B14355" s="11"/>
    </row>
    <row r="14356" spans="2:2" x14ac:dyDescent="0.25">
      <c r="B14356" s="11"/>
    </row>
    <row r="14357" spans="2:2" x14ac:dyDescent="0.25">
      <c r="B14357" s="11"/>
    </row>
    <row r="14358" spans="2:2" x14ac:dyDescent="0.25">
      <c r="B14358" s="11"/>
    </row>
    <row r="14359" spans="2:2" x14ac:dyDescent="0.25">
      <c r="B14359" s="11"/>
    </row>
    <row r="14360" spans="2:2" x14ac:dyDescent="0.25">
      <c r="B14360" s="11"/>
    </row>
    <row r="14361" spans="2:2" x14ac:dyDescent="0.25">
      <c r="B14361" s="11"/>
    </row>
    <row r="14362" spans="2:2" x14ac:dyDescent="0.25">
      <c r="B14362" s="11"/>
    </row>
    <row r="14363" spans="2:2" x14ac:dyDescent="0.25">
      <c r="B14363" s="11"/>
    </row>
    <row r="14364" spans="2:2" x14ac:dyDescent="0.25">
      <c r="B14364" s="11"/>
    </row>
    <row r="14365" spans="2:2" x14ac:dyDescent="0.25">
      <c r="B14365" s="11"/>
    </row>
    <row r="14366" spans="2:2" x14ac:dyDescent="0.25">
      <c r="B14366" s="11"/>
    </row>
    <row r="14367" spans="2:2" x14ac:dyDescent="0.25">
      <c r="B14367" s="11"/>
    </row>
    <row r="14368" spans="2:2" x14ac:dyDescent="0.25">
      <c r="B14368" s="11"/>
    </row>
    <row r="14369" spans="2:2" x14ac:dyDescent="0.25">
      <c r="B14369" s="11"/>
    </row>
    <row r="14370" spans="2:2" x14ac:dyDescent="0.25">
      <c r="B14370" s="11"/>
    </row>
    <row r="14371" spans="2:2" x14ac:dyDescent="0.25">
      <c r="B14371" s="11"/>
    </row>
    <row r="14372" spans="2:2" x14ac:dyDescent="0.25">
      <c r="B14372" s="11"/>
    </row>
    <row r="14373" spans="2:2" x14ac:dyDescent="0.25">
      <c r="B14373" s="11"/>
    </row>
    <row r="14374" spans="2:2" x14ac:dyDescent="0.25">
      <c r="B14374" s="11"/>
    </row>
    <row r="14375" spans="2:2" x14ac:dyDescent="0.25">
      <c r="B14375" s="11"/>
    </row>
    <row r="14376" spans="2:2" x14ac:dyDescent="0.25">
      <c r="B14376" s="11"/>
    </row>
    <row r="14377" spans="2:2" x14ac:dyDescent="0.25">
      <c r="B14377" s="11"/>
    </row>
    <row r="14378" spans="2:2" x14ac:dyDescent="0.25">
      <c r="B14378" s="11"/>
    </row>
    <row r="14379" spans="2:2" x14ac:dyDescent="0.25">
      <c r="B14379" s="11"/>
    </row>
    <row r="14380" spans="2:2" x14ac:dyDescent="0.25">
      <c r="B14380" s="11"/>
    </row>
    <row r="14381" spans="2:2" x14ac:dyDescent="0.25">
      <c r="B14381" s="11"/>
    </row>
    <row r="14382" spans="2:2" x14ac:dyDescent="0.25">
      <c r="B14382" s="11"/>
    </row>
    <row r="14383" spans="2:2" x14ac:dyDescent="0.25">
      <c r="B14383" s="11"/>
    </row>
    <row r="14384" spans="2:2" x14ac:dyDescent="0.25">
      <c r="B14384" s="11"/>
    </row>
    <row r="14385" spans="2:2" x14ac:dyDescent="0.25">
      <c r="B14385" s="11"/>
    </row>
    <row r="14386" spans="2:2" x14ac:dyDescent="0.25">
      <c r="B14386" s="11"/>
    </row>
    <row r="14387" spans="2:2" x14ac:dyDescent="0.25">
      <c r="B14387" s="11"/>
    </row>
    <row r="14388" spans="2:2" x14ac:dyDescent="0.25">
      <c r="B14388" s="11"/>
    </row>
    <row r="14389" spans="2:2" x14ac:dyDescent="0.25">
      <c r="B14389" s="11"/>
    </row>
    <row r="14390" spans="2:2" x14ac:dyDescent="0.25">
      <c r="B14390" s="11"/>
    </row>
    <row r="14391" spans="2:2" x14ac:dyDescent="0.25">
      <c r="B14391" s="11"/>
    </row>
    <row r="14392" spans="2:2" x14ac:dyDescent="0.25">
      <c r="B14392" s="11"/>
    </row>
    <row r="14393" spans="2:2" x14ac:dyDescent="0.25">
      <c r="B14393" s="11"/>
    </row>
    <row r="14394" spans="2:2" x14ac:dyDescent="0.25">
      <c r="B14394" s="11"/>
    </row>
    <row r="14395" spans="2:2" x14ac:dyDescent="0.25">
      <c r="B14395" s="11"/>
    </row>
    <row r="14396" spans="2:2" x14ac:dyDescent="0.25">
      <c r="B14396" s="11"/>
    </row>
    <row r="14397" spans="2:2" x14ac:dyDescent="0.25">
      <c r="B14397" s="11"/>
    </row>
    <row r="14398" spans="2:2" x14ac:dyDescent="0.25">
      <c r="B14398" s="11"/>
    </row>
    <row r="14399" spans="2:2" x14ac:dyDescent="0.25">
      <c r="B14399" s="11"/>
    </row>
    <row r="14400" spans="2:2" x14ac:dyDescent="0.25">
      <c r="B14400" s="11"/>
    </row>
    <row r="14401" spans="2:2" x14ac:dyDescent="0.25">
      <c r="B14401" s="11"/>
    </row>
    <row r="14402" spans="2:2" x14ac:dyDescent="0.25">
      <c r="B14402" s="11"/>
    </row>
    <row r="14403" spans="2:2" x14ac:dyDescent="0.25">
      <c r="B14403" s="11"/>
    </row>
    <row r="14404" spans="2:2" x14ac:dyDescent="0.25">
      <c r="B14404" s="11"/>
    </row>
    <row r="14405" spans="2:2" x14ac:dyDescent="0.25">
      <c r="B14405" s="11"/>
    </row>
    <row r="14406" spans="2:2" x14ac:dyDescent="0.25">
      <c r="B14406" s="11"/>
    </row>
    <row r="14407" spans="2:2" x14ac:dyDescent="0.25">
      <c r="B14407" s="11"/>
    </row>
    <row r="14408" spans="2:2" x14ac:dyDescent="0.25">
      <c r="B14408" s="11"/>
    </row>
    <row r="14409" spans="2:2" x14ac:dyDescent="0.25">
      <c r="B14409" s="11"/>
    </row>
    <row r="14410" spans="2:2" x14ac:dyDescent="0.25">
      <c r="B14410" s="11"/>
    </row>
    <row r="14411" spans="2:2" x14ac:dyDescent="0.25">
      <c r="B14411" s="11"/>
    </row>
    <row r="14412" spans="2:2" x14ac:dyDescent="0.25">
      <c r="B14412" s="11"/>
    </row>
    <row r="14413" spans="2:2" x14ac:dyDescent="0.25">
      <c r="B14413" s="11"/>
    </row>
    <row r="14414" spans="2:2" x14ac:dyDescent="0.25">
      <c r="B14414" s="11"/>
    </row>
    <row r="14415" spans="2:2" x14ac:dyDescent="0.25">
      <c r="B14415" s="11"/>
    </row>
    <row r="14416" spans="2:2" x14ac:dyDescent="0.25">
      <c r="B14416" s="11"/>
    </row>
    <row r="14417" spans="2:2" x14ac:dyDescent="0.25">
      <c r="B14417" s="11"/>
    </row>
    <row r="14418" spans="2:2" x14ac:dyDescent="0.25">
      <c r="B14418" s="11"/>
    </row>
    <row r="14419" spans="2:2" x14ac:dyDescent="0.25">
      <c r="B14419" s="11"/>
    </row>
    <row r="14420" spans="2:2" x14ac:dyDescent="0.25">
      <c r="B14420" s="11"/>
    </row>
    <row r="14421" spans="2:2" x14ac:dyDescent="0.25">
      <c r="B14421" s="11"/>
    </row>
    <row r="14422" spans="2:2" x14ac:dyDescent="0.25">
      <c r="B14422" s="11"/>
    </row>
    <row r="14423" spans="2:2" x14ac:dyDescent="0.25">
      <c r="B14423" s="11"/>
    </row>
    <row r="14424" spans="2:2" x14ac:dyDescent="0.25">
      <c r="B14424" s="11"/>
    </row>
    <row r="14425" spans="2:2" x14ac:dyDescent="0.25">
      <c r="B14425" s="11"/>
    </row>
    <row r="14426" spans="2:2" x14ac:dyDescent="0.25">
      <c r="B14426" s="11"/>
    </row>
    <row r="14427" spans="2:2" x14ac:dyDescent="0.25">
      <c r="B14427" s="11"/>
    </row>
    <row r="14428" spans="2:2" x14ac:dyDescent="0.25">
      <c r="B14428" s="11"/>
    </row>
    <row r="14429" spans="2:2" x14ac:dyDescent="0.25">
      <c r="B14429" s="11"/>
    </row>
    <row r="14430" spans="2:2" x14ac:dyDescent="0.25">
      <c r="B14430" s="11"/>
    </row>
    <row r="14431" spans="2:2" x14ac:dyDescent="0.25">
      <c r="B14431" s="11"/>
    </row>
    <row r="14432" spans="2:2" x14ac:dyDescent="0.25">
      <c r="B14432" s="11"/>
    </row>
    <row r="14433" spans="2:2" x14ac:dyDescent="0.25">
      <c r="B14433" s="11"/>
    </row>
    <row r="14434" spans="2:2" x14ac:dyDescent="0.25">
      <c r="B14434" s="11"/>
    </row>
    <row r="14435" spans="2:2" x14ac:dyDescent="0.25">
      <c r="B14435" s="11"/>
    </row>
    <row r="14436" spans="2:2" x14ac:dyDescent="0.25">
      <c r="B14436" s="11"/>
    </row>
    <row r="14437" spans="2:2" x14ac:dyDescent="0.25">
      <c r="B14437" s="11"/>
    </row>
    <row r="14438" spans="2:2" x14ac:dyDescent="0.25">
      <c r="B14438" s="11"/>
    </row>
    <row r="14439" spans="2:2" x14ac:dyDescent="0.25">
      <c r="B14439" s="11"/>
    </row>
    <row r="14440" spans="2:2" x14ac:dyDescent="0.25">
      <c r="B14440" s="11"/>
    </row>
    <row r="14441" spans="2:2" x14ac:dyDescent="0.25">
      <c r="B14441" s="11"/>
    </row>
    <row r="14442" spans="2:2" x14ac:dyDescent="0.25">
      <c r="B14442" s="11"/>
    </row>
    <row r="14443" spans="2:2" x14ac:dyDescent="0.25">
      <c r="B14443" s="11"/>
    </row>
    <row r="14444" spans="2:2" x14ac:dyDescent="0.25">
      <c r="B14444" s="11"/>
    </row>
    <row r="14445" spans="2:2" x14ac:dyDescent="0.25">
      <c r="B14445" s="11"/>
    </row>
    <row r="14446" spans="2:2" x14ac:dyDescent="0.25">
      <c r="B14446" s="11"/>
    </row>
    <row r="14447" spans="2:2" x14ac:dyDescent="0.25">
      <c r="B14447" s="11"/>
    </row>
    <row r="14448" spans="2:2" x14ac:dyDescent="0.25">
      <c r="B14448" s="11"/>
    </row>
    <row r="14449" spans="2:2" x14ac:dyDescent="0.25">
      <c r="B14449" s="11"/>
    </row>
    <row r="14450" spans="2:2" x14ac:dyDescent="0.25">
      <c r="B14450" s="11"/>
    </row>
    <row r="14451" spans="2:2" x14ac:dyDescent="0.25">
      <c r="B14451" s="11"/>
    </row>
    <row r="14452" spans="2:2" x14ac:dyDescent="0.25">
      <c r="B14452" s="11"/>
    </row>
    <row r="14453" spans="2:2" x14ac:dyDescent="0.25">
      <c r="B14453" s="11"/>
    </row>
    <row r="14454" spans="2:2" x14ac:dyDescent="0.25">
      <c r="B14454" s="11"/>
    </row>
    <row r="14455" spans="2:2" x14ac:dyDescent="0.25">
      <c r="B14455" s="11"/>
    </row>
    <row r="14456" spans="2:2" x14ac:dyDescent="0.25">
      <c r="B14456" s="11"/>
    </row>
    <row r="14457" spans="2:2" x14ac:dyDescent="0.25">
      <c r="B14457" s="11"/>
    </row>
    <row r="14458" spans="2:2" x14ac:dyDescent="0.25">
      <c r="B14458" s="11"/>
    </row>
    <row r="14459" spans="2:2" x14ac:dyDescent="0.25">
      <c r="B14459" s="11"/>
    </row>
    <row r="14460" spans="2:2" x14ac:dyDescent="0.25">
      <c r="B14460" s="11"/>
    </row>
    <row r="14461" spans="2:2" x14ac:dyDescent="0.25">
      <c r="B14461" s="11"/>
    </row>
    <row r="14462" spans="2:2" x14ac:dyDescent="0.25">
      <c r="B14462" s="11"/>
    </row>
    <row r="14463" spans="2:2" x14ac:dyDescent="0.25">
      <c r="B14463" s="11"/>
    </row>
    <row r="14464" spans="2:2" x14ac:dyDescent="0.25">
      <c r="B14464" s="11"/>
    </row>
    <row r="14465" spans="2:2" x14ac:dyDescent="0.25">
      <c r="B14465" s="11"/>
    </row>
    <row r="14466" spans="2:2" x14ac:dyDescent="0.25">
      <c r="B14466" s="11"/>
    </row>
    <row r="14467" spans="2:2" x14ac:dyDescent="0.25">
      <c r="B14467" s="11"/>
    </row>
    <row r="14468" spans="2:2" x14ac:dyDescent="0.25">
      <c r="B14468" s="11"/>
    </row>
    <row r="14469" spans="2:2" x14ac:dyDescent="0.25">
      <c r="B14469" s="11"/>
    </row>
    <row r="14470" spans="2:2" x14ac:dyDescent="0.25">
      <c r="B14470" s="11"/>
    </row>
    <row r="14471" spans="2:2" x14ac:dyDescent="0.25">
      <c r="B14471" s="11"/>
    </row>
    <row r="14472" spans="2:2" x14ac:dyDescent="0.25">
      <c r="B14472" s="11"/>
    </row>
    <row r="14473" spans="2:2" x14ac:dyDescent="0.25">
      <c r="B14473" s="11"/>
    </row>
    <row r="14474" spans="2:2" x14ac:dyDescent="0.25">
      <c r="B14474" s="11"/>
    </row>
    <row r="14475" spans="2:2" x14ac:dyDescent="0.25">
      <c r="B14475" s="11"/>
    </row>
    <row r="14476" spans="2:2" x14ac:dyDescent="0.25">
      <c r="B14476" s="11"/>
    </row>
    <row r="14477" spans="2:2" x14ac:dyDescent="0.25">
      <c r="B14477" s="11"/>
    </row>
    <row r="14478" spans="2:2" x14ac:dyDescent="0.25">
      <c r="B14478" s="11"/>
    </row>
    <row r="14479" spans="2:2" x14ac:dyDescent="0.25">
      <c r="B14479" s="11"/>
    </row>
    <row r="14480" spans="2:2" x14ac:dyDescent="0.25">
      <c r="B14480" s="11"/>
    </row>
    <row r="14481" spans="2:2" x14ac:dyDescent="0.25">
      <c r="B14481" s="11"/>
    </row>
    <row r="14482" spans="2:2" x14ac:dyDescent="0.25">
      <c r="B14482" s="11"/>
    </row>
    <row r="14483" spans="2:2" x14ac:dyDescent="0.25">
      <c r="B14483" s="11"/>
    </row>
    <row r="14484" spans="2:2" x14ac:dyDescent="0.25">
      <c r="B14484" s="11"/>
    </row>
    <row r="14485" spans="2:2" x14ac:dyDescent="0.25">
      <c r="B14485" s="11"/>
    </row>
    <row r="14486" spans="2:2" x14ac:dyDescent="0.25">
      <c r="B14486" s="11"/>
    </row>
    <row r="14487" spans="2:2" x14ac:dyDescent="0.25">
      <c r="B14487" s="11"/>
    </row>
    <row r="14488" spans="2:2" x14ac:dyDescent="0.25">
      <c r="B14488" s="11"/>
    </row>
    <row r="14489" spans="2:2" x14ac:dyDescent="0.25">
      <c r="B14489" s="11"/>
    </row>
    <row r="14490" spans="2:2" x14ac:dyDescent="0.25">
      <c r="B14490" s="11"/>
    </row>
    <row r="14491" spans="2:2" x14ac:dyDescent="0.25">
      <c r="B14491" s="11"/>
    </row>
    <row r="14492" spans="2:2" x14ac:dyDescent="0.25">
      <c r="B14492" s="11"/>
    </row>
    <row r="14493" spans="2:2" x14ac:dyDescent="0.25">
      <c r="B14493" s="11"/>
    </row>
    <row r="14494" spans="2:2" x14ac:dyDescent="0.25">
      <c r="B14494" s="11"/>
    </row>
    <row r="14495" spans="2:2" x14ac:dyDescent="0.25">
      <c r="B14495" s="11"/>
    </row>
    <row r="14496" spans="2:2" x14ac:dyDescent="0.25">
      <c r="B14496" s="11"/>
    </row>
    <row r="14497" spans="2:2" x14ac:dyDescent="0.25">
      <c r="B14497" s="11"/>
    </row>
    <row r="14498" spans="2:2" x14ac:dyDescent="0.25">
      <c r="B14498" s="11"/>
    </row>
    <row r="14499" spans="2:2" x14ac:dyDescent="0.25">
      <c r="B14499" s="11"/>
    </row>
    <row r="14500" spans="2:2" x14ac:dyDescent="0.25">
      <c r="B14500" s="11"/>
    </row>
    <row r="14501" spans="2:2" x14ac:dyDescent="0.25">
      <c r="B14501" s="11"/>
    </row>
    <row r="14502" spans="2:2" x14ac:dyDescent="0.25">
      <c r="B14502" s="11"/>
    </row>
    <row r="14503" spans="2:2" x14ac:dyDescent="0.25">
      <c r="B14503" s="11"/>
    </row>
    <row r="14504" spans="2:2" x14ac:dyDescent="0.25">
      <c r="B14504" s="11"/>
    </row>
    <row r="14505" spans="2:2" x14ac:dyDescent="0.25">
      <c r="B14505" s="11"/>
    </row>
    <row r="14506" spans="2:2" x14ac:dyDescent="0.25">
      <c r="B14506" s="11"/>
    </row>
    <row r="14507" spans="2:2" x14ac:dyDescent="0.25">
      <c r="B14507" s="11"/>
    </row>
    <row r="14508" spans="2:2" x14ac:dyDescent="0.25">
      <c r="B14508" s="11"/>
    </row>
    <row r="14509" spans="2:2" x14ac:dyDescent="0.25">
      <c r="B14509" s="11"/>
    </row>
    <row r="14510" spans="2:2" x14ac:dyDescent="0.25">
      <c r="B14510" s="11"/>
    </row>
    <row r="14511" spans="2:2" x14ac:dyDescent="0.25">
      <c r="B14511" s="11"/>
    </row>
    <row r="14512" spans="2:2" x14ac:dyDescent="0.25">
      <c r="B14512" s="11"/>
    </row>
    <row r="14513" spans="2:2" x14ac:dyDescent="0.25">
      <c r="B14513" s="11"/>
    </row>
    <row r="14514" spans="2:2" x14ac:dyDescent="0.25">
      <c r="B14514" s="11"/>
    </row>
    <row r="14515" spans="2:2" x14ac:dyDescent="0.25">
      <c r="B14515" s="11"/>
    </row>
    <row r="14516" spans="2:2" x14ac:dyDescent="0.25">
      <c r="B14516" s="11"/>
    </row>
    <row r="14517" spans="2:2" x14ac:dyDescent="0.25">
      <c r="B14517" s="11"/>
    </row>
    <row r="14518" spans="2:2" x14ac:dyDescent="0.25">
      <c r="B14518" s="11"/>
    </row>
    <row r="14519" spans="2:2" x14ac:dyDescent="0.25">
      <c r="B14519" s="11"/>
    </row>
    <row r="14520" spans="2:2" x14ac:dyDescent="0.25">
      <c r="B14520" s="11"/>
    </row>
    <row r="14521" spans="2:2" x14ac:dyDescent="0.25">
      <c r="B14521" s="11"/>
    </row>
    <row r="14522" spans="2:2" x14ac:dyDescent="0.25">
      <c r="B14522" s="11"/>
    </row>
    <row r="14523" spans="2:2" x14ac:dyDescent="0.25">
      <c r="B14523" s="11"/>
    </row>
    <row r="14524" spans="2:2" x14ac:dyDescent="0.25">
      <c r="B14524" s="11"/>
    </row>
    <row r="14525" spans="2:2" x14ac:dyDescent="0.25">
      <c r="B14525" s="11"/>
    </row>
    <row r="14526" spans="2:2" x14ac:dyDescent="0.25">
      <c r="B14526" s="11"/>
    </row>
    <row r="14527" spans="2:2" x14ac:dyDescent="0.25">
      <c r="B14527" s="11"/>
    </row>
    <row r="14528" spans="2:2" x14ac:dyDescent="0.25">
      <c r="B14528" s="11"/>
    </row>
    <row r="14529" spans="2:2" x14ac:dyDescent="0.25">
      <c r="B14529" s="11"/>
    </row>
    <row r="14530" spans="2:2" x14ac:dyDescent="0.25">
      <c r="B14530" s="11"/>
    </row>
    <row r="14531" spans="2:2" x14ac:dyDescent="0.25">
      <c r="B14531" s="11"/>
    </row>
    <row r="14532" spans="2:2" x14ac:dyDescent="0.25">
      <c r="B14532" s="11"/>
    </row>
    <row r="14533" spans="2:2" x14ac:dyDescent="0.25">
      <c r="B14533" s="11"/>
    </row>
    <row r="14534" spans="2:2" x14ac:dyDescent="0.25">
      <c r="B14534" s="11"/>
    </row>
    <row r="14535" spans="2:2" x14ac:dyDescent="0.25">
      <c r="B14535" s="11"/>
    </row>
    <row r="14536" spans="2:2" x14ac:dyDescent="0.25">
      <c r="B14536" s="11"/>
    </row>
    <row r="14537" spans="2:2" x14ac:dyDescent="0.25">
      <c r="B14537" s="11"/>
    </row>
    <row r="14538" spans="2:2" x14ac:dyDescent="0.25">
      <c r="B14538" s="11"/>
    </row>
    <row r="14539" spans="2:2" x14ac:dyDescent="0.25">
      <c r="B14539" s="11"/>
    </row>
    <row r="14540" spans="2:2" x14ac:dyDescent="0.25">
      <c r="B14540" s="11"/>
    </row>
    <row r="14541" spans="2:2" x14ac:dyDescent="0.25">
      <c r="B14541" s="11"/>
    </row>
    <row r="14542" spans="2:2" x14ac:dyDescent="0.25">
      <c r="B14542" s="11"/>
    </row>
    <row r="14543" spans="2:2" x14ac:dyDescent="0.25">
      <c r="B14543" s="11"/>
    </row>
    <row r="14544" spans="2:2" x14ac:dyDescent="0.25">
      <c r="B14544" s="11"/>
    </row>
    <row r="14545" spans="2:2" x14ac:dyDescent="0.25">
      <c r="B14545" s="11"/>
    </row>
    <row r="14546" spans="2:2" x14ac:dyDescent="0.25">
      <c r="B14546" s="11"/>
    </row>
    <row r="14547" spans="2:2" x14ac:dyDescent="0.25">
      <c r="B14547" s="11"/>
    </row>
    <row r="14548" spans="2:2" x14ac:dyDescent="0.25">
      <c r="B14548" s="11"/>
    </row>
    <row r="14549" spans="2:2" x14ac:dyDescent="0.25">
      <c r="B14549" s="11"/>
    </row>
    <row r="14550" spans="2:2" x14ac:dyDescent="0.25">
      <c r="B14550" s="11"/>
    </row>
    <row r="14551" spans="2:2" x14ac:dyDescent="0.25">
      <c r="B14551" s="11"/>
    </row>
    <row r="14552" spans="2:2" x14ac:dyDescent="0.25">
      <c r="B14552" s="11"/>
    </row>
    <row r="14553" spans="2:2" x14ac:dyDescent="0.25">
      <c r="B14553" s="11"/>
    </row>
    <row r="14554" spans="2:2" x14ac:dyDescent="0.25">
      <c r="B14554" s="11"/>
    </row>
    <row r="14555" spans="2:2" x14ac:dyDescent="0.25">
      <c r="B14555" s="11"/>
    </row>
    <row r="14556" spans="2:2" x14ac:dyDescent="0.25">
      <c r="B14556" s="11"/>
    </row>
    <row r="14557" spans="2:2" x14ac:dyDescent="0.25">
      <c r="B14557" s="11"/>
    </row>
    <row r="14558" spans="2:2" x14ac:dyDescent="0.25">
      <c r="B14558" s="11"/>
    </row>
    <row r="14559" spans="2:2" x14ac:dyDescent="0.25">
      <c r="B14559" s="11"/>
    </row>
    <row r="14560" spans="2:2" x14ac:dyDescent="0.25">
      <c r="B14560" s="11"/>
    </row>
    <row r="14561" spans="2:2" x14ac:dyDescent="0.25">
      <c r="B14561" s="11"/>
    </row>
    <row r="14562" spans="2:2" x14ac:dyDescent="0.25">
      <c r="B14562" s="11"/>
    </row>
    <row r="14563" spans="2:2" x14ac:dyDescent="0.25">
      <c r="B14563" s="11"/>
    </row>
    <row r="14564" spans="2:2" x14ac:dyDescent="0.25">
      <c r="B14564" s="11"/>
    </row>
    <row r="14565" spans="2:2" x14ac:dyDescent="0.25">
      <c r="B14565" s="11"/>
    </row>
    <row r="14566" spans="2:2" x14ac:dyDescent="0.25">
      <c r="B14566" s="11"/>
    </row>
    <row r="14567" spans="2:2" x14ac:dyDescent="0.25">
      <c r="B14567" s="11"/>
    </row>
    <row r="14568" spans="2:2" x14ac:dyDescent="0.25">
      <c r="B14568" s="11"/>
    </row>
    <row r="14569" spans="2:2" x14ac:dyDescent="0.25">
      <c r="B14569" s="11"/>
    </row>
    <row r="14570" spans="2:2" x14ac:dyDescent="0.25">
      <c r="B14570" s="11"/>
    </row>
    <row r="14571" spans="2:2" x14ac:dyDescent="0.25">
      <c r="B14571" s="11"/>
    </row>
    <row r="14572" spans="2:2" x14ac:dyDescent="0.25">
      <c r="B14572" s="11"/>
    </row>
    <row r="14573" spans="2:2" x14ac:dyDescent="0.25">
      <c r="B14573" s="11"/>
    </row>
    <row r="14574" spans="2:2" x14ac:dyDescent="0.25">
      <c r="B14574" s="11"/>
    </row>
    <row r="14575" spans="2:2" x14ac:dyDescent="0.25">
      <c r="B14575" s="11"/>
    </row>
    <row r="14576" spans="2:2" x14ac:dyDescent="0.25">
      <c r="B14576" s="11"/>
    </row>
    <row r="14577" spans="2:2" x14ac:dyDescent="0.25">
      <c r="B14577" s="11"/>
    </row>
    <row r="14578" spans="2:2" x14ac:dyDescent="0.25">
      <c r="B14578" s="11"/>
    </row>
    <row r="14579" spans="2:2" x14ac:dyDescent="0.25">
      <c r="B14579" s="11"/>
    </row>
    <row r="14580" spans="2:2" x14ac:dyDescent="0.25">
      <c r="B14580" s="11"/>
    </row>
    <row r="14581" spans="2:2" x14ac:dyDescent="0.25">
      <c r="B14581" s="11"/>
    </row>
    <row r="14582" spans="2:2" x14ac:dyDescent="0.25">
      <c r="B14582" s="11"/>
    </row>
    <row r="14583" spans="2:2" x14ac:dyDescent="0.25">
      <c r="B14583" s="11"/>
    </row>
    <row r="14584" spans="2:2" x14ac:dyDescent="0.25">
      <c r="B14584" s="11"/>
    </row>
    <row r="14585" spans="2:2" x14ac:dyDescent="0.25">
      <c r="B14585" s="11"/>
    </row>
    <row r="14586" spans="2:2" x14ac:dyDescent="0.25">
      <c r="B14586" s="11"/>
    </row>
    <row r="14587" spans="2:2" x14ac:dyDescent="0.25">
      <c r="B14587" s="11"/>
    </row>
    <row r="14588" spans="2:2" x14ac:dyDescent="0.25">
      <c r="B14588" s="11"/>
    </row>
    <row r="14589" spans="2:2" x14ac:dyDescent="0.25">
      <c r="B14589" s="11"/>
    </row>
    <row r="14590" spans="2:2" x14ac:dyDescent="0.25">
      <c r="B14590" s="11"/>
    </row>
    <row r="14591" spans="2:2" x14ac:dyDescent="0.25">
      <c r="B14591" s="11"/>
    </row>
    <row r="14592" spans="2:2" x14ac:dyDescent="0.25">
      <c r="B14592" s="11"/>
    </row>
    <row r="14593" spans="2:2" x14ac:dyDescent="0.25">
      <c r="B14593" s="11"/>
    </row>
    <row r="14594" spans="2:2" x14ac:dyDescent="0.25">
      <c r="B14594" s="11"/>
    </row>
    <row r="14595" spans="2:2" x14ac:dyDescent="0.25">
      <c r="B14595" s="11"/>
    </row>
    <row r="14596" spans="2:2" x14ac:dyDescent="0.25">
      <c r="B14596" s="11"/>
    </row>
    <row r="14597" spans="2:2" x14ac:dyDescent="0.25">
      <c r="B14597" s="11"/>
    </row>
    <row r="14598" spans="2:2" x14ac:dyDescent="0.25">
      <c r="B14598" s="11"/>
    </row>
    <row r="14599" spans="2:2" x14ac:dyDescent="0.25">
      <c r="B14599" s="11"/>
    </row>
    <row r="14600" spans="2:2" x14ac:dyDescent="0.25">
      <c r="B14600" s="11"/>
    </row>
    <row r="14601" spans="2:2" x14ac:dyDescent="0.25">
      <c r="B14601" s="11"/>
    </row>
    <row r="14602" spans="2:2" x14ac:dyDescent="0.25">
      <c r="B14602" s="11"/>
    </row>
    <row r="14603" spans="2:2" x14ac:dyDescent="0.25">
      <c r="B14603" s="11"/>
    </row>
    <row r="14604" spans="2:2" x14ac:dyDescent="0.25">
      <c r="B14604" s="11"/>
    </row>
    <row r="14605" spans="2:2" x14ac:dyDescent="0.25">
      <c r="B14605" s="11"/>
    </row>
    <row r="14606" spans="2:2" x14ac:dyDescent="0.25">
      <c r="B14606" s="11"/>
    </row>
    <row r="14607" spans="2:2" x14ac:dyDescent="0.25">
      <c r="B14607" s="11"/>
    </row>
    <row r="14608" spans="2:2" x14ac:dyDescent="0.25">
      <c r="B14608" s="11"/>
    </row>
    <row r="14609" spans="2:2" x14ac:dyDescent="0.25">
      <c r="B14609" s="11"/>
    </row>
    <row r="14610" spans="2:2" x14ac:dyDescent="0.25">
      <c r="B14610" s="11"/>
    </row>
    <row r="14611" spans="2:2" x14ac:dyDescent="0.25">
      <c r="B14611" s="11"/>
    </row>
    <row r="14612" spans="2:2" x14ac:dyDescent="0.25">
      <c r="B14612" s="11"/>
    </row>
    <row r="14613" spans="2:2" x14ac:dyDescent="0.25">
      <c r="B14613" s="11"/>
    </row>
    <row r="14614" spans="2:2" x14ac:dyDescent="0.25">
      <c r="B14614" s="11"/>
    </row>
    <row r="14615" spans="2:2" x14ac:dyDescent="0.25">
      <c r="B14615" s="11"/>
    </row>
    <row r="14616" spans="2:2" x14ac:dyDescent="0.25">
      <c r="B14616" s="11"/>
    </row>
    <row r="14617" spans="2:2" x14ac:dyDescent="0.25">
      <c r="B14617" s="11"/>
    </row>
    <row r="14618" spans="2:2" x14ac:dyDescent="0.25">
      <c r="B14618" s="11"/>
    </row>
    <row r="14619" spans="2:2" x14ac:dyDescent="0.25">
      <c r="B14619" s="11"/>
    </row>
    <row r="14620" spans="2:2" x14ac:dyDescent="0.25">
      <c r="B14620" s="11"/>
    </row>
    <row r="14621" spans="2:2" x14ac:dyDescent="0.25">
      <c r="B14621" s="11"/>
    </row>
    <row r="14622" spans="2:2" x14ac:dyDescent="0.25">
      <c r="B14622" s="11"/>
    </row>
    <row r="14623" spans="2:2" x14ac:dyDescent="0.25">
      <c r="B14623" s="11"/>
    </row>
    <row r="14624" spans="2:2" x14ac:dyDescent="0.25">
      <c r="B14624" s="11"/>
    </row>
    <row r="14625" spans="2:2" x14ac:dyDescent="0.25">
      <c r="B14625" s="11"/>
    </row>
    <row r="14626" spans="2:2" x14ac:dyDescent="0.25">
      <c r="B14626" s="11"/>
    </row>
    <row r="14627" spans="2:2" x14ac:dyDescent="0.25">
      <c r="B14627" s="11"/>
    </row>
    <row r="14628" spans="2:2" x14ac:dyDescent="0.25">
      <c r="B14628" s="11"/>
    </row>
    <row r="14629" spans="2:2" x14ac:dyDescent="0.25">
      <c r="B14629" s="11"/>
    </row>
    <row r="14630" spans="2:2" x14ac:dyDescent="0.25">
      <c r="B14630" s="11"/>
    </row>
    <row r="14631" spans="2:2" x14ac:dyDescent="0.25">
      <c r="B14631" s="11"/>
    </row>
    <row r="14632" spans="2:2" x14ac:dyDescent="0.25">
      <c r="B14632" s="11"/>
    </row>
    <row r="14633" spans="2:2" x14ac:dyDescent="0.25">
      <c r="B14633" s="11"/>
    </row>
    <row r="14634" spans="2:2" x14ac:dyDescent="0.25">
      <c r="B14634" s="11"/>
    </row>
    <row r="14635" spans="2:2" x14ac:dyDescent="0.25">
      <c r="B14635" s="11"/>
    </row>
    <row r="14636" spans="2:2" x14ac:dyDescent="0.25">
      <c r="B14636" s="11"/>
    </row>
    <row r="14637" spans="2:2" x14ac:dyDescent="0.25">
      <c r="B14637" s="11"/>
    </row>
    <row r="14638" spans="2:2" x14ac:dyDescent="0.25">
      <c r="B14638" s="11"/>
    </row>
    <row r="14639" spans="2:2" x14ac:dyDescent="0.25">
      <c r="B14639" s="11"/>
    </row>
    <row r="14640" spans="2:2" x14ac:dyDescent="0.25">
      <c r="B14640" s="11"/>
    </row>
    <row r="14641" spans="2:2" x14ac:dyDescent="0.25">
      <c r="B14641" s="11"/>
    </row>
    <row r="14642" spans="2:2" x14ac:dyDescent="0.25">
      <c r="B14642" s="11"/>
    </row>
    <row r="14643" spans="2:2" x14ac:dyDescent="0.25">
      <c r="B14643" s="11"/>
    </row>
    <row r="14644" spans="2:2" x14ac:dyDescent="0.25">
      <c r="B14644" s="11"/>
    </row>
    <row r="14645" spans="2:2" x14ac:dyDescent="0.25">
      <c r="B14645" s="11"/>
    </row>
    <row r="14646" spans="2:2" x14ac:dyDescent="0.25">
      <c r="B14646" s="11"/>
    </row>
    <row r="14647" spans="2:2" x14ac:dyDescent="0.25">
      <c r="B14647" s="11"/>
    </row>
    <row r="14648" spans="2:2" x14ac:dyDescent="0.25">
      <c r="B14648" s="11"/>
    </row>
    <row r="14649" spans="2:2" x14ac:dyDescent="0.25">
      <c r="B14649" s="11"/>
    </row>
    <row r="14650" spans="2:2" x14ac:dyDescent="0.25">
      <c r="B14650" s="11"/>
    </row>
    <row r="14651" spans="2:2" x14ac:dyDescent="0.25">
      <c r="B14651" s="11"/>
    </row>
    <row r="14652" spans="2:2" x14ac:dyDescent="0.25">
      <c r="B14652" s="11"/>
    </row>
    <row r="14653" spans="2:2" x14ac:dyDescent="0.25">
      <c r="B14653" s="11"/>
    </row>
    <row r="14654" spans="2:2" x14ac:dyDescent="0.25">
      <c r="B14654" s="11"/>
    </row>
    <row r="14655" spans="2:2" x14ac:dyDescent="0.25">
      <c r="B14655" s="11"/>
    </row>
    <row r="14656" spans="2:2" x14ac:dyDescent="0.25">
      <c r="B14656" s="11"/>
    </row>
    <row r="14657" spans="2:2" x14ac:dyDescent="0.25">
      <c r="B14657" s="11"/>
    </row>
    <row r="14658" spans="2:2" x14ac:dyDescent="0.25">
      <c r="B14658" s="11"/>
    </row>
    <row r="14659" spans="2:2" x14ac:dyDescent="0.25">
      <c r="B14659" s="11"/>
    </row>
    <row r="14660" spans="2:2" x14ac:dyDescent="0.25">
      <c r="B14660" s="11"/>
    </row>
    <row r="14661" spans="2:2" x14ac:dyDescent="0.25">
      <c r="B14661" s="11"/>
    </row>
    <row r="14662" spans="2:2" x14ac:dyDescent="0.25">
      <c r="B14662" s="11"/>
    </row>
    <row r="14663" spans="2:2" x14ac:dyDescent="0.25">
      <c r="B14663" s="11"/>
    </row>
    <row r="14664" spans="2:2" x14ac:dyDescent="0.25">
      <c r="B14664" s="11"/>
    </row>
    <row r="14665" spans="2:2" x14ac:dyDescent="0.25">
      <c r="B14665" s="11"/>
    </row>
    <row r="14666" spans="2:2" x14ac:dyDescent="0.25">
      <c r="B14666" s="11"/>
    </row>
    <row r="14667" spans="2:2" x14ac:dyDescent="0.25">
      <c r="B14667" s="11"/>
    </row>
    <row r="14668" spans="2:2" x14ac:dyDescent="0.25">
      <c r="B14668" s="11"/>
    </row>
    <row r="14669" spans="2:2" x14ac:dyDescent="0.25">
      <c r="B14669" s="11"/>
    </row>
    <row r="14670" spans="2:2" x14ac:dyDescent="0.25">
      <c r="B14670" s="11"/>
    </row>
    <row r="14671" spans="2:2" x14ac:dyDescent="0.25">
      <c r="B14671" s="11"/>
    </row>
    <row r="14672" spans="2:2" x14ac:dyDescent="0.25">
      <c r="B14672" s="11"/>
    </row>
    <row r="14673" spans="2:2" x14ac:dyDescent="0.25">
      <c r="B14673" s="11"/>
    </row>
    <row r="14674" spans="2:2" x14ac:dyDescent="0.25">
      <c r="B14674" s="11"/>
    </row>
    <row r="14675" spans="2:2" x14ac:dyDescent="0.25">
      <c r="B14675" s="11"/>
    </row>
    <row r="14676" spans="2:2" x14ac:dyDescent="0.25">
      <c r="B14676" s="11"/>
    </row>
    <row r="14677" spans="2:2" x14ac:dyDescent="0.25">
      <c r="B14677" s="11"/>
    </row>
    <row r="14678" spans="2:2" x14ac:dyDescent="0.25">
      <c r="B14678" s="11"/>
    </row>
    <row r="14679" spans="2:2" x14ac:dyDescent="0.25">
      <c r="B14679" s="11"/>
    </row>
    <row r="14680" spans="2:2" x14ac:dyDescent="0.25">
      <c r="B14680" s="11"/>
    </row>
    <row r="14681" spans="2:2" x14ac:dyDescent="0.25">
      <c r="B14681" s="11"/>
    </row>
    <row r="14682" spans="2:2" x14ac:dyDescent="0.25">
      <c r="B14682" s="11"/>
    </row>
    <row r="14683" spans="2:2" x14ac:dyDescent="0.25">
      <c r="B14683" s="11"/>
    </row>
    <row r="14684" spans="2:2" x14ac:dyDescent="0.25">
      <c r="B14684" s="11"/>
    </row>
    <row r="14685" spans="2:2" x14ac:dyDescent="0.25">
      <c r="B14685" s="11"/>
    </row>
    <row r="14686" spans="2:2" x14ac:dyDescent="0.25">
      <c r="B14686" s="11"/>
    </row>
    <row r="14687" spans="2:2" x14ac:dyDescent="0.25">
      <c r="B14687" s="11"/>
    </row>
    <row r="14688" spans="2:2" x14ac:dyDescent="0.25">
      <c r="B14688" s="11"/>
    </row>
    <row r="14689" spans="2:2" x14ac:dyDescent="0.25">
      <c r="B14689" s="11"/>
    </row>
    <row r="14690" spans="2:2" x14ac:dyDescent="0.25">
      <c r="B14690" s="11"/>
    </row>
    <row r="14691" spans="2:2" x14ac:dyDescent="0.25">
      <c r="B14691" s="11"/>
    </row>
    <row r="14692" spans="2:2" x14ac:dyDescent="0.25">
      <c r="B14692" s="11"/>
    </row>
    <row r="14693" spans="2:2" x14ac:dyDescent="0.25">
      <c r="B14693" s="11"/>
    </row>
    <row r="14694" spans="2:2" x14ac:dyDescent="0.25">
      <c r="B14694" s="11"/>
    </row>
    <row r="14695" spans="2:2" x14ac:dyDescent="0.25">
      <c r="B14695" s="11"/>
    </row>
    <row r="14696" spans="2:2" x14ac:dyDescent="0.25">
      <c r="B14696" s="11"/>
    </row>
    <row r="14697" spans="2:2" x14ac:dyDescent="0.25">
      <c r="B14697" s="11"/>
    </row>
    <row r="14698" spans="2:2" x14ac:dyDescent="0.25">
      <c r="B14698" s="11"/>
    </row>
    <row r="14699" spans="2:2" x14ac:dyDescent="0.25">
      <c r="B14699" s="11"/>
    </row>
    <row r="14700" spans="2:2" x14ac:dyDescent="0.25">
      <c r="B14700" s="11"/>
    </row>
    <row r="14701" spans="2:2" x14ac:dyDescent="0.25">
      <c r="B14701" s="11"/>
    </row>
    <row r="14702" spans="2:2" x14ac:dyDescent="0.25">
      <c r="B14702" s="11"/>
    </row>
    <row r="14703" spans="2:2" x14ac:dyDescent="0.25">
      <c r="B14703" s="11"/>
    </row>
    <row r="14704" spans="2:2" x14ac:dyDescent="0.25">
      <c r="B14704" s="11"/>
    </row>
    <row r="14705" spans="2:2" x14ac:dyDescent="0.25">
      <c r="B14705" s="11"/>
    </row>
    <row r="14706" spans="2:2" x14ac:dyDescent="0.25">
      <c r="B14706" s="11"/>
    </row>
    <row r="14707" spans="2:2" x14ac:dyDescent="0.25">
      <c r="B14707" s="11"/>
    </row>
    <row r="14708" spans="2:2" x14ac:dyDescent="0.25">
      <c r="B14708" s="11"/>
    </row>
    <row r="14709" spans="2:2" x14ac:dyDescent="0.25">
      <c r="B14709" s="11"/>
    </row>
    <row r="14710" spans="2:2" x14ac:dyDescent="0.25">
      <c r="B14710" s="11"/>
    </row>
    <row r="14711" spans="2:2" x14ac:dyDescent="0.25">
      <c r="B14711" s="11"/>
    </row>
    <row r="14712" spans="2:2" x14ac:dyDescent="0.25">
      <c r="B14712" s="11"/>
    </row>
    <row r="14713" spans="2:2" x14ac:dyDescent="0.25">
      <c r="B14713" s="11"/>
    </row>
    <row r="14714" spans="2:2" x14ac:dyDescent="0.25">
      <c r="B14714" s="11"/>
    </row>
    <row r="14715" spans="2:2" x14ac:dyDescent="0.25">
      <c r="B14715" s="11"/>
    </row>
    <row r="14716" spans="2:2" x14ac:dyDescent="0.25">
      <c r="B14716" s="11"/>
    </row>
    <row r="14717" spans="2:2" x14ac:dyDescent="0.25">
      <c r="B14717" s="11"/>
    </row>
    <row r="14718" spans="2:2" x14ac:dyDescent="0.25">
      <c r="B14718" s="11"/>
    </row>
    <row r="14719" spans="2:2" x14ac:dyDescent="0.25">
      <c r="B14719" s="11"/>
    </row>
    <row r="14720" spans="2:2" x14ac:dyDescent="0.25">
      <c r="B14720" s="11"/>
    </row>
    <row r="14721" spans="2:2" x14ac:dyDescent="0.25">
      <c r="B14721" s="11"/>
    </row>
    <row r="14722" spans="2:2" x14ac:dyDescent="0.25">
      <c r="B14722" s="11"/>
    </row>
    <row r="14723" spans="2:2" x14ac:dyDescent="0.25">
      <c r="B14723" s="11"/>
    </row>
    <row r="14724" spans="2:2" x14ac:dyDescent="0.25">
      <c r="B14724" s="11"/>
    </row>
    <row r="14725" spans="2:2" x14ac:dyDescent="0.25">
      <c r="B14725" s="11"/>
    </row>
    <row r="14726" spans="2:2" x14ac:dyDescent="0.25">
      <c r="B14726" s="11"/>
    </row>
    <row r="14727" spans="2:2" x14ac:dyDescent="0.25">
      <c r="B14727" s="11"/>
    </row>
    <row r="14728" spans="2:2" x14ac:dyDescent="0.25">
      <c r="B14728" s="11"/>
    </row>
    <row r="14729" spans="2:2" x14ac:dyDescent="0.25">
      <c r="B14729" s="11"/>
    </row>
    <row r="14730" spans="2:2" x14ac:dyDescent="0.25">
      <c r="B14730" s="11"/>
    </row>
    <row r="14731" spans="2:2" x14ac:dyDescent="0.25">
      <c r="B14731" s="11"/>
    </row>
    <row r="14732" spans="2:2" x14ac:dyDescent="0.25">
      <c r="B14732" s="11"/>
    </row>
    <row r="14733" spans="2:2" x14ac:dyDescent="0.25">
      <c r="B14733" s="11"/>
    </row>
    <row r="14734" spans="2:2" x14ac:dyDescent="0.25">
      <c r="B14734" s="11"/>
    </row>
    <row r="14735" spans="2:2" x14ac:dyDescent="0.25">
      <c r="B14735" s="11"/>
    </row>
    <row r="14736" spans="2:2" x14ac:dyDescent="0.25">
      <c r="B14736" s="11"/>
    </row>
    <row r="14737" spans="2:2" x14ac:dyDescent="0.25">
      <c r="B14737" s="11"/>
    </row>
    <row r="14738" spans="2:2" x14ac:dyDescent="0.25">
      <c r="B14738" s="11"/>
    </row>
    <row r="14739" spans="2:2" x14ac:dyDescent="0.25">
      <c r="B14739" s="11"/>
    </row>
    <row r="14740" spans="2:2" x14ac:dyDescent="0.25">
      <c r="B14740" s="11"/>
    </row>
    <row r="14741" spans="2:2" x14ac:dyDescent="0.25">
      <c r="B14741" s="11"/>
    </row>
    <row r="14742" spans="2:2" x14ac:dyDescent="0.25">
      <c r="B14742" s="11"/>
    </row>
    <row r="14743" spans="2:2" x14ac:dyDescent="0.25">
      <c r="B14743" s="11"/>
    </row>
    <row r="14744" spans="2:2" x14ac:dyDescent="0.25">
      <c r="B14744" s="11"/>
    </row>
    <row r="14745" spans="2:2" x14ac:dyDescent="0.25">
      <c r="B14745" s="11"/>
    </row>
    <row r="14746" spans="2:2" x14ac:dyDescent="0.25">
      <c r="B14746" s="11"/>
    </row>
    <row r="14747" spans="2:2" x14ac:dyDescent="0.25">
      <c r="B14747" s="11"/>
    </row>
    <row r="14748" spans="2:2" x14ac:dyDescent="0.25">
      <c r="B14748" s="11"/>
    </row>
    <row r="14749" spans="2:2" x14ac:dyDescent="0.25">
      <c r="B14749" s="11"/>
    </row>
    <row r="14750" spans="2:2" x14ac:dyDescent="0.25">
      <c r="B14750" s="11"/>
    </row>
    <row r="14751" spans="2:2" x14ac:dyDescent="0.25">
      <c r="B14751" s="11"/>
    </row>
    <row r="14752" spans="2:2" x14ac:dyDescent="0.25">
      <c r="B14752" s="11"/>
    </row>
    <row r="14753" spans="2:2" x14ac:dyDescent="0.25">
      <c r="B14753" s="11"/>
    </row>
    <row r="14754" spans="2:2" x14ac:dyDescent="0.25">
      <c r="B14754" s="11"/>
    </row>
    <row r="14755" spans="2:2" x14ac:dyDescent="0.25">
      <c r="B14755" s="11"/>
    </row>
    <row r="14756" spans="2:2" x14ac:dyDescent="0.25">
      <c r="B14756" s="11"/>
    </row>
    <row r="14757" spans="2:2" x14ac:dyDescent="0.25">
      <c r="B14757" s="11"/>
    </row>
    <row r="14758" spans="2:2" x14ac:dyDescent="0.25">
      <c r="B14758" s="11"/>
    </row>
    <row r="14759" spans="2:2" x14ac:dyDescent="0.25">
      <c r="B14759" s="11"/>
    </row>
    <row r="14760" spans="2:2" x14ac:dyDescent="0.25">
      <c r="B14760" s="11"/>
    </row>
    <row r="14761" spans="2:2" x14ac:dyDescent="0.25">
      <c r="B14761" s="11"/>
    </row>
    <row r="14762" spans="2:2" x14ac:dyDescent="0.25">
      <c r="B14762" s="11"/>
    </row>
    <row r="14763" spans="2:2" x14ac:dyDescent="0.25">
      <c r="B14763" s="11"/>
    </row>
    <row r="14764" spans="2:2" x14ac:dyDescent="0.25">
      <c r="B14764" s="11"/>
    </row>
    <row r="14765" spans="2:2" x14ac:dyDescent="0.25">
      <c r="B14765" s="11"/>
    </row>
    <row r="14766" spans="2:2" x14ac:dyDescent="0.25">
      <c r="B14766" s="11"/>
    </row>
    <row r="14767" spans="2:2" x14ac:dyDescent="0.25">
      <c r="B14767" s="11"/>
    </row>
    <row r="14768" spans="2:2" x14ac:dyDescent="0.25">
      <c r="B14768" s="11"/>
    </row>
    <row r="14769" spans="2:2" x14ac:dyDescent="0.25">
      <c r="B14769" s="11"/>
    </row>
    <row r="14770" spans="2:2" x14ac:dyDescent="0.25">
      <c r="B14770" s="11"/>
    </row>
    <row r="14771" spans="2:2" x14ac:dyDescent="0.25">
      <c r="B14771" s="11"/>
    </row>
    <row r="14772" spans="2:2" x14ac:dyDescent="0.25">
      <c r="B14772" s="11"/>
    </row>
    <row r="14773" spans="2:2" x14ac:dyDescent="0.25">
      <c r="B14773" s="11"/>
    </row>
    <row r="14774" spans="2:2" x14ac:dyDescent="0.25">
      <c r="B14774" s="11"/>
    </row>
    <row r="14775" spans="2:2" x14ac:dyDescent="0.25">
      <c r="B14775" s="11"/>
    </row>
    <row r="14776" spans="2:2" x14ac:dyDescent="0.25">
      <c r="B14776" s="11"/>
    </row>
    <row r="14777" spans="2:2" x14ac:dyDescent="0.25">
      <c r="B14777" s="11"/>
    </row>
    <row r="14778" spans="2:2" x14ac:dyDescent="0.25">
      <c r="B14778" s="11"/>
    </row>
    <row r="14779" spans="2:2" x14ac:dyDescent="0.25">
      <c r="B14779" s="11"/>
    </row>
    <row r="14780" spans="2:2" x14ac:dyDescent="0.25">
      <c r="B14780" s="11"/>
    </row>
    <row r="14781" spans="2:2" x14ac:dyDescent="0.25">
      <c r="B14781" s="11"/>
    </row>
    <row r="14782" spans="2:2" x14ac:dyDescent="0.25">
      <c r="B14782" s="11"/>
    </row>
    <row r="14783" spans="2:2" x14ac:dyDescent="0.25">
      <c r="B14783" s="11"/>
    </row>
    <row r="14784" spans="2:2" x14ac:dyDescent="0.25">
      <c r="B14784" s="11"/>
    </row>
    <row r="14785" spans="2:2" x14ac:dyDescent="0.25">
      <c r="B14785" s="11"/>
    </row>
    <row r="14786" spans="2:2" x14ac:dyDescent="0.25">
      <c r="B14786" s="11"/>
    </row>
    <row r="14787" spans="2:2" x14ac:dyDescent="0.25">
      <c r="B14787" s="11"/>
    </row>
    <row r="14788" spans="2:2" x14ac:dyDescent="0.25">
      <c r="B14788" s="11"/>
    </row>
    <row r="14789" spans="2:2" x14ac:dyDescent="0.25">
      <c r="B14789" s="11"/>
    </row>
    <row r="14790" spans="2:2" x14ac:dyDescent="0.25">
      <c r="B14790" s="11"/>
    </row>
    <row r="14791" spans="2:2" x14ac:dyDescent="0.25">
      <c r="B14791" s="11"/>
    </row>
    <row r="14792" spans="2:2" x14ac:dyDescent="0.25">
      <c r="B14792" s="11"/>
    </row>
    <row r="14793" spans="2:2" x14ac:dyDescent="0.25">
      <c r="B14793" s="11"/>
    </row>
    <row r="14794" spans="2:2" x14ac:dyDescent="0.25">
      <c r="B14794" s="11"/>
    </row>
    <row r="14795" spans="2:2" x14ac:dyDescent="0.25">
      <c r="B14795" s="11"/>
    </row>
    <row r="14796" spans="2:2" x14ac:dyDescent="0.25">
      <c r="B14796" s="11"/>
    </row>
    <row r="14797" spans="2:2" x14ac:dyDescent="0.25">
      <c r="B14797" s="11"/>
    </row>
    <row r="14798" spans="2:2" x14ac:dyDescent="0.25">
      <c r="B14798" s="11"/>
    </row>
    <row r="14799" spans="2:2" x14ac:dyDescent="0.25">
      <c r="B14799" s="11"/>
    </row>
    <row r="14800" spans="2:2" x14ac:dyDescent="0.25">
      <c r="B14800" s="11"/>
    </row>
    <row r="14801" spans="2:2" x14ac:dyDescent="0.25">
      <c r="B14801" s="11"/>
    </row>
    <row r="14802" spans="2:2" x14ac:dyDescent="0.25">
      <c r="B14802" s="11"/>
    </row>
    <row r="14803" spans="2:2" x14ac:dyDescent="0.25">
      <c r="B14803" s="11"/>
    </row>
    <row r="14804" spans="2:2" x14ac:dyDescent="0.25">
      <c r="B14804" s="11"/>
    </row>
    <row r="14805" spans="2:2" x14ac:dyDescent="0.25">
      <c r="B14805" s="11"/>
    </row>
    <row r="14806" spans="2:2" x14ac:dyDescent="0.25">
      <c r="B14806" s="11"/>
    </row>
    <row r="14807" spans="2:2" x14ac:dyDescent="0.25">
      <c r="B14807" s="11"/>
    </row>
    <row r="14808" spans="2:2" x14ac:dyDescent="0.25">
      <c r="B14808" s="11"/>
    </row>
    <row r="14809" spans="2:2" x14ac:dyDescent="0.25">
      <c r="B14809" s="11"/>
    </row>
    <row r="14810" spans="2:2" x14ac:dyDescent="0.25">
      <c r="B14810" s="11"/>
    </row>
    <row r="14811" spans="2:2" x14ac:dyDescent="0.25">
      <c r="B14811" s="11"/>
    </row>
    <row r="14812" spans="2:2" x14ac:dyDescent="0.25">
      <c r="B14812" s="11"/>
    </row>
    <row r="14813" spans="2:2" x14ac:dyDescent="0.25">
      <c r="B14813" s="11"/>
    </row>
    <row r="14814" spans="2:2" x14ac:dyDescent="0.25">
      <c r="B14814" s="11"/>
    </row>
    <row r="14815" spans="2:2" x14ac:dyDescent="0.25">
      <c r="B14815" s="11"/>
    </row>
    <row r="14816" spans="2:2" x14ac:dyDescent="0.25">
      <c r="B14816" s="11"/>
    </row>
    <row r="14817" spans="2:2" x14ac:dyDescent="0.25">
      <c r="B14817" s="11"/>
    </row>
    <row r="14818" spans="2:2" x14ac:dyDescent="0.25">
      <c r="B14818" s="11"/>
    </row>
    <row r="14819" spans="2:2" x14ac:dyDescent="0.25">
      <c r="B14819" s="11"/>
    </row>
    <row r="14820" spans="2:2" x14ac:dyDescent="0.25">
      <c r="B14820" s="11"/>
    </row>
    <row r="14821" spans="2:2" x14ac:dyDescent="0.25">
      <c r="B14821" s="11"/>
    </row>
    <row r="14822" spans="2:2" x14ac:dyDescent="0.25">
      <c r="B14822" s="11"/>
    </row>
    <row r="14823" spans="2:2" x14ac:dyDescent="0.25">
      <c r="B14823" s="11"/>
    </row>
    <row r="14824" spans="2:2" x14ac:dyDescent="0.25">
      <c r="B14824" s="11"/>
    </row>
    <row r="14825" spans="2:2" x14ac:dyDescent="0.25">
      <c r="B14825" s="11"/>
    </row>
    <row r="14826" spans="2:2" x14ac:dyDescent="0.25">
      <c r="B14826" s="11"/>
    </row>
    <row r="14827" spans="2:2" x14ac:dyDescent="0.25">
      <c r="B14827" s="11"/>
    </row>
    <row r="14828" spans="2:2" x14ac:dyDescent="0.25">
      <c r="B14828" s="11"/>
    </row>
    <row r="14829" spans="2:2" x14ac:dyDescent="0.25">
      <c r="B14829" s="11"/>
    </row>
    <row r="14830" spans="2:2" x14ac:dyDescent="0.25">
      <c r="B14830" s="11"/>
    </row>
    <row r="14831" spans="2:2" x14ac:dyDescent="0.25">
      <c r="B14831" s="11"/>
    </row>
    <row r="14832" spans="2:2" x14ac:dyDescent="0.25">
      <c r="B14832" s="11"/>
    </row>
    <row r="14833" spans="2:2" x14ac:dyDescent="0.25">
      <c r="B14833" s="11"/>
    </row>
    <row r="14834" spans="2:2" x14ac:dyDescent="0.25">
      <c r="B14834" s="11"/>
    </row>
    <row r="14835" spans="2:2" x14ac:dyDescent="0.25">
      <c r="B14835" s="11"/>
    </row>
    <row r="14836" spans="2:2" x14ac:dyDescent="0.25">
      <c r="B14836" s="11"/>
    </row>
    <row r="14837" spans="2:2" x14ac:dyDescent="0.25">
      <c r="B14837" s="11"/>
    </row>
    <row r="14838" spans="2:2" x14ac:dyDescent="0.25">
      <c r="B14838" s="11"/>
    </row>
    <row r="14839" spans="2:2" x14ac:dyDescent="0.25">
      <c r="B14839" s="11"/>
    </row>
    <row r="14840" spans="2:2" x14ac:dyDescent="0.25">
      <c r="B14840" s="11"/>
    </row>
    <row r="14841" spans="2:2" x14ac:dyDescent="0.25">
      <c r="B14841" s="11"/>
    </row>
    <row r="14842" spans="2:2" x14ac:dyDescent="0.25">
      <c r="B14842" s="11"/>
    </row>
    <row r="14843" spans="2:2" x14ac:dyDescent="0.25">
      <c r="B14843" s="11"/>
    </row>
    <row r="14844" spans="2:2" x14ac:dyDescent="0.25">
      <c r="B14844" s="11"/>
    </row>
    <row r="14845" spans="2:2" x14ac:dyDescent="0.25">
      <c r="B14845" s="11"/>
    </row>
    <row r="14846" spans="2:2" x14ac:dyDescent="0.25">
      <c r="B14846" s="11"/>
    </row>
    <row r="14847" spans="2:2" x14ac:dyDescent="0.25">
      <c r="B14847" s="11"/>
    </row>
    <row r="14848" spans="2:2" x14ac:dyDescent="0.25">
      <c r="B14848" s="11"/>
    </row>
    <row r="14849" spans="2:2" x14ac:dyDescent="0.25">
      <c r="B14849" s="11"/>
    </row>
    <row r="14850" spans="2:2" x14ac:dyDescent="0.25">
      <c r="B14850" s="11"/>
    </row>
    <row r="14851" spans="2:2" x14ac:dyDescent="0.25">
      <c r="B14851" s="11"/>
    </row>
    <row r="14852" spans="2:2" x14ac:dyDescent="0.25">
      <c r="B14852" s="11"/>
    </row>
    <row r="14853" spans="2:2" x14ac:dyDescent="0.25">
      <c r="B14853" s="11"/>
    </row>
    <row r="14854" spans="2:2" x14ac:dyDescent="0.25">
      <c r="B14854" s="11"/>
    </row>
    <row r="14855" spans="2:2" x14ac:dyDescent="0.25">
      <c r="B14855" s="11"/>
    </row>
    <row r="14856" spans="2:2" x14ac:dyDescent="0.25">
      <c r="B14856" s="11"/>
    </row>
    <row r="14857" spans="2:2" x14ac:dyDescent="0.25">
      <c r="B14857" s="11"/>
    </row>
    <row r="14858" spans="2:2" x14ac:dyDescent="0.25">
      <c r="B14858" s="11"/>
    </row>
    <row r="14859" spans="2:2" x14ac:dyDescent="0.25">
      <c r="B14859" s="11"/>
    </row>
    <row r="14860" spans="2:2" x14ac:dyDescent="0.25">
      <c r="B14860" s="11"/>
    </row>
    <row r="14861" spans="2:2" x14ac:dyDescent="0.25">
      <c r="B14861" s="11"/>
    </row>
    <row r="14862" spans="2:2" x14ac:dyDescent="0.25">
      <c r="B14862" s="11"/>
    </row>
    <row r="14863" spans="2:2" x14ac:dyDescent="0.25">
      <c r="B14863" s="11"/>
    </row>
    <row r="14864" spans="2:2" x14ac:dyDescent="0.25">
      <c r="B14864" s="11"/>
    </row>
    <row r="14865" spans="2:2" x14ac:dyDescent="0.25">
      <c r="B14865" s="11"/>
    </row>
    <row r="14866" spans="2:2" x14ac:dyDescent="0.25">
      <c r="B14866" s="11"/>
    </row>
    <row r="14867" spans="2:2" x14ac:dyDescent="0.25">
      <c r="B14867" s="11"/>
    </row>
    <row r="14868" spans="2:2" x14ac:dyDescent="0.25">
      <c r="B14868" s="11"/>
    </row>
    <row r="14869" spans="2:2" x14ac:dyDescent="0.25">
      <c r="B14869" s="11"/>
    </row>
    <row r="14870" spans="2:2" x14ac:dyDescent="0.25">
      <c r="B14870" s="11"/>
    </row>
    <row r="14871" spans="2:2" x14ac:dyDescent="0.25">
      <c r="B14871" s="11"/>
    </row>
    <row r="14872" spans="2:2" x14ac:dyDescent="0.25">
      <c r="B14872" s="11"/>
    </row>
    <row r="14873" spans="2:2" x14ac:dyDescent="0.25">
      <c r="B14873" s="11"/>
    </row>
    <row r="14874" spans="2:2" x14ac:dyDescent="0.25">
      <c r="B14874" s="11"/>
    </row>
    <row r="14875" spans="2:2" x14ac:dyDescent="0.25">
      <c r="B14875" s="11"/>
    </row>
    <row r="14876" spans="2:2" x14ac:dyDescent="0.25">
      <c r="B14876" s="11"/>
    </row>
    <row r="14877" spans="2:2" x14ac:dyDescent="0.25">
      <c r="B14877" s="11"/>
    </row>
    <row r="14878" spans="2:2" x14ac:dyDescent="0.25">
      <c r="B14878" s="11"/>
    </row>
    <row r="14879" spans="2:2" x14ac:dyDescent="0.25">
      <c r="B14879" s="11"/>
    </row>
    <row r="14880" spans="2:2" x14ac:dyDescent="0.25">
      <c r="B14880" s="11"/>
    </row>
    <row r="14881" spans="2:2" x14ac:dyDescent="0.25">
      <c r="B14881" s="11"/>
    </row>
    <row r="14882" spans="2:2" x14ac:dyDescent="0.25">
      <c r="B14882" s="11"/>
    </row>
    <row r="14883" spans="2:2" x14ac:dyDescent="0.25">
      <c r="B14883" s="11"/>
    </row>
    <row r="14884" spans="2:2" x14ac:dyDescent="0.25">
      <c r="B14884" s="11"/>
    </row>
    <row r="14885" spans="2:2" x14ac:dyDescent="0.25">
      <c r="B14885" s="11"/>
    </row>
    <row r="14886" spans="2:2" x14ac:dyDescent="0.25">
      <c r="B14886" s="11"/>
    </row>
    <row r="14887" spans="2:2" x14ac:dyDescent="0.25">
      <c r="B14887" s="11"/>
    </row>
    <row r="14888" spans="2:2" x14ac:dyDescent="0.25">
      <c r="B14888" s="11"/>
    </row>
    <row r="14889" spans="2:2" x14ac:dyDescent="0.25">
      <c r="B14889" s="11"/>
    </row>
    <row r="14890" spans="2:2" x14ac:dyDescent="0.25">
      <c r="B14890" s="11"/>
    </row>
    <row r="14891" spans="2:2" x14ac:dyDescent="0.25">
      <c r="B14891" s="11"/>
    </row>
    <row r="14892" spans="2:2" x14ac:dyDescent="0.25">
      <c r="B14892" s="11"/>
    </row>
    <row r="14893" spans="2:2" x14ac:dyDescent="0.25">
      <c r="B14893" s="11"/>
    </row>
    <row r="14894" spans="2:2" x14ac:dyDescent="0.25">
      <c r="B14894" s="11"/>
    </row>
    <row r="14895" spans="2:2" x14ac:dyDescent="0.25">
      <c r="B14895" s="11"/>
    </row>
    <row r="14896" spans="2:2" x14ac:dyDescent="0.25">
      <c r="B14896" s="11"/>
    </row>
    <row r="14897" spans="2:2" x14ac:dyDescent="0.25">
      <c r="B14897" s="11"/>
    </row>
    <row r="14898" spans="2:2" x14ac:dyDescent="0.25">
      <c r="B14898" s="11"/>
    </row>
    <row r="14899" spans="2:2" x14ac:dyDescent="0.25">
      <c r="B14899" s="11"/>
    </row>
    <row r="14900" spans="2:2" x14ac:dyDescent="0.25">
      <c r="B14900" s="11"/>
    </row>
    <row r="14901" spans="2:2" x14ac:dyDescent="0.25">
      <c r="B14901" s="11"/>
    </row>
    <row r="14902" spans="2:2" x14ac:dyDescent="0.25">
      <c r="B14902" s="11"/>
    </row>
    <row r="14903" spans="2:2" x14ac:dyDescent="0.25">
      <c r="B14903" s="11"/>
    </row>
    <row r="14904" spans="2:2" x14ac:dyDescent="0.25">
      <c r="B14904" s="11"/>
    </row>
    <row r="14905" spans="2:2" x14ac:dyDescent="0.25">
      <c r="B14905" s="11"/>
    </row>
    <row r="14906" spans="2:2" x14ac:dyDescent="0.25">
      <c r="B14906" s="11"/>
    </row>
    <row r="14907" spans="2:2" x14ac:dyDescent="0.25">
      <c r="B14907" s="11"/>
    </row>
    <row r="14908" spans="2:2" x14ac:dyDescent="0.25">
      <c r="B14908" s="11"/>
    </row>
    <row r="14909" spans="2:2" x14ac:dyDescent="0.25">
      <c r="B14909" s="11"/>
    </row>
    <row r="14910" spans="2:2" x14ac:dyDescent="0.25">
      <c r="B14910" s="11"/>
    </row>
    <row r="14911" spans="2:2" x14ac:dyDescent="0.25">
      <c r="B14911" s="11"/>
    </row>
    <row r="14912" spans="2:2" x14ac:dyDescent="0.25">
      <c r="B14912" s="11"/>
    </row>
    <row r="14913" spans="2:2" x14ac:dyDescent="0.25">
      <c r="B14913" s="11"/>
    </row>
    <row r="14914" spans="2:2" x14ac:dyDescent="0.25">
      <c r="B14914" s="11"/>
    </row>
    <row r="14915" spans="2:2" x14ac:dyDescent="0.25">
      <c r="B14915" s="11"/>
    </row>
    <row r="14916" spans="2:2" x14ac:dyDescent="0.25">
      <c r="B14916" s="11"/>
    </row>
    <row r="14917" spans="2:2" x14ac:dyDescent="0.25">
      <c r="B14917" s="11"/>
    </row>
    <row r="14918" spans="2:2" x14ac:dyDescent="0.25">
      <c r="B14918" s="11"/>
    </row>
    <row r="14919" spans="2:2" x14ac:dyDescent="0.25">
      <c r="B14919" s="11"/>
    </row>
    <row r="14920" spans="2:2" x14ac:dyDescent="0.25">
      <c r="B14920" s="11"/>
    </row>
    <row r="14921" spans="2:2" x14ac:dyDescent="0.25">
      <c r="B14921" s="11"/>
    </row>
    <row r="14922" spans="2:2" x14ac:dyDescent="0.25">
      <c r="B14922" s="11"/>
    </row>
    <row r="14923" spans="2:2" x14ac:dyDescent="0.25">
      <c r="B14923" s="11"/>
    </row>
    <row r="14924" spans="2:2" x14ac:dyDescent="0.25">
      <c r="B14924" s="11"/>
    </row>
    <row r="14925" spans="2:2" x14ac:dyDescent="0.25">
      <c r="B14925" s="11"/>
    </row>
    <row r="14926" spans="2:2" x14ac:dyDescent="0.25">
      <c r="B14926" s="11"/>
    </row>
    <row r="14927" spans="2:2" x14ac:dyDescent="0.25">
      <c r="B14927" s="11"/>
    </row>
    <row r="14928" spans="2:2" x14ac:dyDescent="0.25">
      <c r="B14928" s="11"/>
    </row>
    <row r="14929" spans="2:2" x14ac:dyDescent="0.25">
      <c r="B14929" s="11"/>
    </row>
    <row r="14930" spans="2:2" x14ac:dyDescent="0.25">
      <c r="B14930" s="11"/>
    </row>
    <row r="14931" spans="2:2" x14ac:dyDescent="0.25">
      <c r="B14931" s="11"/>
    </row>
    <row r="14932" spans="2:2" x14ac:dyDescent="0.25">
      <c r="B14932" s="11"/>
    </row>
    <row r="14933" spans="2:2" x14ac:dyDescent="0.25">
      <c r="B14933" s="11"/>
    </row>
    <row r="14934" spans="2:2" x14ac:dyDescent="0.25">
      <c r="B14934" s="11"/>
    </row>
    <row r="14935" spans="2:2" x14ac:dyDescent="0.25">
      <c r="B14935" s="11"/>
    </row>
    <row r="14936" spans="2:2" x14ac:dyDescent="0.25">
      <c r="B14936" s="11"/>
    </row>
    <row r="14937" spans="2:2" x14ac:dyDescent="0.25">
      <c r="B14937" s="11"/>
    </row>
    <row r="14938" spans="2:2" x14ac:dyDescent="0.25">
      <c r="B14938" s="11"/>
    </row>
    <row r="14939" spans="2:2" x14ac:dyDescent="0.25">
      <c r="B14939" s="11"/>
    </row>
    <row r="14940" spans="2:2" x14ac:dyDescent="0.25">
      <c r="B14940" s="11"/>
    </row>
    <row r="14941" spans="2:2" x14ac:dyDescent="0.25">
      <c r="B14941" s="11"/>
    </row>
    <row r="14942" spans="2:2" x14ac:dyDescent="0.25">
      <c r="B14942" s="11"/>
    </row>
    <row r="14943" spans="2:2" x14ac:dyDescent="0.25">
      <c r="B14943" s="11"/>
    </row>
    <row r="14944" spans="2:2" x14ac:dyDescent="0.25">
      <c r="B14944" s="11"/>
    </row>
    <row r="14945" spans="2:2" x14ac:dyDescent="0.25">
      <c r="B14945" s="11"/>
    </row>
    <row r="14946" spans="2:2" x14ac:dyDescent="0.25">
      <c r="B14946" s="11"/>
    </row>
    <row r="14947" spans="2:2" x14ac:dyDescent="0.25">
      <c r="B14947" s="11"/>
    </row>
    <row r="14948" spans="2:2" x14ac:dyDescent="0.25">
      <c r="B14948" s="11"/>
    </row>
    <row r="14949" spans="2:2" x14ac:dyDescent="0.25">
      <c r="B14949" s="11"/>
    </row>
    <row r="14950" spans="2:2" x14ac:dyDescent="0.25">
      <c r="B14950" s="11"/>
    </row>
    <row r="14951" spans="2:2" x14ac:dyDescent="0.25">
      <c r="B14951" s="11"/>
    </row>
    <row r="14952" spans="2:2" x14ac:dyDescent="0.25">
      <c r="B14952" s="11"/>
    </row>
    <row r="14953" spans="2:2" x14ac:dyDescent="0.25">
      <c r="B14953" s="11"/>
    </row>
    <row r="14954" spans="2:2" x14ac:dyDescent="0.25">
      <c r="B14954" s="11"/>
    </row>
    <row r="14955" spans="2:2" x14ac:dyDescent="0.25">
      <c r="B14955" s="11"/>
    </row>
    <row r="14956" spans="2:2" x14ac:dyDescent="0.25">
      <c r="B14956" s="11"/>
    </row>
    <row r="14957" spans="2:2" x14ac:dyDescent="0.25">
      <c r="B14957" s="11"/>
    </row>
    <row r="14958" spans="2:2" x14ac:dyDescent="0.25">
      <c r="B14958" s="11"/>
    </row>
    <row r="14959" spans="2:2" x14ac:dyDescent="0.25">
      <c r="B14959" s="11"/>
    </row>
    <row r="14960" spans="2:2" x14ac:dyDescent="0.25">
      <c r="B14960" s="11"/>
    </row>
    <row r="14961" spans="2:2" x14ac:dyDescent="0.25">
      <c r="B14961" s="11"/>
    </row>
    <row r="14962" spans="2:2" x14ac:dyDescent="0.25">
      <c r="B14962" s="11"/>
    </row>
    <row r="14963" spans="2:2" x14ac:dyDescent="0.25">
      <c r="B14963" s="11"/>
    </row>
    <row r="14964" spans="2:2" x14ac:dyDescent="0.25">
      <c r="B14964" s="11"/>
    </row>
    <row r="14965" spans="2:2" x14ac:dyDescent="0.25">
      <c r="B14965" s="11"/>
    </row>
    <row r="14966" spans="2:2" x14ac:dyDescent="0.25">
      <c r="B14966" s="11"/>
    </row>
    <row r="14967" spans="2:2" x14ac:dyDescent="0.25">
      <c r="B14967" s="11"/>
    </row>
    <row r="14968" spans="2:2" x14ac:dyDescent="0.25">
      <c r="B14968" s="11"/>
    </row>
    <row r="14969" spans="2:2" x14ac:dyDescent="0.25">
      <c r="B14969" s="11"/>
    </row>
    <row r="14970" spans="2:2" x14ac:dyDescent="0.25">
      <c r="B14970" s="11"/>
    </row>
    <row r="14971" spans="2:2" x14ac:dyDescent="0.25">
      <c r="B14971" s="11"/>
    </row>
    <row r="14972" spans="2:2" x14ac:dyDescent="0.25">
      <c r="B14972" s="11"/>
    </row>
    <row r="14973" spans="2:2" x14ac:dyDescent="0.25">
      <c r="B14973" s="11"/>
    </row>
    <row r="14974" spans="2:2" x14ac:dyDescent="0.25">
      <c r="B14974" s="11"/>
    </row>
    <row r="14975" spans="2:2" x14ac:dyDescent="0.25">
      <c r="B14975" s="11"/>
    </row>
    <row r="14976" spans="2:2" x14ac:dyDescent="0.25">
      <c r="B14976" s="11"/>
    </row>
    <row r="14977" spans="2:2" x14ac:dyDescent="0.25">
      <c r="B14977" s="11"/>
    </row>
    <row r="14978" spans="2:2" x14ac:dyDescent="0.25">
      <c r="B14978" s="11"/>
    </row>
    <row r="14979" spans="2:2" x14ac:dyDescent="0.25">
      <c r="B14979" s="11"/>
    </row>
    <row r="14980" spans="2:2" x14ac:dyDescent="0.25">
      <c r="B14980" s="11"/>
    </row>
    <row r="14981" spans="2:2" x14ac:dyDescent="0.25">
      <c r="B14981" s="11"/>
    </row>
    <row r="14982" spans="2:2" x14ac:dyDescent="0.25">
      <c r="B14982" s="11"/>
    </row>
    <row r="14983" spans="2:2" x14ac:dyDescent="0.25">
      <c r="B14983" s="11"/>
    </row>
    <row r="14984" spans="2:2" x14ac:dyDescent="0.25">
      <c r="B14984" s="11"/>
    </row>
    <row r="14985" spans="2:2" x14ac:dyDescent="0.25">
      <c r="B14985" s="11"/>
    </row>
    <row r="14986" spans="2:2" x14ac:dyDescent="0.25">
      <c r="B14986" s="11"/>
    </row>
    <row r="14987" spans="2:2" x14ac:dyDescent="0.25">
      <c r="B14987" s="11"/>
    </row>
    <row r="14988" spans="2:2" x14ac:dyDescent="0.25">
      <c r="B14988" s="11"/>
    </row>
    <row r="14989" spans="2:2" x14ac:dyDescent="0.25">
      <c r="B14989" s="11"/>
    </row>
    <row r="14990" spans="2:2" x14ac:dyDescent="0.25">
      <c r="B14990" s="11"/>
    </row>
    <row r="14991" spans="2:2" x14ac:dyDescent="0.25">
      <c r="B14991" s="11"/>
    </row>
    <row r="14992" spans="2:2" x14ac:dyDescent="0.25">
      <c r="B14992" s="11"/>
    </row>
    <row r="14993" spans="2:2" x14ac:dyDescent="0.25">
      <c r="B14993" s="11"/>
    </row>
    <row r="14994" spans="2:2" x14ac:dyDescent="0.25">
      <c r="B14994" s="11"/>
    </row>
    <row r="14995" spans="2:2" x14ac:dyDescent="0.25">
      <c r="B14995" s="11"/>
    </row>
    <row r="14996" spans="2:2" x14ac:dyDescent="0.25">
      <c r="B14996" s="11"/>
    </row>
    <row r="14997" spans="2:2" x14ac:dyDescent="0.25">
      <c r="B14997" s="11"/>
    </row>
    <row r="14998" spans="2:2" x14ac:dyDescent="0.25">
      <c r="B14998" s="11"/>
    </row>
    <row r="14999" spans="2:2" x14ac:dyDescent="0.25">
      <c r="B14999" s="11"/>
    </row>
    <row r="15000" spans="2:2" x14ac:dyDescent="0.25">
      <c r="B15000" s="11"/>
    </row>
    <row r="15001" spans="2:2" x14ac:dyDescent="0.25">
      <c r="B15001" s="11"/>
    </row>
    <row r="15002" spans="2:2" x14ac:dyDescent="0.25">
      <c r="B15002" s="11"/>
    </row>
    <row r="15003" spans="2:2" x14ac:dyDescent="0.25">
      <c r="B15003" s="11"/>
    </row>
    <row r="15004" spans="2:2" x14ac:dyDescent="0.25">
      <c r="B15004" s="11"/>
    </row>
    <row r="15005" spans="2:2" x14ac:dyDescent="0.25">
      <c r="B15005" s="11"/>
    </row>
    <row r="15006" spans="2:2" x14ac:dyDescent="0.25">
      <c r="B15006" s="11"/>
    </row>
    <row r="15007" spans="2:2" x14ac:dyDescent="0.25">
      <c r="B15007" s="11"/>
    </row>
    <row r="15008" spans="2:2" x14ac:dyDescent="0.25">
      <c r="B15008" s="11"/>
    </row>
    <row r="15009" spans="2:2" x14ac:dyDescent="0.25">
      <c r="B15009" s="11"/>
    </row>
    <row r="15010" spans="2:2" x14ac:dyDescent="0.25">
      <c r="B15010" s="11"/>
    </row>
    <row r="15011" spans="2:2" x14ac:dyDescent="0.25">
      <c r="B15011" s="11"/>
    </row>
    <row r="15012" spans="2:2" x14ac:dyDescent="0.25">
      <c r="B15012" s="11"/>
    </row>
    <row r="15013" spans="2:2" x14ac:dyDescent="0.25">
      <c r="B15013" s="11"/>
    </row>
    <row r="15014" spans="2:2" x14ac:dyDescent="0.25">
      <c r="B15014" s="11"/>
    </row>
    <row r="15015" spans="2:2" x14ac:dyDescent="0.25">
      <c r="B15015" s="11"/>
    </row>
    <row r="15016" spans="2:2" x14ac:dyDescent="0.25">
      <c r="B15016" s="11"/>
    </row>
    <row r="15017" spans="2:2" x14ac:dyDescent="0.25">
      <c r="B15017" s="11"/>
    </row>
    <row r="15018" spans="2:2" x14ac:dyDescent="0.25">
      <c r="B15018" s="11"/>
    </row>
    <row r="15019" spans="2:2" x14ac:dyDescent="0.25">
      <c r="B15019" s="11"/>
    </row>
    <row r="15020" spans="2:2" x14ac:dyDescent="0.25">
      <c r="B15020" s="11"/>
    </row>
    <row r="15021" spans="2:2" x14ac:dyDescent="0.25">
      <c r="B15021" s="11"/>
    </row>
    <row r="15022" spans="2:2" x14ac:dyDescent="0.25">
      <c r="B15022" s="11"/>
    </row>
    <row r="15023" spans="2:2" x14ac:dyDescent="0.25">
      <c r="B15023" s="11"/>
    </row>
    <row r="15024" spans="2:2" x14ac:dyDescent="0.25">
      <c r="B15024" s="11"/>
    </row>
    <row r="15025" spans="2:2" x14ac:dyDescent="0.25">
      <c r="B15025" s="11"/>
    </row>
    <row r="15026" spans="2:2" x14ac:dyDescent="0.25">
      <c r="B15026" s="11"/>
    </row>
    <row r="15027" spans="2:2" x14ac:dyDescent="0.25">
      <c r="B15027" s="11"/>
    </row>
    <row r="15028" spans="2:2" x14ac:dyDescent="0.25">
      <c r="B15028" s="11"/>
    </row>
    <row r="15029" spans="2:2" x14ac:dyDescent="0.25">
      <c r="B15029" s="11"/>
    </row>
    <row r="15030" spans="2:2" x14ac:dyDescent="0.25">
      <c r="B15030" s="11"/>
    </row>
    <row r="15031" spans="2:2" x14ac:dyDescent="0.25">
      <c r="B15031" s="11"/>
    </row>
    <row r="15032" spans="2:2" x14ac:dyDescent="0.25">
      <c r="B15032" s="11"/>
    </row>
    <row r="15033" spans="2:2" x14ac:dyDescent="0.25">
      <c r="B15033" s="11"/>
    </row>
    <row r="15034" spans="2:2" x14ac:dyDescent="0.25">
      <c r="B15034" s="11"/>
    </row>
    <row r="15035" spans="2:2" x14ac:dyDescent="0.25">
      <c r="B15035" s="11"/>
    </row>
    <row r="15036" spans="2:2" x14ac:dyDescent="0.25">
      <c r="B15036" s="11"/>
    </row>
    <row r="15037" spans="2:2" x14ac:dyDescent="0.25">
      <c r="B15037" s="11"/>
    </row>
    <row r="15038" spans="2:2" x14ac:dyDescent="0.25">
      <c r="B15038" s="11"/>
    </row>
    <row r="15039" spans="2:2" x14ac:dyDescent="0.25">
      <c r="B15039" s="11"/>
    </row>
    <row r="15040" spans="2:2" x14ac:dyDescent="0.25">
      <c r="B15040" s="11"/>
    </row>
    <row r="15041" spans="2:2" x14ac:dyDescent="0.25">
      <c r="B15041" s="11"/>
    </row>
    <row r="15042" spans="2:2" x14ac:dyDescent="0.25">
      <c r="B15042" s="11"/>
    </row>
    <row r="15043" spans="2:2" x14ac:dyDescent="0.25">
      <c r="B15043" s="11"/>
    </row>
    <row r="15044" spans="2:2" x14ac:dyDescent="0.25">
      <c r="B15044" s="11"/>
    </row>
    <row r="15045" spans="2:2" x14ac:dyDescent="0.25">
      <c r="B15045" s="11"/>
    </row>
    <row r="15046" spans="2:2" x14ac:dyDescent="0.25">
      <c r="B15046" s="11"/>
    </row>
    <row r="15047" spans="2:2" x14ac:dyDescent="0.25">
      <c r="B15047" s="11"/>
    </row>
    <row r="15048" spans="2:2" x14ac:dyDescent="0.25">
      <c r="B15048" s="11"/>
    </row>
    <row r="15049" spans="2:2" x14ac:dyDescent="0.25">
      <c r="B15049" s="11"/>
    </row>
    <row r="15050" spans="2:2" x14ac:dyDescent="0.25">
      <c r="B15050" s="11"/>
    </row>
    <row r="15051" spans="2:2" x14ac:dyDescent="0.25">
      <c r="B15051" s="11"/>
    </row>
    <row r="15052" spans="2:2" x14ac:dyDescent="0.25">
      <c r="B15052" s="11"/>
    </row>
    <row r="15053" spans="2:2" x14ac:dyDescent="0.25">
      <c r="B15053" s="11"/>
    </row>
    <row r="15054" spans="2:2" x14ac:dyDescent="0.25">
      <c r="B15054" s="11"/>
    </row>
    <row r="15055" spans="2:2" x14ac:dyDescent="0.25">
      <c r="B15055" s="11"/>
    </row>
    <row r="15056" spans="2:2" x14ac:dyDescent="0.25">
      <c r="B15056" s="11"/>
    </row>
    <row r="15057" spans="2:2" x14ac:dyDescent="0.25">
      <c r="B15057" s="11"/>
    </row>
    <row r="15058" spans="2:2" x14ac:dyDescent="0.25">
      <c r="B15058" s="11"/>
    </row>
    <row r="15059" spans="2:2" x14ac:dyDescent="0.25">
      <c r="B15059" s="11"/>
    </row>
    <row r="15060" spans="2:2" x14ac:dyDescent="0.25">
      <c r="B15060" s="11"/>
    </row>
    <row r="15061" spans="2:2" x14ac:dyDescent="0.25">
      <c r="B15061" s="11"/>
    </row>
    <row r="15062" spans="2:2" x14ac:dyDescent="0.25">
      <c r="B15062" s="11"/>
    </row>
    <row r="15063" spans="2:2" x14ac:dyDescent="0.25">
      <c r="B15063" s="11"/>
    </row>
    <row r="15064" spans="2:2" x14ac:dyDescent="0.25">
      <c r="B15064" s="11"/>
    </row>
    <row r="15065" spans="2:2" x14ac:dyDescent="0.25">
      <c r="B15065" s="11"/>
    </row>
    <row r="15066" spans="2:2" x14ac:dyDescent="0.25">
      <c r="B15066" s="11"/>
    </row>
    <row r="15067" spans="2:2" x14ac:dyDescent="0.25">
      <c r="B15067" s="11"/>
    </row>
    <row r="15068" spans="2:2" x14ac:dyDescent="0.25">
      <c r="B15068" s="11"/>
    </row>
    <row r="15069" spans="2:2" x14ac:dyDescent="0.25">
      <c r="B15069" s="11"/>
    </row>
    <row r="15070" spans="2:2" x14ac:dyDescent="0.25">
      <c r="B15070" s="11"/>
    </row>
    <row r="15071" spans="2:2" x14ac:dyDescent="0.25">
      <c r="B15071" s="11"/>
    </row>
    <row r="15072" spans="2:2" x14ac:dyDescent="0.25">
      <c r="B15072" s="11"/>
    </row>
    <row r="15073" spans="2:2" x14ac:dyDescent="0.25">
      <c r="B15073" s="11"/>
    </row>
    <row r="15074" spans="2:2" x14ac:dyDescent="0.25">
      <c r="B15074" s="11"/>
    </row>
    <row r="15075" spans="2:2" x14ac:dyDescent="0.25">
      <c r="B15075" s="11"/>
    </row>
    <row r="15076" spans="2:2" x14ac:dyDescent="0.25">
      <c r="B15076" s="11"/>
    </row>
    <row r="15077" spans="2:2" x14ac:dyDescent="0.25">
      <c r="B15077" s="11"/>
    </row>
    <row r="15078" spans="2:2" x14ac:dyDescent="0.25">
      <c r="B15078" s="11"/>
    </row>
    <row r="15079" spans="2:2" x14ac:dyDescent="0.25">
      <c r="B15079" s="11"/>
    </row>
    <row r="15080" spans="2:2" x14ac:dyDescent="0.25">
      <c r="B15080" s="11"/>
    </row>
    <row r="15081" spans="2:2" x14ac:dyDescent="0.25">
      <c r="B15081" s="11"/>
    </row>
    <row r="15082" spans="2:2" x14ac:dyDescent="0.25">
      <c r="B15082" s="11"/>
    </row>
    <row r="15083" spans="2:2" x14ac:dyDescent="0.25">
      <c r="B15083" s="11"/>
    </row>
    <row r="15084" spans="2:2" x14ac:dyDescent="0.25">
      <c r="B15084" s="11"/>
    </row>
    <row r="15085" spans="2:2" x14ac:dyDescent="0.25">
      <c r="B15085" s="11"/>
    </row>
    <row r="15086" spans="2:2" x14ac:dyDescent="0.25">
      <c r="B15086" s="11"/>
    </row>
    <row r="15087" spans="2:2" x14ac:dyDescent="0.25">
      <c r="B15087" s="11"/>
    </row>
    <row r="15088" spans="2:2" x14ac:dyDescent="0.25">
      <c r="B15088" s="11"/>
    </row>
    <row r="15089" spans="2:2" x14ac:dyDescent="0.25">
      <c r="B15089" s="11"/>
    </row>
    <row r="15090" spans="2:2" x14ac:dyDescent="0.25">
      <c r="B15090" s="11"/>
    </row>
    <row r="15091" spans="2:2" x14ac:dyDescent="0.25">
      <c r="B15091" s="11"/>
    </row>
    <row r="15092" spans="2:2" x14ac:dyDescent="0.25">
      <c r="B15092" s="11"/>
    </row>
    <row r="15093" spans="2:2" x14ac:dyDescent="0.25">
      <c r="B15093" s="11"/>
    </row>
    <row r="15094" spans="2:2" x14ac:dyDescent="0.25">
      <c r="B15094" s="11"/>
    </row>
    <row r="15095" spans="2:2" x14ac:dyDescent="0.25">
      <c r="B15095" s="11"/>
    </row>
    <row r="15096" spans="2:2" x14ac:dyDescent="0.25">
      <c r="B15096" s="11"/>
    </row>
    <row r="15097" spans="2:2" x14ac:dyDescent="0.25">
      <c r="B15097" s="11"/>
    </row>
    <row r="15098" spans="2:2" x14ac:dyDescent="0.25">
      <c r="B15098" s="11"/>
    </row>
    <row r="15099" spans="2:2" x14ac:dyDescent="0.25">
      <c r="B15099" s="11"/>
    </row>
    <row r="15100" spans="2:2" x14ac:dyDescent="0.25">
      <c r="B15100" s="11"/>
    </row>
    <row r="15101" spans="2:2" x14ac:dyDescent="0.25">
      <c r="B15101" s="11"/>
    </row>
    <row r="15102" spans="2:2" x14ac:dyDescent="0.25">
      <c r="B15102" s="11"/>
    </row>
    <row r="15103" spans="2:2" x14ac:dyDescent="0.25">
      <c r="B15103" s="11"/>
    </row>
    <row r="15104" spans="2:2" x14ac:dyDescent="0.25">
      <c r="B15104" s="11"/>
    </row>
    <row r="15105" spans="2:2" x14ac:dyDescent="0.25">
      <c r="B15105" s="11"/>
    </row>
    <row r="15106" spans="2:2" x14ac:dyDescent="0.25">
      <c r="B15106" s="11"/>
    </row>
    <row r="15107" spans="2:2" x14ac:dyDescent="0.25">
      <c r="B15107" s="11"/>
    </row>
    <row r="15108" spans="2:2" x14ac:dyDescent="0.25">
      <c r="B15108" s="11"/>
    </row>
    <row r="15109" spans="2:2" x14ac:dyDescent="0.25">
      <c r="B15109" s="11"/>
    </row>
    <row r="15110" spans="2:2" x14ac:dyDescent="0.25">
      <c r="B15110" s="11"/>
    </row>
    <row r="15111" spans="2:2" x14ac:dyDescent="0.25">
      <c r="B15111" s="11"/>
    </row>
    <row r="15112" spans="2:2" x14ac:dyDescent="0.25">
      <c r="B15112" s="11"/>
    </row>
    <row r="15113" spans="2:2" x14ac:dyDescent="0.25">
      <c r="B15113" s="11"/>
    </row>
    <row r="15114" spans="2:2" x14ac:dyDescent="0.25">
      <c r="B15114" s="11"/>
    </row>
    <row r="15115" spans="2:2" x14ac:dyDescent="0.25">
      <c r="B15115" s="11"/>
    </row>
    <row r="15116" spans="2:2" x14ac:dyDescent="0.25">
      <c r="B15116" s="11"/>
    </row>
    <row r="15117" spans="2:2" x14ac:dyDescent="0.25">
      <c r="B15117" s="11"/>
    </row>
    <row r="15118" spans="2:2" x14ac:dyDescent="0.25">
      <c r="B15118" s="11"/>
    </row>
    <row r="15119" spans="2:2" x14ac:dyDescent="0.25">
      <c r="B15119" s="11"/>
    </row>
    <row r="15120" spans="2:2" x14ac:dyDescent="0.25">
      <c r="B15120" s="11"/>
    </row>
    <row r="15121" spans="2:2" x14ac:dyDescent="0.25">
      <c r="B15121" s="11"/>
    </row>
    <row r="15122" spans="2:2" x14ac:dyDescent="0.25">
      <c r="B15122" s="11"/>
    </row>
    <row r="15123" spans="2:2" x14ac:dyDescent="0.25">
      <c r="B15123" s="11"/>
    </row>
    <row r="15124" spans="2:2" x14ac:dyDescent="0.25">
      <c r="B15124" s="11"/>
    </row>
    <row r="15125" spans="2:2" x14ac:dyDescent="0.25">
      <c r="B15125" s="11"/>
    </row>
    <row r="15126" spans="2:2" x14ac:dyDescent="0.25">
      <c r="B15126" s="11"/>
    </row>
    <row r="15127" spans="2:2" x14ac:dyDescent="0.25">
      <c r="B15127" s="11"/>
    </row>
    <row r="15128" spans="2:2" x14ac:dyDescent="0.25">
      <c r="B15128" s="11"/>
    </row>
    <row r="15129" spans="2:2" x14ac:dyDescent="0.25">
      <c r="B15129" s="11"/>
    </row>
    <row r="15130" spans="2:2" x14ac:dyDescent="0.25">
      <c r="B15130" s="11"/>
    </row>
    <row r="15131" spans="2:2" x14ac:dyDescent="0.25">
      <c r="B15131" s="11"/>
    </row>
    <row r="15132" spans="2:2" x14ac:dyDescent="0.25">
      <c r="B15132" s="11"/>
    </row>
    <row r="15133" spans="2:2" x14ac:dyDescent="0.25">
      <c r="B15133" s="11"/>
    </row>
    <row r="15134" spans="2:2" x14ac:dyDescent="0.25">
      <c r="B15134" s="11"/>
    </row>
    <row r="15135" spans="2:2" x14ac:dyDescent="0.25">
      <c r="B15135" s="11"/>
    </row>
    <row r="15136" spans="2:2" x14ac:dyDescent="0.25">
      <c r="B15136" s="11"/>
    </row>
    <row r="15137" spans="2:2" x14ac:dyDescent="0.25">
      <c r="B15137" s="11"/>
    </row>
    <row r="15138" spans="2:2" x14ac:dyDescent="0.25">
      <c r="B15138" s="11"/>
    </row>
    <row r="15139" spans="2:2" x14ac:dyDescent="0.25">
      <c r="B15139" s="11"/>
    </row>
    <row r="15140" spans="2:2" x14ac:dyDescent="0.25">
      <c r="B15140" s="11"/>
    </row>
    <row r="15141" spans="2:2" x14ac:dyDescent="0.25">
      <c r="B15141" s="11"/>
    </row>
    <row r="15142" spans="2:2" x14ac:dyDescent="0.25">
      <c r="B15142" s="11"/>
    </row>
    <row r="15143" spans="2:2" x14ac:dyDescent="0.25">
      <c r="B15143" s="11"/>
    </row>
    <row r="15144" spans="2:2" x14ac:dyDescent="0.25">
      <c r="B15144" s="11"/>
    </row>
    <row r="15145" spans="2:2" x14ac:dyDescent="0.25">
      <c r="B15145" s="11"/>
    </row>
    <row r="15146" spans="2:2" x14ac:dyDescent="0.25">
      <c r="B15146" s="11"/>
    </row>
    <row r="15147" spans="2:2" x14ac:dyDescent="0.25">
      <c r="B15147" s="11"/>
    </row>
    <row r="15148" spans="2:2" x14ac:dyDescent="0.25">
      <c r="B15148" s="11"/>
    </row>
    <row r="15149" spans="2:2" x14ac:dyDescent="0.25">
      <c r="B15149" s="11"/>
    </row>
    <row r="15150" spans="2:2" x14ac:dyDescent="0.25">
      <c r="B15150" s="11"/>
    </row>
    <row r="15151" spans="2:2" x14ac:dyDescent="0.25">
      <c r="B15151" s="11"/>
    </row>
    <row r="15152" spans="2:2" x14ac:dyDescent="0.25">
      <c r="B15152" s="11"/>
    </row>
    <row r="15153" spans="2:2" x14ac:dyDescent="0.25">
      <c r="B15153" s="11"/>
    </row>
    <row r="15154" spans="2:2" x14ac:dyDescent="0.25">
      <c r="B15154" s="11"/>
    </row>
    <row r="15155" spans="2:2" x14ac:dyDescent="0.25">
      <c r="B15155" s="11"/>
    </row>
    <row r="15156" spans="2:2" x14ac:dyDescent="0.25">
      <c r="B15156" s="11"/>
    </row>
    <row r="15157" spans="2:2" x14ac:dyDescent="0.25">
      <c r="B15157" s="11"/>
    </row>
    <row r="15158" spans="2:2" x14ac:dyDescent="0.25">
      <c r="B15158" s="11"/>
    </row>
    <row r="15159" spans="2:2" x14ac:dyDescent="0.25">
      <c r="B15159" s="11"/>
    </row>
    <row r="15160" spans="2:2" x14ac:dyDescent="0.25">
      <c r="B15160" s="11"/>
    </row>
    <row r="15161" spans="2:2" x14ac:dyDescent="0.25">
      <c r="B15161" s="11"/>
    </row>
    <row r="15162" spans="2:2" x14ac:dyDescent="0.25">
      <c r="B15162" s="11"/>
    </row>
    <row r="15163" spans="2:2" x14ac:dyDescent="0.25">
      <c r="B15163" s="11"/>
    </row>
    <row r="15164" spans="2:2" x14ac:dyDescent="0.25">
      <c r="B15164" s="11"/>
    </row>
    <row r="15165" spans="2:2" x14ac:dyDescent="0.25">
      <c r="B15165" s="11"/>
    </row>
    <row r="15166" spans="2:2" x14ac:dyDescent="0.25">
      <c r="B15166" s="11"/>
    </row>
    <row r="15167" spans="2:2" x14ac:dyDescent="0.25">
      <c r="B15167" s="11"/>
    </row>
    <row r="15168" spans="2:2" x14ac:dyDescent="0.25">
      <c r="B15168" s="11"/>
    </row>
    <row r="15169" spans="2:2" x14ac:dyDescent="0.25">
      <c r="B15169" s="11"/>
    </row>
    <row r="15170" spans="2:2" x14ac:dyDescent="0.25">
      <c r="B15170" s="11"/>
    </row>
    <row r="15171" spans="2:2" x14ac:dyDescent="0.25">
      <c r="B15171" s="11"/>
    </row>
    <row r="15172" spans="2:2" x14ac:dyDescent="0.25">
      <c r="B15172" s="11"/>
    </row>
    <row r="15173" spans="2:2" x14ac:dyDescent="0.25">
      <c r="B15173" s="11"/>
    </row>
    <row r="15174" spans="2:2" x14ac:dyDescent="0.25">
      <c r="B15174" s="11"/>
    </row>
    <row r="15175" spans="2:2" x14ac:dyDescent="0.25">
      <c r="B15175" s="11"/>
    </row>
    <row r="15176" spans="2:2" x14ac:dyDescent="0.25">
      <c r="B15176" s="11"/>
    </row>
    <row r="15177" spans="2:2" x14ac:dyDescent="0.25">
      <c r="B15177" s="11"/>
    </row>
    <row r="15178" spans="2:2" x14ac:dyDescent="0.25">
      <c r="B15178" s="11"/>
    </row>
    <row r="15179" spans="2:2" x14ac:dyDescent="0.25">
      <c r="B15179" s="11"/>
    </row>
    <row r="15180" spans="2:2" x14ac:dyDescent="0.25">
      <c r="B15180" s="11"/>
    </row>
    <row r="15181" spans="2:2" x14ac:dyDescent="0.25">
      <c r="B15181" s="11"/>
    </row>
    <row r="15182" spans="2:2" x14ac:dyDescent="0.25">
      <c r="B15182" s="11"/>
    </row>
    <row r="15183" spans="2:2" x14ac:dyDescent="0.25">
      <c r="B15183" s="11"/>
    </row>
    <row r="15184" spans="2:2" x14ac:dyDescent="0.25">
      <c r="B15184" s="11"/>
    </row>
    <row r="15185" spans="2:2" x14ac:dyDescent="0.25">
      <c r="B15185" s="11"/>
    </row>
    <row r="15186" spans="2:2" x14ac:dyDescent="0.25">
      <c r="B15186" s="11"/>
    </row>
    <row r="15187" spans="2:2" x14ac:dyDescent="0.25">
      <c r="B15187" s="11"/>
    </row>
    <row r="15188" spans="2:2" x14ac:dyDescent="0.25">
      <c r="B15188" s="11"/>
    </row>
    <row r="15189" spans="2:2" x14ac:dyDescent="0.25">
      <c r="B15189" s="11"/>
    </row>
    <row r="15190" spans="2:2" x14ac:dyDescent="0.25">
      <c r="B15190" s="11"/>
    </row>
    <row r="15191" spans="2:2" x14ac:dyDescent="0.25">
      <c r="B15191" s="11"/>
    </row>
    <row r="15192" spans="2:2" x14ac:dyDescent="0.25">
      <c r="B15192" s="11"/>
    </row>
    <row r="15193" spans="2:2" x14ac:dyDescent="0.25">
      <c r="B15193" s="11"/>
    </row>
    <row r="15194" spans="2:2" x14ac:dyDescent="0.25">
      <c r="B15194" s="11"/>
    </row>
    <row r="15195" spans="2:2" x14ac:dyDescent="0.25">
      <c r="B15195" s="11"/>
    </row>
    <row r="15196" spans="2:2" x14ac:dyDescent="0.25">
      <c r="B15196" s="11"/>
    </row>
    <row r="15197" spans="2:2" x14ac:dyDescent="0.25">
      <c r="B15197" s="11"/>
    </row>
    <row r="15198" spans="2:2" x14ac:dyDescent="0.25">
      <c r="B15198" s="11"/>
    </row>
    <row r="15199" spans="2:2" x14ac:dyDescent="0.25">
      <c r="B15199" s="11"/>
    </row>
    <row r="15200" spans="2:2" x14ac:dyDescent="0.25">
      <c r="B15200" s="11"/>
    </row>
    <row r="15201" spans="2:2" x14ac:dyDescent="0.25">
      <c r="B15201" s="11"/>
    </row>
    <row r="15202" spans="2:2" x14ac:dyDescent="0.25">
      <c r="B15202" s="11"/>
    </row>
    <row r="15203" spans="2:2" x14ac:dyDescent="0.25">
      <c r="B15203" s="11"/>
    </row>
    <row r="15204" spans="2:2" x14ac:dyDescent="0.25">
      <c r="B15204" s="11"/>
    </row>
    <row r="15205" spans="2:2" x14ac:dyDescent="0.25">
      <c r="B15205" s="11"/>
    </row>
    <row r="15206" spans="2:2" x14ac:dyDescent="0.25">
      <c r="B15206" s="11"/>
    </row>
    <row r="15207" spans="2:2" x14ac:dyDescent="0.25">
      <c r="B15207" s="11"/>
    </row>
    <row r="15208" spans="2:2" x14ac:dyDescent="0.25">
      <c r="B15208" s="11"/>
    </row>
    <row r="15209" spans="2:2" x14ac:dyDescent="0.25">
      <c r="B15209" s="11"/>
    </row>
    <row r="15210" spans="2:2" x14ac:dyDescent="0.25">
      <c r="B15210" s="11"/>
    </row>
    <row r="15211" spans="2:2" x14ac:dyDescent="0.25">
      <c r="B15211" s="11"/>
    </row>
    <row r="15212" spans="2:2" x14ac:dyDescent="0.25">
      <c r="B15212" s="11"/>
    </row>
    <row r="15213" spans="2:2" x14ac:dyDescent="0.25">
      <c r="B15213" s="11"/>
    </row>
    <row r="15214" spans="2:2" x14ac:dyDescent="0.25">
      <c r="B15214" s="11"/>
    </row>
    <row r="15215" spans="2:2" x14ac:dyDescent="0.25">
      <c r="B15215" s="11"/>
    </row>
    <row r="15216" spans="2:2" x14ac:dyDescent="0.25">
      <c r="B15216" s="11"/>
    </row>
    <row r="15217" spans="2:2" x14ac:dyDescent="0.25">
      <c r="B15217" s="11"/>
    </row>
    <row r="15218" spans="2:2" x14ac:dyDescent="0.25">
      <c r="B15218" s="11"/>
    </row>
    <row r="15219" spans="2:2" x14ac:dyDescent="0.25">
      <c r="B15219" s="11"/>
    </row>
    <row r="15220" spans="2:2" x14ac:dyDescent="0.25">
      <c r="B15220" s="11"/>
    </row>
    <row r="15221" spans="2:2" x14ac:dyDescent="0.25">
      <c r="B15221" s="11"/>
    </row>
    <row r="15222" spans="2:2" x14ac:dyDescent="0.25">
      <c r="B15222" s="11"/>
    </row>
    <row r="15223" spans="2:2" x14ac:dyDescent="0.25">
      <c r="B15223" s="11"/>
    </row>
    <row r="15224" spans="2:2" x14ac:dyDescent="0.25">
      <c r="B15224" s="11"/>
    </row>
    <row r="15225" spans="2:2" x14ac:dyDescent="0.25">
      <c r="B15225" s="11"/>
    </row>
    <row r="15226" spans="2:2" x14ac:dyDescent="0.25">
      <c r="B15226" s="11"/>
    </row>
    <row r="15227" spans="2:2" x14ac:dyDescent="0.25">
      <c r="B15227" s="11"/>
    </row>
    <row r="15228" spans="2:2" x14ac:dyDescent="0.25">
      <c r="B15228" s="11"/>
    </row>
    <row r="15229" spans="2:2" x14ac:dyDescent="0.25">
      <c r="B15229" s="11"/>
    </row>
    <row r="15230" spans="2:2" x14ac:dyDescent="0.25">
      <c r="B15230" s="11"/>
    </row>
    <row r="15231" spans="2:2" x14ac:dyDescent="0.25">
      <c r="B15231" s="11"/>
    </row>
    <row r="15232" spans="2:2" x14ac:dyDescent="0.25">
      <c r="B15232" s="11"/>
    </row>
    <row r="15233" spans="2:2" x14ac:dyDescent="0.25">
      <c r="B15233" s="11"/>
    </row>
    <row r="15234" spans="2:2" x14ac:dyDescent="0.25">
      <c r="B15234" s="11"/>
    </row>
    <row r="15235" spans="2:2" x14ac:dyDescent="0.25">
      <c r="B15235" s="11"/>
    </row>
    <row r="15236" spans="2:2" x14ac:dyDescent="0.25">
      <c r="B15236" s="11"/>
    </row>
    <row r="15237" spans="2:2" x14ac:dyDescent="0.25">
      <c r="B15237" s="11"/>
    </row>
    <row r="15238" spans="2:2" x14ac:dyDescent="0.25">
      <c r="B15238" s="11"/>
    </row>
    <row r="15239" spans="2:2" x14ac:dyDescent="0.25">
      <c r="B15239" s="11"/>
    </row>
    <row r="15240" spans="2:2" x14ac:dyDescent="0.25">
      <c r="B15240" s="11"/>
    </row>
    <row r="15241" spans="2:2" x14ac:dyDescent="0.25">
      <c r="B15241" s="11"/>
    </row>
    <row r="15242" spans="2:2" x14ac:dyDescent="0.25">
      <c r="B15242" s="11"/>
    </row>
    <row r="15243" spans="2:2" x14ac:dyDescent="0.25">
      <c r="B15243" s="11"/>
    </row>
    <row r="15244" spans="2:2" x14ac:dyDescent="0.25">
      <c r="B15244" s="11"/>
    </row>
    <row r="15245" spans="2:2" x14ac:dyDescent="0.25">
      <c r="B15245" s="11"/>
    </row>
    <row r="15246" spans="2:2" x14ac:dyDescent="0.25">
      <c r="B15246" s="11"/>
    </row>
    <row r="15247" spans="2:2" x14ac:dyDescent="0.25">
      <c r="B15247" s="11"/>
    </row>
    <row r="15248" spans="2:2" x14ac:dyDescent="0.25">
      <c r="B15248" s="11"/>
    </row>
    <row r="15249" spans="2:2" x14ac:dyDescent="0.25">
      <c r="B15249" s="11"/>
    </row>
    <row r="15250" spans="2:2" x14ac:dyDescent="0.25">
      <c r="B15250" s="11"/>
    </row>
    <row r="15251" spans="2:2" x14ac:dyDescent="0.25">
      <c r="B15251" s="11"/>
    </row>
    <row r="15252" spans="2:2" x14ac:dyDescent="0.25">
      <c r="B15252" s="11"/>
    </row>
    <row r="15253" spans="2:2" x14ac:dyDescent="0.25">
      <c r="B15253" s="11"/>
    </row>
    <row r="15254" spans="2:2" x14ac:dyDescent="0.25">
      <c r="B15254" s="11"/>
    </row>
    <row r="15255" spans="2:2" x14ac:dyDescent="0.25">
      <c r="B15255" s="11"/>
    </row>
    <row r="15256" spans="2:2" x14ac:dyDescent="0.25">
      <c r="B15256" s="11"/>
    </row>
    <row r="15257" spans="2:2" x14ac:dyDescent="0.25">
      <c r="B15257" s="11"/>
    </row>
    <row r="15258" spans="2:2" x14ac:dyDescent="0.25">
      <c r="B15258" s="11"/>
    </row>
    <row r="15259" spans="2:2" x14ac:dyDescent="0.25">
      <c r="B15259" s="11"/>
    </row>
    <row r="15260" spans="2:2" x14ac:dyDescent="0.25">
      <c r="B15260" s="11"/>
    </row>
    <row r="15261" spans="2:2" x14ac:dyDescent="0.25">
      <c r="B15261" s="11"/>
    </row>
    <row r="15262" spans="2:2" x14ac:dyDescent="0.25">
      <c r="B15262" s="11"/>
    </row>
    <row r="15263" spans="2:2" x14ac:dyDescent="0.25">
      <c r="B15263" s="11"/>
    </row>
    <row r="15264" spans="2:2" x14ac:dyDescent="0.25">
      <c r="B15264" s="11"/>
    </row>
    <row r="15265" spans="2:2" x14ac:dyDescent="0.25">
      <c r="B15265" s="11"/>
    </row>
    <row r="15266" spans="2:2" x14ac:dyDescent="0.25">
      <c r="B15266" s="11"/>
    </row>
    <row r="15267" spans="2:2" x14ac:dyDescent="0.25">
      <c r="B15267" s="11"/>
    </row>
    <row r="15268" spans="2:2" x14ac:dyDescent="0.25">
      <c r="B15268" s="11"/>
    </row>
    <row r="15269" spans="2:2" x14ac:dyDescent="0.25">
      <c r="B15269" s="11"/>
    </row>
    <row r="15270" spans="2:2" x14ac:dyDescent="0.25">
      <c r="B15270" s="11"/>
    </row>
    <row r="15271" spans="2:2" x14ac:dyDescent="0.25">
      <c r="B15271" s="11"/>
    </row>
    <row r="15272" spans="2:2" x14ac:dyDescent="0.25">
      <c r="B15272" s="11"/>
    </row>
    <row r="15273" spans="2:2" x14ac:dyDescent="0.25">
      <c r="B15273" s="11"/>
    </row>
    <row r="15274" spans="2:2" x14ac:dyDescent="0.25">
      <c r="B15274" s="11"/>
    </row>
    <row r="15275" spans="2:2" x14ac:dyDescent="0.25">
      <c r="B15275" s="11"/>
    </row>
    <row r="15276" spans="2:2" x14ac:dyDescent="0.25">
      <c r="B15276" s="11"/>
    </row>
    <row r="15277" spans="2:2" x14ac:dyDescent="0.25">
      <c r="B15277" s="11"/>
    </row>
    <row r="15278" spans="2:2" x14ac:dyDescent="0.25">
      <c r="B15278" s="11"/>
    </row>
    <row r="15279" spans="2:2" x14ac:dyDescent="0.25">
      <c r="B15279" s="11"/>
    </row>
    <row r="15280" spans="2:2" x14ac:dyDescent="0.25">
      <c r="B15280" s="11"/>
    </row>
    <row r="15281" spans="2:2" x14ac:dyDescent="0.25">
      <c r="B15281" s="11"/>
    </row>
    <row r="15282" spans="2:2" x14ac:dyDescent="0.25">
      <c r="B15282" s="11"/>
    </row>
    <row r="15283" spans="2:2" x14ac:dyDescent="0.25">
      <c r="B15283" s="11"/>
    </row>
    <row r="15284" spans="2:2" x14ac:dyDescent="0.25">
      <c r="B15284" s="11"/>
    </row>
    <row r="15285" spans="2:2" x14ac:dyDescent="0.25">
      <c r="B15285" s="11"/>
    </row>
    <row r="15286" spans="2:2" x14ac:dyDescent="0.25">
      <c r="B15286" s="11"/>
    </row>
    <row r="15287" spans="2:2" x14ac:dyDescent="0.25">
      <c r="B15287" s="11"/>
    </row>
    <row r="15288" spans="2:2" x14ac:dyDescent="0.25">
      <c r="B15288" s="11"/>
    </row>
    <row r="15289" spans="2:2" x14ac:dyDescent="0.25">
      <c r="B15289" s="11"/>
    </row>
    <row r="15290" spans="2:2" x14ac:dyDescent="0.25">
      <c r="B15290" s="11"/>
    </row>
    <row r="15291" spans="2:2" x14ac:dyDescent="0.25">
      <c r="B15291" s="11"/>
    </row>
    <row r="15292" spans="2:2" x14ac:dyDescent="0.25">
      <c r="B15292" s="11"/>
    </row>
    <row r="15293" spans="2:2" x14ac:dyDescent="0.25">
      <c r="B15293" s="11"/>
    </row>
    <row r="15294" spans="2:2" x14ac:dyDescent="0.25">
      <c r="B15294" s="11"/>
    </row>
    <row r="15295" spans="2:2" x14ac:dyDescent="0.25">
      <c r="B15295" s="11"/>
    </row>
    <row r="15296" spans="2:2" x14ac:dyDescent="0.25">
      <c r="B15296" s="11"/>
    </row>
    <row r="15297" spans="2:2" x14ac:dyDescent="0.25">
      <c r="B15297" s="11"/>
    </row>
    <row r="15298" spans="2:2" x14ac:dyDescent="0.25">
      <c r="B15298" s="11"/>
    </row>
    <row r="15299" spans="2:2" x14ac:dyDescent="0.25">
      <c r="B15299" s="11"/>
    </row>
    <row r="15300" spans="2:2" x14ac:dyDescent="0.25">
      <c r="B15300" s="11"/>
    </row>
    <row r="15301" spans="2:2" x14ac:dyDescent="0.25">
      <c r="B15301" s="11"/>
    </row>
    <row r="15302" spans="2:2" x14ac:dyDescent="0.25">
      <c r="B15302" s="11"/>
    </row>
    <row r="15303" spans="2:2" x14ac:dyDescent="0.25">
      <c r="B15303" s="11"/>
    </row>
    <row r="15304" spans="2:2" x14ac:dyDescent="0.25">
      <c r="B15304" s="11"/>
    </row>
    <row r="15305" spans="2:2" x14ac:dyDescent="0.25">
      <c r="B15305" s="11"/>
    </row>
    <row r="15306" spans="2:2" x14ac:dyDescent="0.25">
      <c r="B15306" s="11"/>
    </row>
    <row r="15307" spans="2:2" x14ac:dyDescent="0.25">
      <c r="B15307" s="11"/>
    </row>
    <row r="15308" spans="2:2" x14ac:dyDescent="0.25">
      <c r="B15308" s="11"/>
    </row>
    <row r="15309" spans="2:2" x14ac:dyDescent="0.25">
      <c r="B15309" s="11"/>
    </row>
    <row r="15310" spans="2:2" x14ac:dyDescent="0.25">
      <c r="B15310" s="11"/>
    </row>
    <row r="15311" spans="2:2" x14ac:dyDescent="0.25">
      <c r="B15311" s="11"/>
    </row>
    <row r="15312" spans="2:2" x14ac:dyDescent="0.25">
      <c r="B15312" s="11"/>
    </row>
    <row r="15313" spans="2:2" x14ac:dyDescent="0.25">
      <c r="B15313" s="11"/>
    </row>
    <row r="15314" spans="2:2" x14ac:dyDescent="0.25">
      <c r="B15314" s="11"/>
    </row>
    <row r="15315" spans="2:2" x14ac:dyDescent="0.25">
      <c r="B15315" s="11"/>
    </row>
    <row r="15316" spans="2:2" x14ac:dyDescent="0.25">
      <c r="B15316" s="11"/>
    </row>
    <row r="15317" spans="2:2" x14ac:dyDescent="0.25">
      <c r="B15317" s="11"/>
    </row>
    <row r="15318" spans="2:2" x14ac:dyDescent="0.25">
      <c r="B15318" s="11"/>
    </row>
    <row r="15319" spans="2:2" x14ac:dyDescent="0.25">
      <c r="B15319" s="11"/>
    </row>
    <row r="15320" spans="2:2" x14ac:dyDescent="0.25">
      <c r="B15320" s="11"/>
    </row>
    <row r="15321" spans="2:2" x14ac:dyDescent="0.25">
      <c r="B15321" s="11"/>
    </row>
    <row r="15322" spans="2:2" x14ac:dyDescent="0.25">
      <c r="B15322" s="11"/>
    </row>
    <row r="15323" spans="2:2" x14ac:dyDescent="0.25">
      <c r="B15323" s="11"/>
    </row>
    <row r="15324" spans="2:2" x14ac:dyDescent="0.25">
      <c r="B15324" s="11"/>
    </row>
    <row r="15325" spans="2:2" x14ac:dyDescent="0.25">
      <c r="B15325" s="11"/>
    </row>
    <row r="15326" spans="2:2" x14ac:dyDescent="0.25">
      <c r="B15326" s="11"/>
    </row>
    <row r="15327" spans="2:2" x14ac:dyDescent="0.25">
      <c r="B15327" s="11"/>
    </row>
    <row r="15328" spans="2:2" x14ac:dyDescent="0.25">
      <c r="B15328" s="11"/>
    </row>
    <row r="15329" spans="2:2" x14ac:dyDescent="0.25">
      <c r="B15329" s="11"/>
    </row>
    <row r="15330" spans="2:2" x14ac:dyDescent="0.25">
      <c r="B15330" s="11"/>
    </row>
    <row r="15331" spans="2:2" x14ac:dyDescent="0.25">
      <c r="B15331" s="11"/>
    </row>
    <row r="15332" spans="2:2" x14ac:dyDescent="0.25">
      <c r="B15332" s="11"/>
    </row>
    <row r="15333" spans="2:2" x14ac:dyDescent="0.25">
      <c r="B15333" s="11"/>
    </row>
    <row r="15334" spans="2:2" x14ac:dyDescent="0.25">
      <c r="B15334" s="11"/>
    </row>
    <row r="15335" spans="2:2" x14ac:dyDescent="0.25">
      <c r="B15335" s="11"/>
    </row>
    <row r="15336" spans="2:2" x14ac:dyDescent="0.25">
      <c r="B15336" s="11"/>
    </row>
    <row r="15337" spans="2:2" x14ac:dyDescent="0.25">
      <c r="B15337" s="11"/>
    </row>
    <row r="15338" spans="2:2" x14ac:dyDescent="0.25">
      <c r="B15338" s="11"/>
    </row>
    <row r="15339" spans="2:2" x14ac:dyDescent="0.25">
      <c r="B15339" s="11"/>
    </row>
    <row r="15340" spans="2:2" x14ac:dyDescent="0.25">
      <c r="B15340" s="11"/>
    </row>
    <row r="15341" spans="2:2" x14ac:dyDescent="0.25">
      <c r="B15341" s="11"/>
    </row>
    <row r="15342" spans="2:2" x14ac:dyDescent="0.25">
      <c r="B15342" s="11"/>
    </row>
    <row r="15343" spans="2:2" x14ac:dyDescent="0.25">
      <c r="B15343" s="11"/>
    </row>
    <row r="15344" spans="2:2" x14ac:dyDescent="0.25">
      <c r="B15344" s="11"/>
    </row>
    <row r="15345" spans="2:2" x14ac:dyDescent="0.25">
      <c r="B15345" s="11"/>
    </row>
    <row r="15346" spans="2:2" x14ac:dyDescent="0.25">
      <c r="B15346" s="11"/>
    </row>
    <row r="15347" spans="2:2" x14ac:dyDescent="0.25">
      <c r="B15347" s="11"/>
    </row>
    <row r="15348" spans="2:2" x14ac:dyDescent="0.25">
      <c r="B15348" s="11"/>
    </row>
    <row r="15349" spans="2:2" x14ac:dyDescent="0.25">
      <c r="B15349" s="11"/>
    </row>
    <row r="15350" spans="2:2" x14ac:dyDescent="0.25">
      <c r="B15350" s="11"/>
    </row>
    <row r="15351" spans="2:2" x14ac:dyDescent="0.25">
      <c r="B15351" s="11"/>
    </row>
    <row r="15352" spans="2:2" x14ac:dyDescent="0.25">
      <c r="B15352" s="11"/>
    </row>
    <row r="15353" spans="2:2" x14ac:dyDescent="0.25">
      <c r="B15353" s="11"/>
    </row>
    <row r="15354" spans="2:2" x14ac:dyDescent="0.25">
      <c r="B15354" s="11"/>
    </row>
    <row r="15355" spans="2:2" x14ac:dyDescent="0.25">
      <c r="B15355" s="11"/>
    </row>
    <row r="15356" spans="2:2" x14ac:dyDescent="0.25">
      <c r="B15356" s="11"/>
    </row>
    <row r="15357" spans="2:2" x14ac:dyDescent="0.25">
      <c r="B15357" s="11"/>
    </row>
    <row r="15358" spans="2:2" x14ac:dyDescent="0.25">
      <c r="B15358" s="11"/>
    </row>
    <row r="15359" spans="2:2" x14ac:dyDescent="0.25">
      <c r="B15359" s="11"/>
    </row>
    <row r="15360" spans="2:2" x14ac:dyDescent="0.25">
      <c r="B15360" s="11"/>
    </row>
    <row r="15361" spans="2:2" x14ac:dyDescent="0.25">
      <c r="B15361" s="11"/>
    </row>
    <row r="15362" spans="2:2" x14ac:dyDescent="0.25">
      <c r="B15362" s="11"/>
    </row>
    <row r="15363" spans="2:2" x14ac:dyDescent="0.25">
      <c r="B15363" s="11"/>
    </row>
    <row r="15364" spans="2:2" x14ac:dyDescent="0.25">
      <c r="B15364" s="11"/>
    </row>
    <row r="15365" spans="2:2" x14ac:dyDescent="0.25">
      <c r="B15365" s="11"/>
    </row>
    <row r="15366" spans="2:2" x14ac:dyDescent="0.25">
      <c r="B15366" s="11"/>
    </row>
    <row r="15367" spans="2:2" x14ac:dyDescent="0.25">
      <c r="B15367" s="11"/>
    </row>
    <row r="15368" spans="2:2" x14ac:dyDescent="0.25">
      <c r="B15368" s="11"/>
    </row>
    <row r="15369" spans="2:2" x14ac:dyDescent="0.25">
      <c r="B15369" s="11"/>
    </row>
    <row r="15370" spans="2:2" x14ac:dyDescent="0.25">
      <c r="B15370" s="11"/>
    </row>
    <row r="15371" spans="2:2" x14ac:dyDescent="0.25">
      <c r="B15371" s="11"/>
    </row>
    <row r="15372" spans="2:2" x14ac:dyDescent="0.25">
      <c r="B15372" s="11"/>
    </row>
    <row r="15373" spans="2:2" x14ac:dyDescent="0.25">
      <c r="B15373" s="11"/>
    </row>
    <row r="15374" spans="2:2" x14ac:dyDescent="0.25">
      <c r="B15374" s="11"/>
    </row>
    <row r="15375" spans="2:2" x14ac:dyDescent="0.25">
      <c r="B15375" s="11"/>
    </row>
    <row r="15376" spans="2:2" x14ac:dyDescent="0.25">
      <c r="B15376" s="11"/>
    </row>
    <row r="15377" spans="2:2" x14ac:dyDescent="0.25">
      <c r="B15377" s="11"/>
    </row>
    <row r="15378" spans="2:2" x14ac:dyDescent="0.25">
      <c r="B15378" s="11"/>
    </row>
    <row r="15379" spans="2:2" x14ac:dyDescent="0.25">
      <c r="B15379" s="11"/>
    </row>
    <row r="15380" spans="2:2" x14ac:dyDescent="0.25">
      <c r="B15380" s="11"/>
    </row>
    <row r="15381" spans="2:2" x14ac:dyDescent="0.25">
      <c r="B15381" s="11"/>
    </row>
    <row r="15382" spans="2:2" x14ac:dyDescent="0.25">
      <c r="B15382" s="11"/>
    </row>
    <row r="15383" spans="2:2" x14ac:dyDescent="0.25">
      <c r="B15383" s="11"/>
    </row>
    <row r="15384" spans="2:2" x14ac:dyDescent="0.25">
      <c r="B15384" s="11"/>
    </row>
    <row r="15385" spans="2:2" x14ac:dyDescent="0.25">
      <c r="B15385" s="11"/>
    </row>
    <row r="15386" spans="2:2" x14ac:dyDescent="0.25">
      <c r="B15386" s="11"/>
    </row>
    <row r="15387" spans="2:2" x14ac:dyDescent="0.25">
      <c r="B15387" s="11"/>
    </row>
    <row r="15388" spans="2:2" x14ac:dyDescent="0.25">
      <c r="B15388" s="11"/>
    </row>
    <row r="15389" spans="2:2" x14ac:dyDescent="0.25">
      <c r="B15389" s="11"/>
    </row>
    <row r="15390" spans="2:2" x14ac:dyDescent="0.25">
      <c r="B15390" s="11"/>
    </row>
    <row r="15391" spans="2:2" x14ac:dyDescent="0.25">
      <c r="B15391" s="11"/>
    </row>
    <row r="15392" spans="2:2" x14ac:dyDescent="0.25">
      <c r="B15392" s="11"/>
    </row>
    <row r="15393" spans="2:2" x14ac:dyDescent="0.25">
      <c r="B15393" s="11"/>
    </row>
    <row r="15394" spans="2:2" x14ac:dyDescent="0.25">
      <c r="B15394" s="11"/>
    </row>
    <row r="15395" spans="2:2" x14ac:dyDescent="0.25">
      <c r="B15395" s="11"/>
    </row>
    <row r="15396" spans="2:2" x14ac:dyDescent="0.25">
      <c r="B15396" s="11"/>
    </row>
    <row r="15397" spans="2:2" x14ac:dyDescent="0.25">
      <c r="B15397" s="11"/>
    </row>
    <row r="15398" spans="2:2" x14ac:dyDescent="0.25">
      <c r="B15398" s="11"/>
    </row>
    <row r="15399" spans="2:2" x14ac:dyDescent="0.25">
      <c r="B15399" s="11"/>
    </row>
    <row r="15400" spans="2:2" x14ac:dyDescent="0.25">
      <c r="B15400" s="11"/>
    </row>
    <row r="15401" spans="2:2" x14ac:dyDescent="0.25">
      <c r="B15401" s="11"/>
    </row>
    <row r="15402" spans="2:2" x14ac:dyDescent="0.25">
      <c r="B15402" s="11"/>
    </row>
    <row r="15403" spans="2:2" x14ac:dyDescent="0.25">
      <c r="B15403" s="11"/>
    </row>
    <row r="15404" spans="2:2" x14ac:dyDescent="0.25">
      <c r="B15404" s="11"/>
    </row>
    <row r="15405" spans="2:2" x14ac:dyDescent="0.25">
      <c r="B15405" s="11"/>
    </row>
    <row r="15406" spans="2:2" x14ac:dyDescent="0.25">
      <c r="B15406" s="11"/>
    </row>
    <row r="15407" spans="2:2" x14ac:dyDescent="0.25">
      <c r="B15407" s="11"/>
    </row>
    <row r="15408" spans="2:2" x14ac:dyDescent="0.25">
      <c r="B15408" s="11"/>
    </row>
    <row r="15409" spans="2:2" x14ac:dyDescent="0.25">
      <c r="B15409" s="11"/>
    </row>
    <row r="15410" spans="2:2" x14ac:dyDescent="0.25">
      <c r="B15410" s="11"/>
    </row>
    <row r="15411" spans="2:2" x14ac:dyDescent="0.25">
      <c r="B15411" s="11"/>
    </row>
    <row r="15412" spans="2:2" x14ac:dyDescent="0.25">
      <c r="B15412" s="11"/>
    </row>
    <row r="15413" spans="2:2" x14ac:dyDescent="0.25">
      <c r="B15413" s="11"/>
    </row>
    <row r="15414" spans="2:2" x14ac:dyDescent="0.25">
      <c r="B15414" s="11"/>
    </row>
    <row r="15415" spans="2:2" x14ac:dyDescent="0.25">
      <c r="B15415" s="11"/>
    </row>
    <row r="15416" spans="2:2" x14ac:dyDescent="0.25">
      <c r="B15416" s="11"/>
    </row>
    <row r="15417" spans="2:2" x14ac:dyDescent="0.25">
      <c r="B15417" s="11"/>
    </row>
    <row r="15418" spans="2:2" x14ac:dyDescent="0.25">
      <c r="B15418" s="11"/>
    </row>
    <row r="15419" spans="2:2" x14ac:dyDescent="0.25">
      <c r="B15419" s="11"/>
    </row>
    <row r="15420" spans="2:2" x14ac:dyDescent="0.25">
      <c r="B15420" s="11"/>
    </row>
    <row r="15421" spans="2:2" x14ac:dyDescent="0.25">
      <c r="B15421" s="11"/>
    </row>
    <row r="15422" spans="2:2" x14ac:dyDescent="0.25">
      <c r="B15422" s="11"/>
    </row>
    <row r="15423" spans="2:2" x14ac:dyDescent="0.25">
      <c r="B15423" s="11"/>
    </row>
    <row r="15424" spans="2:2" x14ac:dyDescent="0.25">
      <c r="B15424" s="11"/>
    </row>
    <row r="15425" spans="2:2" x14ac:dyDescent="0.25">
      <c r="B15425" s="11"/>
    </row>
    <row r="15426" spans="2:2" x14ac:dyDescent="0.25">
      <c r="B15426" s="11"/>
    </row>
    <row r="15427" spans="2:2" x14ac:dyDescent="0.25">
      <c r="B15427" s="11"/>
    </row>
    <row r="15428" spans="2:2" x14ac:dyDescent="0.25">
      <c r="B15428" s="11"/>
    </row>
    <row r="15429" spans="2:2" x14ac:dyDescent="0.25">
      <c r="B15429" s="11"/>
    </row>
    <row r="15430" spans="2:2" x14ac:dyDescent="0.25">
      <c r="B15430" s="11"/>
    </row>
    <row r="15431" spans="2:2" x14ac:dyDescent="0.25">
      <c r="B15431" s="11"/>
    </row>
    <row r="15432" spans="2:2" x14ac:dyDescent="0.25">
      <c r="B15432" s="11"/>
    </row>
    <row r="15433" spans="2:2" x14ac:dyDescent="0.25">
      <c r="B15433" s="11"/>
    </row>
    <row r="15434" spans="2:2" x14ac:dyDescent="0.25">
      <c r="B15434" s="11"/>
    </row>
    <row r="15435" spans="2:2" x14ac:dyDescent="0.25">
      <c r="B15435" s="11"/>
    </row>
    <row r="15436" spans="2:2" x14ac:dyDescent="0.25">
      <c r="B15436" s="11"/>
    </row>
    <row r="15437" spans="2:2" x14ac:dyDescent="0.25">
      <c r="B15437" s="11"/>
    </row>
    <row r="15438" spans="2:2" x14ac:dyDescent="0.25">
      <c r="B15438" s="11"/>
    </row>
    <row r="15439" spans="2:2" x14ac:dyDescent="0.25">
      <c r="B15439" s="11"/>
    </row>
    <row r="15440" spans="2:2" x14ac:dyDescent="0.25">
      <c r="B15440" s="11"/>
    </row>
    <row r="15441" spans="2:2" x14ac:dyDescent="0.25">
      <c r="B15441" s="11"/>
    </row>
    <row r="15442" spans="2:2" x14ac:dyDescent="0.25">
      <c r="B15442" s="11"/>
    </row>
    <row r="15443" spans="2:2" x14ac:dyDescent="0.25">
      <c r="B15443" s="11"/>
    </row>
    <row r="15444" spans="2:2" x14ac:dyDescent="0.25">
      <c r="B15444" s="11"/>
    </row>
    <row r="15445" spans="2:2" x14ac:dyDescent="0.25">
      <c r="B15445" s="11"/>
    </row>
    <row r="15446" spans="2:2" x14ac:dyDescent="0.25">
      <c r="B15446" s="11"/>
    </row>
    <row r="15447" spans="2:2" x14ac:dyDescent="0.25">
      <c r="B15447" s="11"/>
    </row>
    <row r="15448" spans="2:2" x14ac:dyDescent="0.25">
      <c r="B15448" s="11"/>
    </row>
    <row r="15449" spans="2:2" x14ac:dyDescent="0.25">
      <c r="B15449" s="11"/>
    </row>
    <row r="15450" spans="2:2" x14ac:dyDescent="0.25">
      <c r="B15450" s="11"/>
    </row>
    <row r="15451" spans="2:2" x14ac:dyDescent="0.25">
      <c r="B15451" s="11"/>
    </row>
    <row r="15452" spans="2:2" x14ac:dyDescent="0.25">
      <c r="B15452" s="11"/>
    </row>
    <row r="15453" spans="2:2" x14ac:dyDescent="0.25">
      <c r="B15453" s="11"/>
    </row>
    <row r="15454" spans="2:2" x14ac:dyDescent="0.25">
      <c r="B15454" s="11"/>
    </row>
    <row r="15455" spans="2:2" x14ac:dyDescent="0.25">
      <c r="B15455" s="11"/>
    </row>
    <row r="15456" spans="2:2" x14ac:dyDescent="0.25">
      <c r="B15456" s="11"/>
    </row>
    <row r="15457" spans="2:2" x14ac:dyDescent="0.25">
      <c r="B15457" s="11"/>
    </row>
    <row r="15458" spans="2:2" x14ac:dyDescent="0.25">
      <c r="B15458" s="11"/>
    </row>
    <row r="15459" spans="2:2" x14ac:dyDescent="0.25">
      <c r="B15459" s="11"/>
    </row>
    <row r="15460" spans="2:2" x14ac:dyDescent="0.25">
      <c r="B15460" s="11"/>
    </row>
    <row r="15461" spans="2:2" x14ac:dyDescent="0.25">
      <c r="B15461" s="11"/>
    </row>
    <row r="15462" spans="2:2" x14ac:dyDescent="0.25">
      <c r="B15462" s="11"/>
    </row>
    <row r="15463" spans="2:2" x14ac:dyDescent="0.25">
      <c r="B15463" s="11"/>
    </row>
    <row r="15464" spans="2:2" x14ac:dyDescent="0.25">
      <c r="B15464" s="11"/>
    </row>
    <row r="15465" spans="2:2" x14ac:dyDescent="0.25">
      <c r="B15465" s="11"/>
    </row>
    <row r="15466" spans="2:2" x14ac:dyDescent="0.25">
      <c r="B15466" s="11"/>
    </row>
    <row r="15467" spans="2:2" x14ac:dyDescent="0.25">
      <c r="B15467" s="11"/>
    </row>
    <row r="15468" spans="2:2" x14ac:dyDescent="0.25">
      <c r="B15468" s="11"/>
    </row>
    <row r="15469" spans="2:2" x14ac:dyDescent="0.25">
      <c r="B15469" s="11"/>
    </row>
    <row r="15470" spans="2:2" x14ac:dyDescent="0.25">
      <c r="B15470" s="11"/>
    </row>
    <row r="15471" spans="2:2" x14ac:dyDescent="0.25">
      <c r="B15471" s="11"/>
    </row>
    <row r="15472" spans="2:2" x14ac:dyDescent="0.25">
      <c r="B15472" s="11"/>
    </row>
    <row r="15473" spans="2:2" x14ac:dyDescent="0.25">
      <c r="B15473" s="11"/>
    </row>
    <row r="15474" spans="2:2" x14ac:dyDescent="0.25">
      <c r="B15474" s="11"/>
    </row>
    <row r="15475" spans="2:2" x14ac:dyDescent="0.25">
      <c r="B15475" s="11"/>
    </row>
    <row r="15476" spans="2:2" x14ac:dyDescent="0.25">
      <c r="B15476" s="11"/>
    </row>
    <row r="15477" spans="2:2" x14ac:dyDescent="0.25">
      <c r="B15477" s="11"/>
    </row>
    <row r="15478" spans="2:2" x14ac:dyDescent="0.25">
      <c r="B15478" s="11"/>
    </row>
    <row r="15479" spans="2:2" x14ac:dyDescent="0.25">
      <c r="B15479" s="11"/>
    </row>
    <row r="15480" spans="2:2" x14ac:dyDescent="0.25">
      <c r="B15480" s="11"/>
    </row>
    <row r="15481" spans="2:2" x14ac:dyDescent="0.25">
      <c r="B15481" s="11"/>
    </row>
    <row r="15482" spans="2:2" x14ac:dyDescent="0.25">
      <c r="B15482" s="11"/>
    </row>
    <row r="15483" spans="2:2" x14ac:dyDescent="0.25">
      <c r="B15483" s="11"/>
    </row>
    <row r="15484" spans="2:2" x14ac:dyDescent="0.25">
      <c r="B15484" s="11"/>
    </row>
    <row r="15485" spans="2:2" x14ac:dyDescent="0.25">
      <c r="B15485" s="11"/>
    </row>
    <row r="15486" spans="2:2" x14ac:dyDescent="0.25">
      <c r="B15486" s="11"/>
    </row>
    <row r="15487" spans="2:2" x14ac:dyDescent="0.25">
      <c r="B15487" s="11"/>
    </row>
    <row r="15488" spans="2:2" x14ac:dyDescent="0.25">
      <c r="B15488" s="11"/>
    </row>
    <row r="15489" spans="2:2" x14ac:dyDescent="0.25">
      <c r="B15489" s="11"/>
    </row>
    <row r="15490" spans="2:2" x14ac:dyDescent="0.25">
      <c r="B15490" s="11"/>
    </row>
    <row r="15491" spans="2:2" x14ac:dyDescent="0.25">
      <c r="B15491" s="11"/>
    </row>
    <row r="15492" spans="2:2" x14ac:dyDescent="0.25">
      <c r="B15492" s="11"/>
    </row>
    <row r="15493" spans="2:2" x14ac:dyDescent="0.25">
      <c r="B15493" s="11"/>
    </row>
    <row r="15494" spans="2:2" x14ac:dyDescent="0.25">
      <c r="B15494" s="11"/>
    </row>
    <row r="15495" spans="2:2" x14ac:dyDescent="0.25">
      <c r="B15495" s="11"/>
    </row>
    <row r="15496" spans="2:2" x14ac:dyDescent="0.25">
      <c r="B15496" s="11"/>
    </row>
    <row r="15497" spans="2:2" x14ac:dyDescent="0.25">
      <c r="B15497" s="11"/>
    </row>
    <row r="15498" spans="2:2" x14ac:dyDescent="0.25">
      <c r="B15498" s="11"/>
    </row>
    <row r="15499" spans="2:2" x14ac:dyDescent="0.25">
      <c r="B15499" s="11"/>
    </row>
    <row r="15500" spans="2:2" x14ac:dyDescent="0.25">
      <c r="B15500" s="11"/>
    </row>
    <row r="15501" spans="2:2" x14ac:dyDescent="0.25">
      <c r="B15501" s="11"/>
    </row>
    <row r="15502" spans="2:2" x14ac:dyDescent="0.25">
      <c r="B15502" s="11"/>
    </row>
    <row r="15503" spans="2:2" x14ac:dyDescent="0.25">
      <c r="B15503" s="11"/>
    </row>
    <row r="15504" spans="2:2" x14ac:dyDescent="0.25">
      <c r="B15504" s="11"/>
    </row>
    <row r="15505" spans="2:2" x14ac:dyDescent="0.25">
      <c r="B15505" s="11"/>
    </row>
    <row r="15506" spans="2:2" x14ac:dyDescent="0.25">
      <c r="B15506" s="11"/>
    </row>
    <row r="15507" spans="2:2" x14ac:dyDescent="0.25">
      <c r="B15507" s="11"/>
    </row>
    <row r="15508" spans="2:2" x14ac:dyDescent="0.25">
      <c r="B15508" s="11"/>
    </row>
    <row r="15509" spans="2:2" x14ac:dyDescent="0.25">
      <c r="B15509" s="11"/>
    </row>
    <row r="15510" spans="2:2" x14ac:dyDescent="0.25">
      <c r="B15510" s="11"/>
    </row>
    <row r="15511" spans="2:2" x14ac:dyDescent="0.25">
      <c r="B15511" s="11"/>
    </row>
    <row r="15512" spans="2:2" x14ac:dyDescent="0.25">
      <c r="B15512" s="11"/>
    </row>
    <row r="15513" spans="2:2" x14ac:dyDescent="0.25">
      <c r="B15513" s="11"/>
    </row>
    <row r="15514" spans="2:2" x14ac:dyDescent="0.25">
      <c r="B15514" s="11"/>
    </row>
    <row r="15515" spans="2:2" x14ac:dyDescent="0.25">
      <c r="B15515" s="11"/>
    </row>
    <row r="15516" spans="2:2" x14ac:dyDescent="0.25">
      <c r="B15516" s="11"/>
    </row>
    <row r="15517" spans="2:2" x14ac:dyDescent="0.25">
      <c r="B15517" s="11"/>
    </row>
    <row r="15518" spans="2:2" x14ac:dyDescent="0.25">
      <c r="B15518" s="11"/>
    </row>
    <row r="15519" spans="2:2" x14ac:dyDescent="0.25">
      <c r="B15519" s="11"/>
    </row>
    <row r="15520" spans="2:2" x14ac:dyDescent="0.25">
      <c r="B15520" s="11"/>
    </row>
    <row r="15521" spans="2:2" x14ac:dyDescent="0.25">
      <c r="B15521" s="11"/>
    </row>
    <row r="15522" spans="2:2" x14ac:dyDescent="0.25">
      <c r="B15522" s="11"/>
    </row>
    <row r="15523" spans="2:2" x14ac:dyDescent="0.25">
      <c r="B15523" s="11"/>
    </row>
    <row r="15524" spans="2:2" x14ac:dyDescent="0.25">
      <c r="B15524" s="11"/>
    </row>
    <row r="15525" spans="2:2" x14ac:dyDescent="0.25">
      <c r="B15525" s="11"/>
    </row>
    <row r="15526" spans="2:2" x14ac:dyDescent="0.25">
      <c r="B15526" s="11"/>
    </row>
    <row r="15527" spans="2:2" x14ac:dyDescent="0.25">
      <c r="B15527" s="11"/>
    </row>
    <row r="15528" spans="2:2" x14ac:dyDescent="0.25">
      <c r="B15528" s="11"/>
    </row>
    <row r="15529" spans="2:2" x14ac:dyDescent="0.25">
      <c r="B15529" s="11"/>
    </row>
    <row r="15530" spans="2:2" x14ac:dyDescent="0.25">
      <c r="B15530" s="11"/>
    </row>
    <row r="15531" spans="2:2" x14ac:dyDescent="0.25">
      <c r="B15531" s="11"/>
    </row>
    <row r="15532" spans="2:2" x14ac:dyDescent="0.25">
      <c r="B15532" s="11"/>
    </row>
    <row r="15533" spans="2:2" x14ac:dyDescent="0.25">
      <c r="B15533" s="11"/>
    </row>
    <row r="15534" spans="2:2" x14ac:dyDescent="0.25">
      <c r="B15534" s="11"/>
    </row>
    <row r="15535" spans="2:2" x14ac:dyDescent="0.25">
      <c r="B15535" s="11"/>
    </row>
    <row r="15536" spans="2:2" x14ac:dyDescent="0.25">
      <c r="B15536" s="11"/>
    </row>
    <row r="15537" spans="2:2" x14ac:dyDescent="0.25">
      <c r="B15537" s="11"/>
    </row>
    <row r="15538" spans="2:2" x14ac:dyDescent="0.25">
      <c r="B15538" s="11"/>
    </row>
    <row r="15539" spans="2:2" x14ac:dyDescent="0.25">
      <c r="B15539" s="11"/>
    </row>
    <row r="15540" spans="2:2" x14ac:dyDescent="0.25">
      <c r="B15540" s="11"/>
    </row>
    <row r="15541" spans="2:2" x14ac:dyDescent="0.25">
      <c r="B15541" s="11"/>
    </row>
    <row r="15542" spans="2:2" x14ac:dyDescent="0.25">
      <c r="B15542" s="11"/>
    </row>
    <row r="15543" spans="2:2" x14ac:dyDescent="0.25">
      <c r="B15543" s="11"/>
    </row>
    <row r="15544" spans="2:2" x14ac:dyDescent="0.25">
      <c r="B15544" s="11"/>
    </row>
    <row r="15545" spans="2:2" x14ac:dyDescent="0.25">
      <c r="B15545" s="11"/>
    </row>
    <row r="15546" spans="2:2" x14ac:dyDescent="0.25">
      <c r="B15546" s="11"/>
    </row>
    <row r="15547" spans="2:2" x14ac:dyDescent="0.25">
      <c r="B15547" s="11"/>
    </row>
    <row r="15548" spans="2:2" x14ac:dyDescent="0.25">
      <c r="B15548" s="11"/>
    </row>
    <row r="15549" spans="2:2" x14ac:dyDescent="0.25">
      <c r="B15549" s="11"/>
    </row>
    <row r="15550" spans="2:2" x14ac:dyDescent="0.25">
      <c r="B15550" s="11"/>
    </row>
    <row r="15551" spans="2:2" x14ac:dyDescent="0.25">
      <c r="B15551" s="11"/>
    </row>
    <row r="15552" spans="2:2" x14ac:dyDescent="0.25">
      <c r="B15552" s="11"/>
    </row>
    <row r="15553" spans="2:2" x14ac:dyDescent="0.25">
      <c r="B15553" s="11"/>
    </row>
    <row r="15554" spans="2:2" x14ac:dyDescent="0.25">
      <c r="B15554" s="11"/>
    </row>
    <row r="15555" spans="2:2" x14ac:dyDescent="0.25">
      <c r="B15555" s="11"/>
    </row>
    <row r="15556" spans="2:2" x14ac:dyDescent="0.25">
      <c r="B15556" s="11"/>
    </row>
    <row r="15557" spans="2:2" x14ac:dyDescent="0.25">
      <c r="B15557" s="11"/>
    </row>
    <row r="15558" spans="2:2" x14ac:dyDescent="0.25">
      <c r="B15558" s="11"/>
    </row>
    <row r="15559" spans="2:2" x14ac:dyDescent="0.25">
      <c r="B15559" s="11"/>
    </row>
    <row r="15560" spans="2:2" x14ac:dyDescent="0.25">
      <c r="B15560" s="11"/>
    </row>
    <row r="15561" spans="2:2" x14ac:dyDescent="0.25">
      <c r="B15561" s="11"/>
    </row>
    <row r="15562" spans="2:2" x14ac:dyDescent="0.25">
      <c r="B15562" s="11"/>
    </row>
    <row r="15563" spans="2:2" x14ac:dyDescent="0.25">
      <c r="B15563" s="11"/>
    </row>
    <row r="15564" spans="2:2" x14ac:dyDescent="0.25">
      <c r="B15564" s="11"/>
    </row>
    <row r="15565" spans="2:2" x14ac:dyDescent="0.25">
      <c r="B15565" s="11"/>
    </row>
    <row r="15566" spans="2:2" x14ac:dyDescent="0.25">
      <c r="B15566" s="11"/>
    </row>
    <row r="15567" spans="2:2" x14ac:dyDescent="0.25">
      <c r="B15567" s="11"/>
    </row>
    <row r="15568" spans="2:2" x14ac:dyDescent="0.25">
      <c r="B15568" s="11"/>
    </row>
    <row r="15569" spans="2:2" x14ac:dyDescent="0.25">
      <c r="B15569" s="11"/>
    </row>
    <row r="15570" spans="2:2" x14ac:dyDescent="0.25">
      <c r="B15570" s="11"/>
    </row>
    <row r="15571" spans="2:2" x14ac:dyDescent="0.25">
      <c r="B15571" s="11"/>
    </row>
    <row r="15572" spans="2:2" x14ac:dyDescent="0.25">
      <c r="B15572" s="11"/>
    </row>
    <row r="15573" spans="2:2" x14ac:dyDescent="0.25">
      <c r="B15573" s="11"/>
    </row>
    <row r="15574" spans="2:2" x14ac:dyDescent="0.25">
      <c r="B15574" s="11"/>
    </row>
    <row r="15575" spans="2:2" x14ac:dyDescent="0.25">
      <c r="B15575" s="11"/>
    </row>
    <row r="15576" spans="2:2" x14ac:dyDescent="0.25">
      <c r="B15576" s="11"/>
    </row>
    <row r="15577" spans="2:2" x14ac:dyDescent="0.25">
      <c r="B15577" s="11"/>
    </row>
    <row r="15578" spans="2:2" x14ac:dyDescent="0.25">
      <c r="B15578" s="11"/>
    </row>
    <row r="15579" spans="2:2" x14ac:dyDescent="0.25">
      <c r="B15579" s="11"/>
    </row>
    <row r="15580" spans="2:2" x14ac:dyDescent="0.25">
      <c r="B15580" s="11"/>
    </row>
    <row r="15581" spans="2:2" x14ac:dyDescent="0.25">
      <c r="B15581" s="11"/>
    </row>
    <row r="15582" spans="2:2" x14ac:dyDescent="0.25">
      <c r="B15582" s="11"/>
    </row>
    <row r="15583" spans="2:2" x14ac:dyDescent="0.25">
      <c r="B15583" s="11"/>
    </row>
    <row r="15584" spans="2:2" x14ac:dyDescent="0.25">
      <c r="B15584" s="11"/>
    </row>
    <row r="15585" spans="2:2" x14ac:dyDescent="0.25">
      <c r="B15585" s="11"/>
    </row>
    <row r="15586" spans="2:2" x14ac:dyDescent="0.25">
      <c r="B15586" s="11"/>
    </row>
    <row r="15587" spans="2:2" x14ac:dyDescent="0.25">
      <c r="B15587" s="11"/>
    </row>
    <row r="15588" spans="2:2" x14ac:dyDescent="0.25">
      <c r="B15588" s="11"/>
    </row>
    <row r="15589" spans="2:2" x14ac:dyDescent="0.25">
      <c r="B15589" s="11"/>
    </row>
    <row r="15590" spans="2:2" x14ac:dyDescent="0.25">
      <c r="B15590" s="11"/>
    </row>
    <row r="15591" spans="2:2" x14ac:dyDescent="0.25">
      <c r="B15591" s="11"/>
    </row>
    <row r="15592" spans="2:2" x14ac:dyDescent="0.25">
      <c r="B15592" s="11"/>
    </row>
    <row r="15593" spans="2:2" x14ac:dyDescent="0.25">
      <c r="B15593" s="11"/>
    </row>
    <row r="15594" spans="2:2" x14ac:dyDescent="0.25">
      <c r="B15594" s="11"/>
    </row>
    <row r="15595" spans="2:2" x14ac:dyDescent="0.25">
      <c r="B15595" s="11"/>
    </row>
    <row r="15596" spans="2:2" x14ac:dyDescent="0.25">
      <c r="B15596" s="11"/>
    </row>
    <row r="15597" spans="2:2" x14ac:dyDescent="0.25">
      <c r="B15597" s="11"/>
    </row>
    <row r="15598" spans="2:2" x14ac:dyDescent="0.25">
      <c r="B15598" s="11"/>
    </row>
    <row r="15599" spans="2:2" x14ac:dyDescent="0.25">
      <c r="B15599" s="11"/>
    </row>
    <row r="15600" spans="2:2" x14ac:dyDescent="0.25">
      <c r="B15600" s="11"/>
    </row>
    <row r="15601" spans="2:2" x14ac:dyDescent="0.25">
      <c r="B15601" s="11"/>
    </row>
    <row r="15602" spans="2:2" x14ac:dyDescent="0.25">
      <c r="B15602" s="11"/>
    </row>
    <row r="15603" spans="2:2" x14ac:dyDescent="0.25">
      <c r="B15603" s="11"/>
    </row>
    <row r="15604" spans="2:2" x14ac:dyDescent="0.25">
      <c r="B15604" s="11"/>
    </row>
    <row r="15605" spans="2:2" x14ac:dyDescent="0.25">
      <c r="B15605" s="11"/>
    </row>
    <row r="15606" spans="2:2" x14ac:dyDescent="0.25">
      <c r="B15606" s="11"/>
    </row>
    <row r="15607" spans="2:2" x14ac:dyDescent="0.25">
      <c r="B15607" s="11"/>
    </row>
    <row r="15608" spans="2:2" x14ac:dyDescent="0.25">
      <c r="B15608" s="11"/>
    </row>
    <row r="15609" spans="2:2" x14ac:dyDescent="0.25">
      <c r="B15609" s="11"/>
    </row>
    <row r="15610" spans="2:2" x14ac:dyDescent="0.25">
      <c r="B15610" s="11"/>
    </row>
    <row r="15611" spans="2:2" x14ac:dyDescent="0.25">
      <c r="B15611" s="11"/>
    </row>
    <row r="15612" spans="2:2" x14ac:dyDescent="0.25">
      <c r="B15612" s="11"/>
    </row>
    <row r="15613" spans="2:2" x14ac:dyDescent="0.25">
      <c r="B15613" s="11"/>
    </row>
    <row r="15614" spans="2:2" x14ac:dyDescent="0.25">
      <c r="B15614" s="11"/>
    </row>
    <row r="15615" spans="2:2" x14ac:dyDescent="0.25">
      <c r="B15615" s="11"/>
    </row>
    <row r="15616" spans="2:2" x14ac:dyDescent="0.25">
      <c r="B15616" s="11"/>
    </row>
    <row r="15617" spans="2:2" x14ac:dyDescent="0.25">
      <c r="B15617" s="11"/>
    </row>
    <row r="15618" spans="2:2" x14ac:dyDescent="0.25">
      <c r="B15618" s="11"/>
    </row>
    <row r="15619" spans="2:2" x14ac:dyDescent="0.25">
      <c r="B15619" s="11"/>
    </row>
    <row r="15620" spans="2:2" x14ac:dyDescent="0.25">
      <c r="B15620" s="11"/>
    </row>
    <row r="15621" spans="2:2" x14ac:dyDescent="0.25">
      <c r="B15621" s="11"/>
    </row>
    <row r="15622" spans="2:2" x14ac:dyDescent="0.25">
      <c r="B15622" s="11"/>
    </row>
    <row r="15623" spans="2:2" x14ac:dyDescent="0.25">
      <c r="B15623" s="11"/>
    </row>
    <row r="15624" spans="2:2" x14ac:dyDescent="0.25">
      <c r="B15624" s="11"/>
    </row>
    <row r="15625" spans="2:2" x14ac:dyDescent="0.25">
      <c r="B15625" s="11"/>
    </row>
    <row r="15626" spans="2:2" x14ac:dyDescent="0.25">
      <c r="B15626" s="11"/>
    </row>
    <row r="15627" spans="2:2" x14ac:dyDescent="0.25">
      <c r="B15627" s="11"/>
    </row>
    <row r="15628" spans="2:2" x14ac:dyDescent="0.25">
      <c r="B15628" s="11"/>
    </row>
    <row r="15629" spans="2:2" x14ac:dyDescent="0.25">
      <c r="B15629" s="11"/>
    </row>
    <row r="15630" spans="2:2" x14ac:dyDescent="0.25">
      <c r="B15630" s="11"/>
    </row>
    <row r="15631" spans="2:2" x14ac:dyDescent="0.25">
      <c r="B15631" s="11"/>
    </row>
    <row r="15632" spans="2:2" x14ac:dyDescent="0.25">
      <c r="B15632" s="11"/>
    </row>
    <row r="15633" spans="2:2" x14ac:dyDescent="0.25">
      <c r="B15633" s="11"/>
    </row>
    <row r="15634" spans="2:2" x14ac:dyDescent="0.25">
      <c r="B15634" s="11"/>
    </row>
    <row r="15635" spans="2:2" x14ac:dyDescent="0.25">
      <c r="B15635" s="11"/>
    </row>
    <row r="15636" spans="2:2" x14ac:dyDescent="0.25">
      <c r="B15636" s="11"/>
    </row>
    <row r="15637" spans="2:2" x14ac:dyDescent="0.25">
      <c r="B15637" s="11"/>
    </row>
    <row r="15638" spans="2:2" x14ac:dyDescent="0.25">
      <c r="B15638" s="11"/>
    </row>
    <row r="15639" spans="2:2" x14ac:dyDescent="0.25">
      <c r="B15639" s="11"/>
    </row>
    <row r="15640" spans="2:2" x14ac:dyDescent="0.25">
      <c r="B15640" s="11"/>
    </row>
    <row r="15641" spans="2:2" x14ac:dyDescent="0.25">
      <c r="B15641" s="11"/>
    </row>
    <row r="15642" spans="2:2" x14ac:dyDescent="0.25">
      <c r="B15642" s="11"/>
    </row>
    <row r="15643" spans="2:2" x14ac:dyDescent="0.25">
      <c r="B15643" s="11"/>
    </row>
    <row r="15644" spans="2:2" x14ac:dyDescent="0.25">
      <c r="B15644" s="11"/>
    </row>
    <row r="15645" spans="2:2" x14ac:dyDescent="0.25">
      <c r="B15645" s="11"/>
    </row>
    <row r="15646" spans="2:2" x14ac:dyDescent="0.25">
      <c r="B15646" s="11"/>
    </row>
    <row r="15647" spans="2:2" x14ac:dyDescent="0.25">
      <c r="B15647" s="11"/>
    </row>
    <row r="15648" spans="2:2" x14ac:dyDescent="0.25">
      <c r="B15648" s="11"/>
    </row>
    <row r="15649" spans="2:2" x14ac:dyDescent="0.25">
      <c r="B15649" s="11"/>
    </row>
    <row r="15650" spans="2:2" x14ac:dyDescent="0.25">
      <c r="B15650" s="11"/>
    </row>
    <row r="15651" spans="2:2" x14ac:dyDescent="0.25">
      <c r="B15651" s="11"/>
    </row>
    <row r="15652" spans="2:2" x14ac:dyDescent="0.25">
      <c r="B15652" s="11"/>
    </row>
    <row r="15653" spans="2:2" x14ac:dyDescent="0.25">
      <c r="B15653" s="11"/>
    </row>
    <row r="15654" spans="2:2" x14ac:dyDescent="0.25">
      <c r="B15654" s="11"/>
    </row>
    <row r="15655" spans="2:2" x14ac:dyDescent="0.25">
      <c r="B15655" s="11"/>
    </row>
    <row r="15656" spans="2:2" x14ac:dyDescent="0.25">
      <c r="B15656" s="11"/>
    </row>
    <row r="15657" spans="2:2" x14ac:dyDescent="0.25">
      <c r="B15657" s="11"/>
    </row>
    <row r="15658" spans="2:2" x14ac:dyDescent="0.25">
      <c r="B15658" s="11"/>
    </row>
    <row r="15659" spans="2:2" x14ac:dyDescent="0.25">
      <c r="B15659" s="11"/>
    </row>
    <row r="15660" spans="2:2" x14ac:dyDescent="0.25">
      <c r="B15660" s="11"/>
    </row>
    <row r="15661" spans="2:2" x14ac:dyDescent="0.25">
      <c r="B15661" s="11"/>
    </row>
    <row r="15662" spans="2:2" x14ac:dyDescent="0.25">
      <c r="B15662" s="11"/>
    </row>
    <row r="15663" spans="2:2" x14ac:dyDescent="0.25">
      <c r="B15663" s="11"/>
    </row>
    <row r="15664" spans="2:2" x14ac:dyDescent="0.25">
      <c r="B15664" s="11"/>
    </row>
    <row r="15665" spans="2:2" x14ac:dyDescent="0.25">
      <c r="B15665" s="11"/>
    </row>
    <row r="15666" spans="2:2" x14ac:dyDescent="0.25">
      <c r="B15666" s="11"/>
    </row>
    <row r="15667" spans="2:2" x14ac:dyDescent="0.25">
      <c r="B15667" s="11"/>
    </row>
    <row r="15668" spans="2:2" x14ac:dyDescent="0.25">
      <c r="B15668" s="11"/>
    </row>
    <row r="15669" spans="2:2" x14ac:dyDescent="0.25">
      <c r="B15669" s="11"/>
    </row>
    <row r="15670" spans="2:2" x14ac:dyDescent="0.25">
      <c r="B15670" s="11"/>
    </row>
    <row r="15671" spans="2:2" x14ac:dyDescent="0.25">
      <c r="B15671" s="11"/>
    </row>
    <row r="15672" spans="2:2" x14ac:dyDescent="0.25">
      <c r="B15672" s="11"/>
    </row>
    <row r="15673" spans="2:2" x14ac:dyDescent="0.25">
      <c r="B15673" s="11"/>
    </row>
    <row r="15674" spans="2:2" x14ac:dyDescent="0.25">
      <c r="B15674" s="11"/>
    </row>
    <row r="15675" spans="2:2" x14ac:dyDescent="0.25">
      <c r="B15675" s="11"/>
    </row>
    <row r="15676" spans="2:2" x14ac:dyDescent="0.25">
      <c r="B15676" s="11"/>
    </row>
    <row r="15677" spans="2:2" x14ac:dyDescent="0.25">
      <c r="B15677" s="11"/>
    </row>
    <row r="15678" spans="2:2" x14ac:dyDescent="0.25">
      <c r="B15678" s="11"/>
    </row>
    <row r="15679" spans="2:2" x14ac:dyDescent="0.25">
      <c r="B15679" s="11"/>
    </row>
    <row r="15680" spans="2:2" x14ac:dyDescent="0.25">
      <c r="B15680" s="11"/>
    </row>
    <row r="15681" spans="2:2" x14ac:dyDescent="0.25">
      <c r="B15681" s="11"/>
    </row>
    <row r="15682" spans="2:2" x14ac:dyDescent="0.25">
      <c r="B15682" s="11"/>
    </row>
    <row r="15683" spans="2:2" x14ac:dyDescent="0.25">
      <c r="B15683" s="11"/>
    </row>
    <row r="15684" spans="2:2" x14ac:dyDescent="0.25">
      <c r="B15684" s="11"/>
    </row>
    <row r="15685" spans="2:2" x14ac:dyDescent="0.25">
      <c r="B15685" s="11"/>
    </row>
    <row r="15686" spans="2:2" x14ac:dyDescent="0.25">
      <c r="B15686" s="11"/>
    </row>
    <row r="15687" spans="2:2" x14ac:dyDescent="0.25">
      <c r="B15687" s="11"/>
    </row>
    <row r="15688" spans="2:2" x14ac:dyDescent="0.25">
      <c r="B15688" s="11"/>
    </row>
    <row r="15689" spans="2:2" x14ac:dyDescent="0.25">
      <c r="B15689" s="11"/>
    </row>
    <row r="15690" spans="2:2" x14ac:dyDescent="0.25">
      <c r="B15690" s="11"/>
    </row>
    <row r="15691" spans="2:2" x14ac:dyDescent="0.25">
      <c r="B15691" s="11"/>
    </row>
    <row r="15692" spans="2:2" x14ac:dyDescent="0.25">
      <c r="B15692" s="11"/>
    </row>
    <row r="15693" spans="2:2" x14ac:dyDescent="0.25">
      <c r="B15693" s="11"/>
    </row>
    <row r="15694" spans="2:2" x14ac:dyDescent="0.25">
      <c r="B15694" s="11"/>
    </row>
    <row r="15695" spans="2:2" x14ac:dyDescent="0.25">
      <c r="B15695" s="11"/>
    </row>
    <row r="15696" spans="2:2" x14ac:dyDescent="0.25">
      <c r="B15696" s="11"/>
    </row>
    <row r="15697" spans="2:2" x14ac:dyDescent="0.25">
      <c r="B15697" s="11"/>
    </row>
    <row r="15698" spans="2:2" x14ac:dyDescent="0.25">
      <c r="B15698" s="11"/>
    </row>
    <row r="15699" spans="2:2" x14ac:dyDescent="0.25">
      <c r="B15699" s="11"/>
    </row>
    <row r="15700" spans="2:2" x14ac:dyDescent="0.25">
      <c r="B15700" s="11"/>
    </row>
    <row r="15701" spans="2:2" x14ac:dyDescent="0.25">
      <c r="B15701" s="11"/>
    </row>
    <row r="15702" spans="2:2" x14ac:dyDescent="0.25">
      <c r="B15702" s="11"/>
    </row>
    <row r="15703" spans="2:2" x14ac:dyDescent="0.25">
      <c r="B15703" s="11"/>
    </row>
    <row r="15704" spans="2:2" x14ac:dyDescent="0.25">
      <c r="B15704" s="11"/>
    </row>
    <row r="15705" spans="2:2" x14ac:dyDescent="0.25">
      <c r="B15705" s="11"/>
    </row>
    <row r="15706" spans="2:2" x14ac:dyDescent="0.25">
      <c r="B15706" s="11"/>
    </row>
    <row r="15707" spans="2:2" x14ac:dyDescent="0.25">
      <c r="B15707" s="11"/>
    </row>
    <row r="15708" spans="2:2" x14ac:dyDescent="0.25">
      <c r="B15708" s="11"/>
    </row>
    <row r="15709" spans="2:2" x14ac:dyDescent="0.25">
      <c r="B15709" s="11"/>
    </row>
    <row r="15710" spans="2:2" x14ac:dyDescent="0.25">
      <c r="B15710" s="11"/>
    </row>
    <row r="15711" spans="2:2" x14ac:dyDescent="0.25">
      <c r="B15711" s="11"/>
    </row>
    <row r="15712" spans="2:2" x14ac:dyDescent="0.25">
      <c r="B15712" s="11"/>
    </row>
    <row r="15713" spans="2:2" x14ac:dyDescent="0.25">
      <c r="B15713" s="11"/>
    </row>
    <row r="15714" spans="2:2" x14ac:dyDescent="0.25">
      <c r="B15714" s="11"/>
    </row>
    <row r="15715" spans="2:2" x14ac:dyDescent="0.25">
      <c r="B15715" s="11"/>
    </row>
    <row r="15716" spans="2:2" x14ac:dyDescent="0.25">
      <c r="B15716" s="11"/>
    </row>
    <row r="15717" spans="2:2" x14ac:dyDescent="0.25">
      <c r="B15717" s="11"/>
    </row>
    <row r="15718" spans="2:2" x14ac:dyDescent="0.25">
      <c r="B15718" s="11"/>
    </row>
    <row r="15719" spans="2:2" x14ac:dyDescent="0.25">
      <c r="B15719" s="11"/>
    </row>
    <row r="15720" spans="2:2" x14ac:dyDescent="0.25">
      <c r="B15720" s="11"/>
    </row>
    <row r="15721" spans="2:2" x14ac:dyDescent="0.25">
      <c r="B15721" s="11"/>
    </row>
    <row r="15722" spans="2:2" x14ac:dyDescent="0.25">
      <c r="B15722" s="11"/>
    </row>
    <row r="15723" spans="2:2" x14ac:dyDescent="0.25">
      <c r="B15723" s="11"/>
    </row>
    <row r="15724" spans="2:2" x14ac:dyDescent="0.25">
      <c r="B15724" s="11"/>
    </row>
    <row r="15725" spans="2:2" x14ac:dyDescent="0.25">
      <c r="B15725" s="11"/>
    </row>
    <row r="15726" spans="2:2" x14ac:dyDescent="0.25">
      <c r="B15726" s="11"/>
    </row>
    <row r="15727" spans="2:2" x14ac:dyDescent="0.25">
      <c r="B15727" s="11"/>
    </row>
    <row r="15728" spans="2:2" x14ac:dyDescent="0.25">
      <c r="B15728" s="11"/>
    </row>
    <row r="15729" spans="2:2" x14ac:dyDescent="0.25">
      <c r="B15729" s="11"/>
    </row>
    <row r="15730" spans="2:2" x14ac:dyDescent="0.25">
      <c r="B15730" s="11"/>
    </row>
    <row r="15731" spans="2:2" x14ac:dyDescent="0.25">
      <c r="B15731" s="11"/>
    </row>
    <row r="15732" spans="2:2" x14ac:dyDescent="0.25">
      <c r="B15732" s="11"/>
    </row>
    <row r="15733" spans="2:2" x14ac:dyDescent="0.25">
      <c r="B15733" s="11"/>
    </row>
    <row r="15734" spans="2:2" x14ac:dyDescent="0.25">
      <c r="B15734" s="11"/>
    </row>
    <row r="15735" spans="2:2" x14ac:dyDescent="0.25">
      <c r="B15735" s="11"/>
    </row>
    <row r="15736" spans="2:2" x14ac:dyDescent="0.25">
      <c r="B15736" s="11"/>
    </row>
    <row r="15737" spans="2:2" x14ac:dyDescent="0.25">
      <c r="B15737" s="11"/>
    </row>
    <row r="15738" spans="2:2" x14ac:dyDescent="0.25">
      <c r="B15738" s="11"/>
    </row>
    <row r="15739" spans="2:2" x14ac:dyDescent="0.25">
      <c r="B15739" s="11"/>
    </row>
    <row r="15740" spans="2:2" x14ac:dyDescent="0.25">
      <c r="B15740" s="11"/>
    </row>
    <row r="15741" spans="2:2" x14ac:dyDescent="0.25">
      <c r="B15741" s="11"/>
    </row>
    <row r="15742" spans="2:2" x14ac:dyDescent="0.25">
      <c r="B15742" s="11"/>
    </row>
    <row r="15743" spans="2:2" x14ac:dyDescent="0.25">
      <c r="B15743" s="11"/>
    </row>
    <row r="15744" spans="2:2" x14ac:dyDescent="0.25">
      <c r="B15744" s="11"/>
    </row>
    <row r="15745" spans="2:2" x14ac:dyDescent="0.25">
      <c r="B15745" s="11"/>
    </row>
    <row r="15746" spans="2:2" x14ac:dyDescent="0.25">
      <c r="B15746" s="11"/>
    </row>
    <row r="15747" spans="2:2" x14ac:dyDescent="0.25">
      <c r="B15747" s="11"/>
    </row>
    <row r="15748" spans="2:2" x14ac:dyDescent="0.25">
      <c r="B15748" s="11"/>
    </row>
    <row r="15749" spans="2:2" x14ac:dyDescent="0.25">
      <c r="B15749" s="11"/>
    </row>
    <row r="15750" spans="2:2" x14ac:dyDescent="0.25">
      <c r="B15750" s="11"/>
    </row>
    <row r="15751" spans="2:2" x14ac:dyDescent="0.25">
      <c r="B15751" s="11"/>
    </row>
    <row r="15752" spans="2:2" x14ac:dyDescent="0.25">
      <c r="B15752" s="11"/>
    </row>
    <row r="15753" spans="2:2" x14ac:dyDescent="0.25">
      <c r="B15753" s="11"/>
    </row>
    <row r="15754" spans="2:2" x14ac:dyDescent="0.25">
      <c r="B15754" s="11"/>
    </row>
    <row r="15755" spans="2:2" x14ac:dyDescent="0.25">
      <c r="B15755" s="11"/>
    </row>
    <row r="15756" spans="2:2" x14ac:dyDescent="0.25">
      <c r="B15756" s="11"/>
    </row>
    <row r="15757" spans="2:2" x14ac:dyDescent="0.25">
      <c r="B15757" s="11"/>
    </row>
    <row r="15758" spans="2:2" x14ac:dyDescent="0.25">
      <c r="B15758" s="11"/>
    </row>
    <row r="15759" spans="2:2" x14ac:dyDescent="0.25">
      <c r="B15759" s="11"/>
    </row>
    <row r="15760" spans="2:2" x14ac:dyDescent="0.25">
      <c r="B15760" s="11"/>
    </row>
    <row r="15761" spans="2:2" x14ac:dyDescent="0.25">
      <c r="B15761" s="11"/>
    </row>
    <row r="15762" spans="2:2" x14ac:dyDescent="0.25">
      <c r="B15762" s="11"/>
    </row>
    <row r="15763" spans="2:2" x14ac:dyDescent="0.25">
      <c r="B15763" s="11"/>
    </row>
    <row r="15764" spans="2:2" x14ac:dyDescent="0.25">
      <c r="B15764" s="11"/>
    </row>
    <row r="15765" spans="2:2" x14ac:dyDescent="0.25">
      <c r="B15765" s="11"/>
    </row>
    <row r="15766" spans="2:2" x14ac:dyDescent="0.25">
      <c r="B15766" s="11"/>
    </row>
    <row r="15767" spans="2:2" x14ac:dyDescent="0.25">
      <c r="B15767" s="11"/>
    </row>
    <row r="15768" spans="2:2" x14ac:dyDescent="0.25">
      <c r="B15768" s="11"/>
    </row>
    <row r="15769" spans="2:2" x14ac:dyDescent="0.25">
      <c r="B15769" s="11"/>
    </row>
    <row r="15770" spans="2:2" x14ac:dyDescent="0.25">
      <c r="B15770" s="11"/>
    </row>
    <row r="15771" spans="2:2" x14ac:dyDescent="0.25">
      <c r="B15771" s="11"/>
    </row>
    <row r="15772" spans="2:2" x14ac:dyDescent="0.25">
      <c r="B15772" s="11"/>
    </row>
    <row r="15773" spans="2:2" x14ac:dyDescent="0.25">
      <c r="B15773" s="11"/>
    </row>
    <row r="15774" spans="2:2" x14ac:dyDescent="0.25">
      <c r="B15774" s="11"/>
    </row>
    <row r="15775" spans="2:2" x14ac:dyDescent="0.25">
      <c r="B15775" s="11"/>
    </row>
    <row r="15776" spans="2:2" x14ac:dyDescent="0.25">
      <c r="B15776" s="11"/>
    </row>
    <row r="15777" spans="2:2" x14ac:dyDescent="0.25">
      <c r="B15777" s="11"/>
    </row>
    <row r="15778" spans="2:2" x14ac:dyDescent="0.25">
      <c r="B15778" s="11"/>
    </row>
    <row r="15779" spans="2:2" x14ac:dyDescent="0.25">
      <c r="B15779" s="11"/>
    </row>
    <row r="15780" spans="2:2" x14ac:dyDescent="0.25">
      <c r="B15780" s="11"/>
    </row>
    <row r="15781" spans="2:2" x14ac:dyDescent="0.25">
      <c r="B15781" s="11"/>
    </row>
    <row r="15782" spans="2:2" x14ac:dyDescent="0.25">
      <c r="B15782" s="11"/>
    </row>
    <row r="15783" spans="2:2" x14ac:dyDescent="0.25">
      <c r="B15783" s="11"/>
    </row>
    <row r="15784" spans="2:2" x14ac:dyDescent="0.25">
      <c r="B15784" s="11"/>
    </row>
    <row r="15785" spans="2:2" x14ac:dyDescent="0.25">
      <c r="B15785" s="11"/>
    </row>
    <row r="15786" spans="2:2" x14ac:dyDescent="0.25">
      <c r="B15786" s="11"/>
    </row>
    <row r="15787" spans="2:2" x14ac:dyDescent="0.25">
      <c r="B15787" s="11"/>
    </row>
    <row r="15788" spans="2:2" x14ac:dyDescent="0.25">
      <c r="B15788" s="11"/>
    </row>
    <row r="15789" spans="2:2" x14ac:dyDescent="0.25">
      <c r="B15789" s="11"/>
    </row>
    <row r="15790" spans="2:2" x14ac:dyDescent="0.25">
      <c r="B15790" s="11"/>
    </row>
    <row r="15791" spans="2:2" x14ac:dyDescent="0.25">
      <c r="B15791" s="11"/>
    </row>
    <row r="15792" spans="2:2" x14ac:dyDescent="0.25">
      <c r="B15792" s="11"/>
    </row>
    <row r="15793" spans="2:2" x14ac:dyDescent="0.25">
      <c r="B15793" s="11"/>
    </row>
    <row r="15794" spans="2:2" x14ac:dyDescent="0.25">
      <c r="B15794" s="11"/>
    </row>
    <row r="15795" spans="2:2" x14ac:dyDescent="0.25">
      <c r="B15795" s="11"/>
    </row>
    <row r="15796" spans="2:2" x14ac:dyDescent="0.25">
      <c r="B15796" s="11"/>
    </row>
    <row r="15797" spans="2:2" x14ac:dyDescent="0.25">
      <c r="B15797" s="11"/>
    </row>
    <row r="15798" spans="2:2" x14ac:dyDescent="0.25">
      <c r="B15798" s="11"/>
    </row>
    <row r="15799" spans="2:2" x14ac:dyDescent="0.25">
      <c r="B15799" s="11"/>
    </row>
    <row r="15800" spans="2:2" x14ac:dyDescent="0.25">
      <c r="B15800" s="11"/>
    </row>
    <row r="15801" spans="2:2" x14ac:dyDescent="0.25">
      <c r="B15801" s="11"/>
    </row>
    <row r="15802" spans="2:2" x14ac:dyDescent="0.25">
      <c r="B15802" s="11"/>
    </row>
    <row r="15803" spans="2:2" x14ac:dyDescent="0.25">
      <c r="B15803" s="11"/>
    </row>
    <row r="15804" spans="2:2" x14ac:dyDescent="0.25">
      <c r="B15804" s="11"/>
    </row>
    <row r="15805" spans="2:2" x14ac:dyDescent="0.25">
      <c r="B15805" s="11"/>
    </row>
    <row r="15806" spans="2:2" x14ac:dyDescent="0.25">
      <c r="B15806" s="11"/>
    </row>
    <row r="15807" spans="2:2" x14ac:dyDescent="0.25">
      <c r="B15807" s="11"/>
    </row>
    <row r="15808" spans="2:2" x14ac:dyDescent="0.25">
      <c r="B15808" s="11"/>
    </row>
    <row r="15809" spans="2:2" x14ac:dyDescent="0.25">
      <c r="B15809" s="11"/>
    </row>
    <row r="15810" spans="2:2" x14ac:dyDescent="0.25">
      <c r="B15810" s="11"/>
    </row>
    <row r="15811" spans="2:2" x14ac:dyDescent="0.25">
      <c r="B15811" s="11"/>
    </row>
    <row r="15812" spans="2:2" x14ac:dyDescent="0.25">
      <c r="B15812" s="11"/>
    </row>
    <row r="15813" spans="2:2" x14ac:dyDescent="0.25">
      <c r="B15813" s="11"/>
    </row>
    <row r="15814" spans="2:2" x14ac:dyDescent="0.25">
      <c r="B15814" s="11"/>
    </row>
    <row r="15815" spans="2:2" x14ac:dyDescent="0.25">
      <c r="B15815" s="11"/>
    </row>
    <row r="15816" spans="2:2" x14ac:dyDescent="0.25">
      <c r="B15816" s="11"/>
    </row>
    <row r="15817" spans="2:2" x14ac:dyDescent="0.25">
      <c r="B15817" s="11"/>
    </row>
    <row r="15818" spans="2:2" x14ac:dyDescent="0.25">
      <c r="B15818" s="11"/>
    </row>
    <row r="15819" spans="2:2" x14ac:dyDescent="0.25">
      <c r="B15819" s="11"/>
    </row>
    <row r="15820" spans="2:2" x14ac:dyDescent="0.25">
      <c r="B15820" s="11"/>
    </row>
    <row r="15821" spans="2:2" x14ac:dyDescent="0.25">
      <c r="B15821" s="11"/>
    </row>
    <row r="15822" spans="2:2" x14ac:dyDescent="0.25">
      <c r="B15822" s="11"/>
    </row>
    <row r="15823" spans="2:2" x14ac:dyDescent="0.25">
      <c r="B15823" s="11"/>
    </row>
    <row r="15824" spans="2:2" x14ac:dyDescent="0.25">
      <c r="B15824" s="11"/>
    </row>
    <row r="15825" spans="2:2" x14ac:dyDescent="0.25">
      <c r="B15825" s="11"/>
    </row>
    <row r="15826" spans="2:2" x14ac:dyDescent="0.25">
      <c r="B15826" s="11"/>
    </row>
    <row r="15827" spans="2:2" x14ac:dyDescent="0.25">
      <c r="B15827" s="11"/>
    </row>
    <row r="15828" spans="2:2" x14ac:dyDescent="0.25">
      <c r="B15828" s="11"/>
    </row>
    <row r="15829" spans="2:2" x14ac:dyDescent="0.25">
      <c r="B15829" s="11"/>
    </row>
    <row r="15830" spans="2:2" x14ac:dyDescent="0.25">
      <c r="B15830" s="11"/>
    </row>
    <row r="15831" spans="2:2" x14ac:dyDescent="0.25">
      <c r="B15831" s="11"/>
    </row>
    <row r="15832" spans="2:2" x14ac:dyDescent="0.25">
      <c r="B15832" s="11"/>
    </row>
    <row r="15833" spans="2:2" x14ac:dyDescent="0.25">
      <c r="B15833" s="11"/>
    </row>
    <row r="15834" spans="2:2" x14ac:dyDescent="0.25">
      <c r="B15834" s="11"/>
    </row>
    <row r="15835" spans="2:2" x14ac:dyDescent="0.25">
      <c r="B15835" s="11"/>
    </row>
    <row r="15836" spans="2:2" x14ac:dyDescent="0.25">
      <c r="B15836" s="11"/>
    </row>
    <row r="15837" spans="2:2" x14ac:dyDescent="0.25">
      <c r="B15837" s="11"/>
    </row>
    <row r="15838" spans="2:2" x14ac:dyDescent="0.25">
      <c r="B15838" s="11"/>
    </row>
    <row r="15839" spans="2:2" x14ac:dyDescent="0.25">
      <c r="B15839" s="11"/>
    </row>
    <row r="15840" spans="2:2" x14ac:dyDescent="0.25">
      <c r="B15840" s="11"/>
    </row>
    <row r="15841" spans="2:2" x14ac:dyDescent="0.25">
      <c r="B15841" s="11"/>
    </row>
    <row r="15842" spans="2:2" x14ac:dyDescent="0.25">
      <c r="B15842" s="11"/>
    </row>
    <row r="15843" spans="2:2" x14ac:dyDescent="0.25">
      <c r="B15843" s="11"/>
    </row>
    <row r="15844" spans="2:2" x14ac:dyDescent="0.25">
      <c r="B15844" s="11"/>
    </row>
    <row r="15845" spans="2:2" x14ac:dyDescent="0.25">
      <c r="B15845" s="11"/>
    </row>
    <row r="15846" spans="2:2" x14ac:dyDescent="0.25">
      <c r="B15846" s="11"/>
    </row>
    <row r="15847" spans="2:2" x14ac:dyDescent="0.25">
      <c r="B15847" s="11"/>
    </row>
    <row r="15848" spans="2:2" x14ac:dyDescent="0.25">
      <c r="B15848" s="11"/>
    </row>
    <row r="15849" spans="2:2" x14ac:dyDescent="0.25">
      <c r="B15849" s="11"/>
    </row>
    <row r="15850" spans="2:2" x14ac:dyDescent="0.25">
      <c r="B15850" s="11"/>
    </row>
    <row r="15851" spans="2:2" x14ac:dyDescent="0.25">
      <c r="B15851" s="11"/>
    </row>
    <row r="15852" spans="2:2" x14ac:dyDescent="0.25">
      <c r="B15852" s="11"/>
    </row>
    <row r="15853" spans="2:2" x14ac:dyDescent="0.25">
      <c r="B15853" s="11"/>
    </row>
    <row r="15854" spans="2:2" x14ac:dyDescent="0.25">
      <c r="B15854" s="11"/>
    </row>
    <row r="15855" spans="2:2" x14ac:dyDescent="0.25">
      <c r="B15855" s="11"/>
    </row>
    <row r="15856" spans="2:2" x14ac:dyDescent="0.25">
      <c r="B15856" s="11"/>
    </row>
    <row r="15857" spans="2:2" x14ac:dyDescent="0.25">
      <c r="B15857" s="11"/>
    </row>
    <row r="15858" spans="2:2" x14ac:dyDescent="0.25">
      <c r="B15858" s="11"/>
    </row>
    <row r="15859" spans="2:2" x14ac:dyDescent="0.25">
      <c r="B15859" s="11"/>
    </row>
    <row r="15860" spans="2:2" x14ac:dyDescent="0.25">
      <c r="B15860" s="11"/>
    </row>
    <row r="15861" spans="2:2" x14ac:dyDescent="0.25">
      <c r="B15861" s="11"/>
    </row>
    <row r="15862" spans="2:2" x14ac:dyDescent="0.25">
      <c r="B15862" s="11"/>
    </row>
    <row r="15863" spans="2:2" x14ac:dyDescent="0.25">
      <c r="B15863" s="11"/>
    </row>
    <row r="15864" spans="2:2" x14ac:dyDescent="0.25">
      <c r="B15864" s="11"/>
    </row>
    <row r="15865" spans="2:2" x14ac:dyDescent="0.25">
      <c r="B15865" s="11"/>
    </row>
    <row r="15866" spans="2:2" x14ac:dyDescent="0.25">
      <c r="B15866" s="11"/>
    </row>
    <row r="15867" spans="2:2" x14ac:dyDescent="0.25">
      <c r="B15867" s="11"/>
    </row>
    <row r="15868" spans="2:2" x14ac:dyDescent="0.25">
      <c r="B15868" s="11"/>
    </row>
    <row r="15869" spans="2:2" x14ac:dyDescent="0.25">
      <c r="B15869" s="11"/>
    </row>
    <row r="15870" spans="2:2" x14ac:dyDescent="0.25">
      <c r="B15870" s="11"/>
    </row>
    <row r="15871" spans="2:2" x14ac:dyDescent="0.25">
      <c r="B15871" s="11"/>
    </row>
    <row r="15872" spans="2:2" x14ac:dyDescent="0.25">
      <c r="B15872" s="11"/>
    </row>
    <row r="15873" spans="2:2" x14ac:dyDescent="0.25">
      <c r="B15873" s="11"/>
    </row>
    <row r="15874" spans="2:2" x14ac:dyDescent="0.25">
      <c r="B15874" s="11"/>
    </row>
    <row r="15875" spans="2:2" x14ac:dyDescent="0.25">
      <c r="B15875" s="11"/>
    </row>
    <row r="15876" spans="2:2" x14ac:dyDescent="0.25">
      <c r="B15876" s="11"/>
    </row>
    <row r="15877" spans="2:2" x14ac:dyDescent="0.25">
      <c r="B15877" s="11"/>
    </row>
    <row r="15878" spans="2:2" x14ac:dyDescent="0.25">
      <c r="B15878" s="11"/>
    </row>
    <row r="15879" spans="2:2" x14ac:dyDescent="0.25">
      <c r="B15879" s="11"/>
    </row>
    <row r="15880" spans="2:2" x14ac:dyDescent="0.25">
      <c r="B15880" s="11"/>
    </row>
    <row r="15881" spans="2:2" x14ac:dyDescent="0.25">
      <c r="B15881" s="11"/>
    </row>
    <row r="15882" spans="2:2" x14ac:dyDescent="0.25">
      <c r="B15882" s="11"/>
    </row>
    <row r="15883" spans="2:2" x14ac:dyDescent="0.25">
      <c r="B15883" s="11"/>
    </row>
    <row r="15884" spans="2:2" x14ac:dyDescent="0.25">
      <c r="B15884" s="11"/>
    </row>
    <row r="15885" spans="2:2" x14ac:dyDescent="0.25">
      <c r="B15885" s="11"/>
    </row>
    <row r="15886" spans="2:2" x14ac:dyDescent="0.25">
      <c r="B15886" s="11"/>
    </row>
    <row r="15887" spans="2:2" x14ac:dyDescent="0.25">
      <c r="B15887" s="11"/>
    </row>
    <row r="15888" spans="2:2" x14ac:dyDescent="0.25">
      <c r="B15888" s="11"/>
    </row>
    <row r="15889" spans="2:2" x14ac:dyDescent="0.25">
      <c r="B15889" s="11"/>
    </row>
    <row r="15890" spans="2:2" x14ac:dyDescent="0.25">
      <c r="B15890" s="11"/>
    </row>
    <row r="15891" spans="2:2" x14ac:dyDescent="0.25">
      <c r="B15891" s="11"/>
    </row>
    <row r="15892" spans="2:2" x14ac:dyDescent="0.25">
      <c r="B15892" s="11"/>
    </row>
    <row r="15893" spans="2:2" x14ac:dyDescent="0.25">
      <c r="B15893" s="11"/>
    </row>
    <row r="15894" spans="2:2" x14ac:dyDescent="0.25">
      <c r="B15894" s="11"/>
    </row>
    <row r="15895" spans="2:2" x14ac:dyDescent="0.25">
      <c r="B15895" s="11"/>
    </row>
    <row r="15896" spans="2:2" x14ac:dyDescent="0.25">
      <c r="B15896" s="11"/>
    </row>
    <row r="15897" spans="2:2" x14ac:dyDescent="0.25">
      <c r="B15897" s="11"/>
    </row>
    <row r="15898" spans="2:2" x14ac:dyDescent="0.25">
      <c r="B15898" s="11"/>
    </row>
    <row r="15899" spans="2:2" x14ac:dyDescent="0.25">
      <c r="B15899" s="11"/>
    </row>
    <row r="15900" spans="2:2" x14ac:dyDescent="0.25">
      <c r="B15900" s="11"/>
    </row>
    <row r="15901" spans="2:2" x14ac:dyDescent="0.25">
      <c r="B15901" s="11"/>
    </row>
    <row r="15902" spans="2:2" x14ac:dyDescent="0.25">
      <c r="B15902" s="11"/>
    </row>
    <row r="15903" spans="2:2" x14ac:dyDescent="0.25">
      <c r="B15903" s="11"/>
    </row>
    <row r="15904" spans="2:2" x14ac:dyDescent="0.25">
      <c r="B15904" s="11"/>
    </row>
    <row r="15905" spans="2:2" x14ac:dyDescent="0.25">
      <c r="B15905" s="11"/>
    </row>
    <row r="15906" spans="2:2" x14ac:dyDescent="0.25">
      <c r="B15906" s="11"/>
    </row>
    <row r="15907" spans="2:2" x14ac:dyDescent="0.25">
      <c r="B15907" s="11"/>
    </row>
    <row r="15908" spans="2:2" x14ac:dyDescent="0.25">
      <c r="B15908" s="11"/>
    </row>
    <row r="15909" spans="2:2" x14ac:dyDescent="0.25">
      <c r="B15909" s="11"/>
    </row>
    <row r="15910" spans="2:2" x14ac:dyDescent="0.25">
      <c r="B15910" s="11"/>
    </row>
    <row r="15911" spans="2:2" x14ac:dyDescent="0.25">
      <c r="B15911" s="11"/>
    </row>
    <row r="15912" spans="2:2" x14ac:dyDescent="0.25">
      <c r="B15912" s="11"/>
    </row>
    <row r="15913" spans="2:2" x14ac:dyDescent="0.25">
      <c r="B15913" s="11"/>
    </row>
    <row r="15914" spans="2:2" x14ac:dyDescent="0.25">
      <c r="B15914" s="11"/>
    </row>
    <row r="15915" spans="2:2" x14ac:dyDescent="0.25">
      <c r="B15915" s="11"/>
    </row>
    <row r="15916" spans="2:2" x14ac:dyDescent="0.25">
      <c r="B15916" s="11"/>
    </row>
    <row r="15917" spans="2:2" x14ac:dyDescent="0.25">
      <c r="B15917" s="11"/>
    </row>
    <row r="15918" spans="2:2" x14ac:dyDescent="0.25">
      <c r="B15918" s="11"/>
    </row>
    <row r="15919" spans="2:2" x14ac:dyDescent="0.25">
      <c r="B15919" s="11"/>
    </row>
    <row r="15920" spans="2:2" x14ac:dyDescent="0.25">
      <c r="B15920" s="11"/>
    </row>
    <row r="15921" spans="2:2" x14ac:dyDescent="0.25">
      <c r="B15921" s="11"/>
    </row>
    <row r="15922" spans="2:2" x14ac:dyDescent="0.25">
      <c r="B15922" s="11"/>
    </row>
    <row r="15923" spans="2:2" x14ac:dyDescent="0.25">
      <c r="B15923" s="11"/>
    </row>
    <row r="15924" spans="2:2" x14ac:dyDescent="0.25">
      <c r="B15924" s="11"/>
    </row>
    <row r="15925" spans="2:2" x14ac:dyDescent="0.25">
      <c r="B15925" s="11"/>
    </row>
    <row r="15926" spans="2:2" x14ac:dyDescent="0.25">
      <c r="B15926" s="11"/>
    </row>
    <row r="15927" spans="2:2" x14ac:dyDescent="0.25">
      <c r="B15927" s="11"/>
    </row>
    <row r="15928" spans="2:2" x14ac:dyDescent="0.25">
      <c r="B15928" s="11"/>
    </row>
    <row r="15929" spans="2:2" x14ac:dyDescent="0.25">
      <c r="B15929" s="11"/>
    </row>
    <row r="15930" spans="2:2" x14ac:dyDescent="0.25">
      <c r="B15930" s="11"/>
    </row>
    <row r="15931" spans="2:2" x14ac:dyDescent="0.25">
      <c r="B15931" s="11"/>
    </row>
    <row r="15932" spans="2:2" x14ac:dyDescent="0.25">
      <c r="B15932" s="11"/>
    </row>
    <row r="15933" spans="2:2" x14ac:dyDescent="0.25">
      <c r="B15933" s="11"/>
    </row>
    <row r="15934" spans="2:2" x14ac:dyDescent="0.25">
      <c r="B15934" s="11"/>
    </row>
    <row r="15935" spans="2:2" x14ac:dyDescent="0.25">
      <c r="B15935" s="11"/>
    </row>
    <row r="15936" spans="2:2" x14ac:dyDescent="0.25">
      <c r="B15936" s="11"/>
    </row>
    <row r="15937" spans="2:2" x14ac:dyDescent="0.25">
      <c r="B15937" s="11"/>
    </row>
    <row r="15938" spans="2:2" x14ac:dyDescent="0.25">
      <c r="B15938" s="11"/>
    </row>
    <row r="15939" spans="2:2" x14ac:dyDescent="0.25">
      <c r="B15939" s="11"/>
    </row>
    <row r="15940" spans="2:2" x14ac:dyDescent="0.25">
      <c r="B15940" s="11"/>
    </row>
    <row r="15941" spans="2:2" x14ac:dyDescent="0.25">
      <c r="B15941" s="11"/>
    </row>
    <row r="15942" spans="2:2" x14ac:dyDescent="0.25">
      <c r="B15942" s="11"/>
    </row>
    <row r="15943" spans="2:2" x14ac:dyDescent="0.25">
      <c r="B15943" s="11"/>
    </row>
    <row r="15944" spans="2:2" x14ac:dyDescent="0.25">
      <c r="B15944" s="11"/>
    </row>
    <row r="15945" spans="2:2" x14ac:dyDescent="0.25">
      <c r="B15945" s="11"/>
    </row>
    <row r="15946" spans="2:2" x14ac:dyDescent="0.25">
      <c r="B15946" s="11"/>
    </row>
    <row r="15947" spans="2:2" x14ac:dyDescent="0.25">
      <c r="B15947" s="11"/>
    </row>
    <row r="15948" spans="2:2" x14ac:dyDescent="0.25">
      <c r="B15948" s="11"/>
    </row>
    <row r="15949" spans="2:2" x14ac:dyDescent="0.25">
      <c r="B15949" s="11"/>
    </row>
    <row r="15950" spans="2:2" x14ac:dyDescent="0.25">
      <c r="B15950" s="11"/>
    </row>
    <row r="15951" spans="2:2" x14ac:dyDescent="0.25">
      <c r="B15951" s="11"/>
    </row>
    <row r="15952" spans="2:2" x14ac:dyDescent="0.25">
      <c r="B15952" s="11"/>
    </row>
    <row r="15953" spans="2:2" x14ac:dyDescent="0.25">
      <c r="B15953" s="11"/>
    </row>
    <row r="15954" spans="2:2" x14ac:dyDescent="0.25">
      <c r="B15954" s="11"/>
    </row>
    <row r="15955" spans="2:2" x14ac:dyDescent="0.25">
      <c r="B15955" s="11"/>
    </row>
    <row r="15956" spans="2:2" x14ac:dyDescent="0.25">
      <c r="B15956" s="11"/>
    </row>
    <row r="15957" spans="2:2" x14ac:dyDescent="0.25">
      <c r="B15957" s="11"/>
    </row>
    <row r="15958" spans="2:2" x14ac:dyDescent="0.25">
      <c r="B15958" s="11"/>
    </row>
    <row r="15959" spans="2:2" x14ac:dyDescent="0.25">
      <c r="B15959" s="11"/>
    </row>
    <row r="15960" spans="2:2" x14ac:dyDescent="0.25">
      <c r="B15960" s="11"/>
    </row>
    <row r="15961" spans="2:2" x14ac:dyDescent="0.25">
      <c r="B15961" s="11"/>
    </row>
    <row r="15962" spans="2:2" x14ac:dyDescent="0.25">
      <c r="B15962" s="11"/>
    </row>
    <row r="15963" spans="2:2" x14ac:dyDescent="0.25">
      <c r="B15963" s="11"/>
    </row>
    <row r="15964" spans="2:2" x14ac:dyDescent="0.25">
      <c r="B15964" s="11"/>
    </row>
    <row r="15965" spans="2:2" x14ac:dyDescent="0.25">
      <c r="B15965" s="11"/>
    </row>
    <row r="15966" spans="2:2" x14ac:dyDescent="0.25">
      <c r="B15966" s="11"/>
    </row>
    <row r="15967" spans="2:2" x14ac:dyDescent="0.25">
      <c r="B15967" s="11"/>
    </row>
    <row r="15968" spans="2:2" x14ac:dyDescent="0.25">
      <c r="B15968" s="11"/>
    </row>
    <row r="15969" spans="2:2" x14ac:dyDescent="0.25">
      <c r="B15969" s="11"/>
    </row>
    <row r="15970" spans="2:2" x14ac:dyDescent="0.25">
      <c r="B15970" s="11"/>
    </row>
    <row r="15971" spans="2:2" x14ac:dyDescent="0.25">
      <c r="B15971" s="11"/>
    </row>
    <row r="15972" spans="2:2" x14ac:dyDescent="0.25">
      <c r="B15972" s="11"/>
    </row>
    <row r="15973" spans="2:2" x14ac:dyDescent="0.25">
      <c r="B15973" s="11"/>
    </row>
    <row r="15974" spans="2:2" x14ac:dyDescent="0.25">
      <c r="B15974" s="11"/>
    </row>
    <row r="15975" spans="2:2" x14ac:dyDescent="0.25">
      <c r="B15975" s="11"/>
    </row>
    <row r="15976" spans="2:2" x14ac:dyDescent="0.25">
      <c r="B15976" s="11"/>
    </row>
    <row r="15977" spans="2:2" x14ac:dyDescent="0.25">
      <c r="B15977" s="11"/>
    </row>
    <row r="15978" spans="2:2" x14ac:dyDescent="0.25">
      <c r="B15978" s="11"/>
    </row>
    <row r="15979" spans="2:2" x14ac:dyDescent="0.25">
      <c r="B15979" s="11"/>
    </row>
    <row r="15980" spans="2:2" x14ac:dyDescent="0.25">
      <c r="B15980" s="11"/>
    </row>
    <row r="15981" spans="2:2" x14ac:dyDescent="0.25">
      <c r="B15981" s="11"/>
    </row>
    <row r="15982" spans="2:2" x14ac:dyDescent="0.25">
      <c r="B15982" s="11"/>
    </row>
    <row r="15983" spans="2:2" x14ac:dyDescent="0.25">
      <c r="B15983" s="11"/>
    </row>
    <row r="15984" spans="2:2" x14ac:dyDescent="0.25">
      <c r="B15984" s="11"/>
    </row>
    <row r="15985" spans="2:2" x14ac:dyDescent="0.25">
      <c r="B15985" s="11"/>
    </row>
    <row r="15986" spans="2:2" x14ac:dyDescent="0.25">
      <c r="B15986" s="11"/>
    </row>
    <row r="15987" spans="2:2" x14ac:dyDescent="0.25">
      <c r="B15987" s="11"/>
    </row>
    <row r="15988" spans="2:2" x14ac:dyDescent="0.25">
      <c r="B15988" s="11"/>
    </row>
    <row r="15989" spans="2:2" x14ac:dyDescent="0.25">
      <c r="B15989" s="11"/>
    </row>
    <row r="15990" spans="2:2" x14ac:dyDescent="0.25">
      <c r="B15990" s="11"/>
    </row>
    <row r="15991" spans="2:2" x14ac:dyDescent="0.25">
      <c r="B15991" s="11"/>
    </row>
    <row r="15992" spans="2:2" x14ac:dyDescent="0.25">
      <c r="B15992" s="11"/>
    </row>
    <row r="15993" spans="2:2" x14ac:dyDescent="0.25">
      <c r="B15993" s="11"/>
    </row>
    <row r="15994" spans="2:2" x14ac:dyDescent="0.25">
      <c r="B15994" s="11"/>
    </row>
    <row r="15995" spans="2:2" x14ac:dyDescent="0.25">
      <c r="B15995" s="11"/>
    </row>
    <row r="15996" spans="2:2" x14ac:dyDescent="0.25">
      <c r="B15996" s="11"/>
    </row>
    <row r="15997" spans="2:2" x14ac:dyDescent="0.25">
      <c r="B15997" s="11"/>
    </row>
    <row r="15998" spans="2:2" x14ac:dyDescent="0.25">
      <c r="B15998" s="11"/>
    </row>
    <row r="15999" spans="2:2" x14ac:dyDescent="0.25">
      <c r="B15999" s="11"/>
    </row>
    <row r="16000" spans="2:2" x14ac:dyDescent="0.25">
      <c r="B16000" s="11"/>
    </row>
    <row r="16001" spans="2:2" x14ac:dyDescent="0.25">
      <c r="B16001" s="11"/>
    </row>
    <row r="16002" spans="2:2" x14ac:dyDescent="0.25">
      <c r="B16002" s="11"/>
    </row>
    <row r="16003" spans="2:2" x14ac:dyDescent="0.25">
      <c r="B16003" s="11"/>
    </row>
    <row r="16004" spans="2:2" x14ac:dyDescent="0.25">
      <c r="B16004" s="11"/>
    </row>
    <row r="16005" spans="2:2" x14ac:dyDescent="0.25">
      <c r="B16005" s="11"/>
    </row>
    <row r="16006" spans="2:2" x14ac:dyDescent="0.25">
      <c r="B16006" s="11"/>
    </row>
    <row r="16007" spans="2:2" x14ac:dyDescent="0.25">
      <c r="B16007" s="11"/>
    </row>
    <row r="16008" spans="2:2" x14ac:dyDescent="0.25">
      <c r="B16008" s="11"/>
    </row>
    <row r="16009" spans="2:2" x14ac:dyDescent="0.25">
      <c r="B16009" s="11"/>
    </row>
    <row r="16010" spans="2:2" x14ac:dyDescent="0.25">
      <c r="B16010" s="11"/>
    </row>
    <row r="16011" spans="2:2" x14ac:dyDescent="0.25">
      <c r="B16011" s="11"/>
    </row>
    <row r="16012" spans="2:2" x14ac:dyDescent="0.25">
      <c r="B16012" s="11"/>
    </row>
    <row r="16013" spans="2:2" x14ac:dyDescent="0.25">
      <c r="B16013" s="11"/>
    </row>
    <row r="16014" spans="2:2" x14ac:dyDescent="0.25">
      <c r="B16014" s="11"/>
    </row>
    <row r="16015" spans="2:2" x14ac:dyDescent="0.25">
      <c r="B16015" s="11"/>
    </row>
    <row r="16016" spans="2:2" x14ac:dyDescent="0.25">
      <c r="B16016" s="11"/>
    </row>
    <row r="16017" spans="2:2" x14ac:dyDescent="0.25">
      <c r="B16017" s="11"/>
    </row>
    <row r="16018" spans="2:2" x14ac:dyDescent="0.25">
      <c r="B16018" s="11"/>
    </row>
    <row r="16019" spans="2:2" x14ac:dyDescent="0.25">
      <c r="B16019" s="11"/>
    </row>
    <row r="16020" spans="2:2" x14ac:dyDescent="0.25">
      <c r="B16020" s="11"/>
    </row>
    <row r="16021" spans="2:2" x14ac:dyDescent="0.25">
      <c r="B16021" s="11"/>
    </row>
    <row r="16022" spans="2:2" x14ac:dyDescent="0.25">
      <c r="B16022" s="11"/>
    </row>
    <row r="16023" spans="2:2" x14ac:dyDescent="0.25">
      <c r="B16023" s="11"/>
    </row>
    <row r="16024" spans="2:2" x14ac:dyDescent="0.25">
      <c r="B16024" s="11"/>
    </row>
    <row r="16025" spans="2:2" x14ac:dyDescent="0.25">
      <c r="B16025" s="11"/>
    </row>
    <row r="16026" spans="2:2" x14ac:dyDescent="0.25">
      <c r="B16026" s="11"/>
    </row>
    <row r="16027" spans="2:2" x14ac:dyDescent="0.25">
      <c r="B16027" s="11"/>
    </row>
    <row r="16028" spans="2:2" x14ac:dyDescent="0.25">
      <c r="B16028" s="11"/>
    </row>
    <row r="16029" spans="2:2" x14ac:dyDescent="0.25">
      <c r="B16029" s="11"/>
    </row>
    <row r="16030" spans="2:2" x14ac:dyDescent="0.25">
      <c r="B16030" s="11"/>
    </row>
    <row r="16031" spans="2:2" x14ac:dyDescent="0.25">
      <c r="B16031" s="11"/>
    </row>
    <row r="16032" spans="2:2" x14ac:dyDescent="0.25">
      <c r="B16032" s="11"/>
    </row>
    <row r="16033" spans="2:2" x14ac:dyDescent="0.25">
      <c r="B16033" s="11"/>
    </row>
    <row r="16034" spans="2:2" x14ac:dyDescent="0.25">
      <c r="B16034" s="11"/>
    </row>
    <row r="16035" spans="2:2" x14ac:dyDescent="0.25">
      <c r="B16035" s="11"/>
    </row>
    <row r="16036" spans="2:2" x14ac:dyDescent="0.25">
      <c r="B16036" s="11"/>
    </row>
    <row r="16037" spans="2:2" x14ac:dyDescent="0.25">
      <c r="B16037" s="11"/>
    </row>
    <row r="16038" spans="2:2" x14ac:dyDescent="0.25">
      <c r="B16038" s="11"/>
    </row>
    <row r="16039" spans="2:2" x14ac:dyDescent="0.25">
      <c r="B16039" s="11"/>
    </row>
    <row r="16040" spans="2:2" x14ac:dyDescent="0.25">
      <c r="B16040" s="11"/>
    </row>
    <row r="16041" spans="2:2" x14ac:dyDescent="0.25">
      <c r="B16041" s="11"/>
    </row>
    <row r="16042" spans="2:2" x14ac:dyDescent="0.25">
      <c r="B16042" s="11"/>
    </row>
    <row r="16043" spans="2:2" x14ac:dyDescent="0.25">
      <c r="B16043" s="11"/>
    </row>
    <row r="16044" spans="2:2" x14ac:dyDescent="0.25">
      <c r="B16044" s="11"/>
    </row>
    <row r="16045" spans="2:2" x14ac:dyDescent="0.25">
      <c r="B16045" s="11"/>
    </row>
    <row r="16046" spans="2:2" x14ac:dyDescent="0.25">
      <c r="B16046" s="11"/>
    </row>
    <row r="16047" spans="2:2" x14ac:dyDescent="0.25">
      <c r="B16047" s="11"/>
    </row>
    <row r="16048" spans="2:2" x14ac:dyDescent="0.25">
      <c r="B16048" s="11"/>
    </row>
    <row r="16049" spans="2:2" x14ac:dyDescent="0.25">
      <c r="B16049" s="11"/>
    </row>
    <row r="16050" spans="2:2" x14ac:dyDescent="0.25">
      <c r="B16050" s="11"/>
    </row>
    <row r="16051" spans="2:2" x14ac:dyDescent="0.25">
      <c r="B16051" s="11"/>
    </row>
    <row r="16052" spans="2:2" x14ac:dyDescent="0.25">
      <c r="B16052" s="11"/>
    </row>
    <row r="16053" spans="2:2" x14ac:dyDescent="0.25">
      <c r="B16053" s="11"/>
    </row>
    <row r="16054" spans="2:2" x14ac:dyDescent="0.25">
      <c r="B16054" s="11"/>
    </row>
    <row r="16055" spans="2:2" x14ac:dyDescent="0.25">
      <c r="B16055" s="11"/>
    </row>
    <row r="16056" spans="2:2" x14ac:dyDescent="0.25">
      <c r="B16056" s="11"/>
    </row>
    <row r="16057" spans="2:2" x14ac:dyDescent="0.25">
      <c r="B16057" s="11"/>
    </row>
    <row r="16058" spans="2:2" x14ac:dyDescent="0.25">
      <c r="B16058" s="11"/>
    </row>
    <row r="16059" spans="2:2" x14ac:dyDescent="0.25">
      <c r="B16059" s="11"/>
    </row>
    <row r="16060" spans="2:2" x14ac:dyDescent="0.25">
      <c r="B16060" s="11"/>
    </row>
    <row r="16061" spans="2:2" x14ac:dyDescent="0.25">
      <c r="B16061" s="11"/>
    </row>
    <row r="16062" spans="2:2" x14ac:dyDescent="0.25">
      <c r="B16062" s="11"/>
    </row>
    <row r="16063" spans="2:2" x14ac:dyDescent="0.25">
      <c r="B16063" s="11"/>
    </row>
    <row r="16064" spans="2:2" x14ac:dyDescent="0.25">
      <c r="B16064" s="11"/>
    </row>
    <row r="16065" spans="2:2" x14ac:dyDescent="0.25">
      <c r="B16065" s="11"/>
    </row>
    <row r="16066" spans="2:2" x14ac:dyDescent="0.25">
      <c r="B16066" s="11"/>
    </row>
    <row r="16067" spans="2:2" x14ac:dyDescent="0.25">
      <c r="B16067" s="11"/>
    </row>
    <row r="16068" spans="2:2" x14ac:dyDescent="0.25">
      <c r="B16068" s="11"/>
    </row>
    <row r="16069" spans="2:2" x14ac:dyDescent="0.25">
      <c r="B16069" s="11"/>
    </row>
    <row r="16070" spans="2:2" x14ac:dyDescent="0.25">
      <c r="B16070" s="11"/>
    </row>
    <row r="16071" spans="2:2" x14ac:dyDescent="0.25">
      <c r="B16071" s="11"/>
    </row>
    <row r="16072" spans="2:2" x14ac:dyDescent="0.25">
      <c r="B16072" s="11"/>
    </row>
    <row r="16073" spans="2:2" x14ac:dyDescent="0.25">
      <c r="B16073" s="11"/>
    </row>
    <row r="16074" spans="2:2" x14ac:dyDescent="0.25">
      <c r="B16074" s="11"/>
    </row>
    <row r="16075" spans="2:2" x14ac:dyDescent="0.25">
      <c r="B16075" s="11"/>
    </row>
    <row r="16076" spans="2:2" x14ac:dyDescent="0.25">
      <c r="B16076" s="11"/>
    </row>
    <row r="16077" spans="2:2" x14ac:dyDescent="0.25">
      <c r="B16077" s="11"/>
    </row>
    <row r="16078" spans="2:2" x14ac:dyDescent="0.25">
      <c r="B16078" s="11"/>
    </row>
    <row r="16079" spans="2:2" x14ac:dyDescent="0.25">
      <c r="B16079" s="11"/>
    </row>
    <row r="16080" spans="2:2" x14ac:dyDescent="0.25">
      <c r="B16080" s="11"/>
    </row>
    <row r="16081" spans="2:2" x14ac:dyDescent="0.25">
      <c r="B16081" s="11"/>
    </row>
    <row r="16082" spans="2:2" x14ac:dyDescent="0.25">
      <c r="B16082" s="11"/>
    </row>
    <row r="16083" spans="2:2" x14ac:dyDescent="0.25">
      <c r="B16083" s="11"/>
    </row>
    <row r="16084" spans="2:2" x14ac:dyDescent="0.25">
      <c r="B16084" s="11"/>
    </row>
    <row r="16085" spans="2:2" x14ac:dyDescent="0.25">
      <c r="B16085" s="11"/>
    </row>
    <row r="16086" spans="2:2" x14ac:dyDescent="0.25">
      <c r="B16086" s="11"/>
    </row>
    <row r="16087" spans="2:2" x14ac:dyDescent="0.25">
      <c r="B16087" s="11"/>
    </row>
    <row r="16088" spans="2:2" x14ac:dyDescent="0.25">
      <c r="B16088" s="11"/>
    </row>
    <row r="16089" spans="2:2" x14ac:dyDescent="0.25">
      <c r="B16089" s="11"/>
    </row>
    <row r="16090" spans="2:2" x14ac:dyDescent="0.25">
      <c r="B16090" s="11"/>
    </row>
    <row r="16091" spans="2:2" x14ac:dyDescent="0.25">
      <c r="B16091" s="11"/>
    </row>
    <row r="16092" spans="2:2" x14ac:dyDescent="0.25">
      <c r="B16092" s="11"/>
    </row>
    <row r="16093" spans="2:2" x14ac:dyDescent="0.25">
      <c r="B16093" s="11"/>
    </row>
    <row r="16094" spans="2:2" x14ac:dyDescent="0.25">
      <c r="B16094" s="11"/>
    </row>
    <row r="16095" spans="2:2" x14ac:dyDescent="0.25">
      <c r="B16095" s="11"/>
    </row>
    <row r="16096" spans="2:2" x14ac:dyDescent="0.25">
      <c r="B16096" s="11"/>
    </row>
    <row r="16097" spans="2:2" x14ac:dyDescent="0.25">
      <c r="B16097" s="11"/>
    </row>
    <row r="16098" spans="2:2" x14ac:dyDescent="0.25">
      <c r="B16098" s="11"/>
    </row>
    <row r="16099" spans="2:2" x14ac:dyDescent="0.25">
      <c r="B16099" s="11"/>
    </row>
    <row r="16100" spans="2:2" x14ac:dyDescent="0.25">
      <c r="B16100" s="11"/>
    </row>
    <row r="16101" spans="2:2" x14ac:dyDescent="0.25">
      <c r="B16101" s="11"/>
    </row>
    <row r="16102" spans="2:2" x14ac:dyDescent="0.25">
      <c r="B16102" s="11"/>
    </row>
    <row r="16103" spans="2:2" x14ac:dyDescent="0.25">
      <c r="B16103" s="11"/>
    </row>
    <row r="16104" spans="2:2" x14ac:dyDescent="0.25">
      <c r="B16104" s="11"/>
    </row>
    <row r="16105" spans="2:2" x14ac:dyDescent="0.25">
      <c r="B16105" s="11"/>
    </row>
    <row r="16106" spans="2:2" x14ac:dyDescent="0.25">
      <c r="B16106" s="11"/>
    </row>
    <row r="16107" spans="2:2" x14ac:dyDescent="0.25">
      <c r="B16107" s="11"/>
    </row>
    <row r="16108" spans="2:2" x14ac:dyDescent="0.25">
      <c r="B16108" s="11"/>
    </row>
    <row r="16109" spans="2:2" x14ac:dyDescent="0.25">
      <c r="B16109" s="11"/>
    </row>
    <row r="16110" spans="2:2" x14ac:dyDescent="0.25">
      <c r="B16110" s="11"/>
    </row>
    <row r="16111" spans="2:2" x14ac:dyDescent="0.25">
      <c r="B16111" s="11"/>
    </row>
    <row r="16112" spans="2:2" x14ac:dyDescent="0.25">
      <c r="B16112" s="11"/>
    </row>
    <row r="16113" spans="2:2" x14ac:dyDescent="0.25">
      <c r="B16113" s="11"/>
    </row>
    <row r="16114" spans="2:2" x14ac:dyDescent="0.25">
      <c r="B16114" s="11"/>
    </row>
    <row r="16115" spans="2:2" x14ac:dyDescent="0.25">
      <c r="B16115" s="11"/>
    </row>
    <row r="16116" spans="2:2" x14ac:dyDescent="0.25">
      <c r="B16116" s="11"/>
    </row>
    <row r="16117" spans="2:2" x14ac:dyDescent="0.25">
      <c r="B16117" s="11"/>
    </row>
    <row r="16118" spans="2:2" x14ac:dyDescent="0.25">
      <c r="B16118" s="11"/>
    </row>
    <row r="16119" spans="2:2" x14ac:dyDescent="0.25">
      <c r="B16119" s="11"/>
    </row>
    <row r="16120" spans="2:2" x14ac:dyDescent="0.25">
      <c r="B16120" s="11"/>
    </row>
    <row r="16121" spans="2:2" x14ac:dyDescent="0.25">
      <c r="B16121" s="11"/>
    </row>
    <row r="16122" spans="2:2" x14ac:dyDescent="0.25">
      <c r="B16122" s="11"/>
    </row>
    <row r="16123" spans="2:2" x14ac:dyDescent="0.25">
      <c r="B16123" s="11"/>
    </row>
    <row r="16124" spans="2:2" x14ac:dyDescent="0.25">
      <c r="B16124" s="11"/>
    </row>
    <row r="16125" spans="2:2" x14ac:dyDescent="0.25">
      <c r="B16125" s="11"/>
    </row>
    <row r="16126" spans="2:2" x14ac:dyDescent="0.25">
      <c r="B16126" s="11"/>
    </row>
    <row r="16127" spans="2:2" x14ac:dyDescent="0.25">
      <c r="B16127" s="11"/>
    </row>
    <row r="16128" spans="2:2" x14ac:dyDescent="0.25">
      <c r="B16128" s="11"/>
    </row>
    <row r="16129" spans="2:2" x14ac:dyDescent="0.25">
      <c r="B16129" s="11"/>
    </row>
    <row r="16130" spans="2:2" x14ac:dyDescent="0.25">
      <c r="B16130" s="11"/>
    </row>
    <row r="16131" spans="2:2" x14ac:dyDescent="0.25">
      <c r="B16131" s="11"/>
    </row>
    <row r="16132" spans="2:2" x14ac:dyDescent="0.25">
      <c r="B16132" s="11"/>
    </row>
    <row r="16133" spans="2:2" x14ac:dyDescent="0.25">
      <c r="B16133" s="11"/>
    </row>
    <row r="16134" spans="2:2" x14ac:dyDescent="0.25">
      <c r="B16134" s="11"/>
    </row>
    <row r="16135" spans="2:2" x14ac:dyDescent="0.25">
      <c r="B16135" s="11"/>
    </row>
    <row r="16136" spans="2:2" x14ac:dyDescent="0.25">
      <c r="B16136" s="11"/>
    </row>
    <row r="16137" spans="2:2" x14ac:dyDescent="0.25">
      <c r="B16137" s="11"/>
    </row>
    <row r="16138" spans="2:2" x14ac:dyDescent="0.25">
      <c r="B16138" s="11"/>
    </row>
    <row r="16139" spans="2:2" x14ac:dyDescent="0.25">
      <c r="B16139" s="11"/>
    </row>
    <row r="16140" spans="2:2" x14ac:dyDescent="0.25">
      <c r="B16140" s="11"/>
    </row>
    <row r="16141" spans="2:2" x14ac:dyDescent="0.25">
      <c r="B16141" s="11"/>
    </row>
    <row r="16142" spans="2:2" x14ac:dyDescent="0.25">
      <c r="B16142" s="11"/>
    </row>
    <row r="16143" spans="2:2" x14ac:dyDescent="0.25">
      <c r="B16143" s="11"/>
    </row>
    <row r="16144" spans="2:2" x14ac:dyDescent="0.25">
      <c r="B16144" s="11"/>
    </row>
    <row r="16145" spans="2:2" x14ac:dyDescent="0.25">
      <c r="B16145" s="11"/>
    </row>
    <row r="16146" spans="2:2" x14ac:dyDescent="0.25">
      <c r="B16146" s="11"/>
    </row>
    <row r="16147" spans="2:2" x14ac:dyDescent="0.25">
      <c r="B16147" s="11"/>
    </row>
    <row r="16148" spans="2:2" x14ac:dyDescent="0.25">
      <c r="B16148" s="11"/>
    </row>
    <row r="16149" spans="2:2" x14ac:dyDescent="0.25">
      <c r="B16149" s="11"/>
    </row>
    <row r="16150" spans="2:2" x14ac:dyDescent="0.25">
      <c r="B16150" s="11"/>
    </row>
    <row r="16151" spans="2:2" x14ac:dyDescent="0.25">
      <c r="B16151" s="11"/>
    </row>
    <row r="16152" spans="2:2" x14ac:dyDescent="0.25">
      <c r="B16152" s="11"/>
    </row>
    <row r="16153" spans="2:2" x14ac:dyDescent="0.25">
      <c r="B16153" s="11"/>
    </row>
    <row r="16154" spans="2:2" x14ac:dyDescent="0.25">
      <c r="B16154" s="11"/>
    </row>
    <row r="16155" spans="2:2" x14ac:dyDescent="0.25">
      <c r="B16155" s="11"/>
    </row>
    <row r="16156" spans="2:2" x14ac:dyDescent="0.25">
      <c r="B16156" s="11"/>
    </row>
    <row r="16157" spans="2:2" x14ac:dyDescent="0.25">
      <c r="B16157" s="11"/>
    </row>
    <row r="16158" spans="2:2" x14ac:dyDescent="0.25">
      <c r="B16158" s="11"/>
    </row>
    <row r="16159" spans="2:2" x14ac:dyDescent="0.25">
      <c r="B16159" s="11"/>
    </row>
    <row r="16160" spans="2:2" x14ac:dyDescent="0.25">
      <c r="B16160" s="11"/>
    </row>
    <row r="16161" spans="2:2" x14ac:dyDescent="0.25">
      <c r="B16161" s="11"/>
    </row>
    <row r="16162" spans="2:2" x14ac:dyDescent="0.25">
      <c r="B16162" s="11"/>
    </row>
    <row r="16163" spans="2:2" x14ac:dyDescent="0.25">
      <c r="B16163" s="11"/>
    </row>
    <row r="16164" spans="2:2" x14ac:dyDescent="0.25">
      <c r="B16164" s="11"/>
    </row>
    <row r="16165" spans="2:2" x14ac:dyDescent="0.25">
      <c r="B16165" s="11"/>
    </row>
    <row r="16166" spans="2:2" x14ac:dyDescent="0.25">
      <c r="B16166" s="11"/>
    </row>
    <row r="16167" spans="2:2" x14ac:dyDescent="0.25">
      <c r="B16167" s="11"/>
    </row>
    <row r="16168" spans="2:2" x14ac:dyDescent="0.25">
      <c r="B16168" s="11"/>
    </row>
    <row r="16169" spans="2:2" x14ac:dyDescent="0.25">
      <c r="B16169" s="11"/>
    </row>
    <row r="16170" spans="2:2" x14ac:dyDescent="0.25">
      <c r="B16170" s="11"/>
    </row>
    <row r="16171" spans="2:2" x14ac:dyDescent="0.25">
      <c r="B16171" s="11"/>
    </row>
    <row r="16172" spans="2:2" x14ac:dyDescent="0.25">
      <c r="B16172" s="11"/>
    </row>
    <row r="16173" spans="2:2" x14ac:dyDescent="0.25">
      <c r="B16173" s="11"/>
    </row>
    <row r="16174" spans="2:2" x14ac:dyDescent="0.25">
      <c r="B16174" s="11"/>
    </row>
    <row r="16175" spans="2:2" x14ac:dyDescent="0.25">
      <c r="B16175" s="11"/>
    </row>
    <row r="16176" spans="2:2" x14ac:dyDescent="0.25">
      <c r="B16176" s="11"/>
    </row>
    <row r="16177" spans="2:2" x14ac:dyDescent="0.25">
      <c r="B16177" s="11"/>
    </row>
    <row r="16178" spans="2:2" x14ac:dyDescent="0.25">
      <c r="B16178" s="11"/>
    </row>
    <row r="16179" spans="2:2" x14ac:dyDescent="0.25">
      <c r="B16179" s="11"/>
    </row>
    <row r="16180" spans="2:2" x14ac:dyDescent="0.25">
      <c r="B16180" s="11"/>
    </row>
    <row r="16181" spans="2:2" x14ac:dyDescent="0.25">
      <c r="B16181" s="11"/>
    </row>
    <row r="16182" spans="2:2" x14ac:dyDescent="0.25">
      <c r="B16182" s="11"/>
    </row>
    <row r="16183" spans="2:2" x14ac:dyDescent="0.25">
      <c r="B16183" s="11"/>
    </row>
    <row r="16184" spans="2:2" x14ac:dyDescent="0.25">
      <c r="B16184" s="11"/>
    </row>
    <row r="16185" spans="2:2" x14ac:dyDescent="0.25">
      <c r="B16185" s="11"/>
    </row>
    <row r="16186" spans="2:2" x14ac:dyDescent="0.25">
      <c r="B16186" s="11"/>
    </row>
    <row r="16187" spans="2:2" x14ac:dyDescent="0.25">
      <c r="B16187" s="11"/>
    </row>
    <row r="16188" spans="2:2" x14ac:dyDescent="0.25">
      <c r="B16188" s="11"/>
    </row>
    <row r="16189" spans="2:2" x14ac:dyDescent="0.25">
      <c r="B16189" s="11"/>
    </row>
    <row r="16190" spans="2:2" x14ac:dyDescent="0.25">
      <c r="B16190" s="11"/>
    </row>
    <row r="16191" spans="2:2" x14ac:dyDescent="0.25">
      <c r="B16191" s="11"/>
    </row>
    <row r="16192" spans="2:2" x14ac:dyDescent="0.25">
      <c r="B16192" s="11"/>
    </row>
    <row r="16193" spans="2:2" x14ac:dyDescent="0.25">
      <c r="B16193" s="11"/>
    </row>
    <row r="16194" spans="2:2" x14ac:dyDescent="0.25">
      <c r="B16194" s="11"/>
    </row>
    <row r="16195" spans="2:2" x14ac:dyDescent="0.25">
      <c r="B16195" s="11"/>
    </row>
    <row r="16196" spans="2:2" x14ac:dyDescent="0.25">
      <c r="B16196" s="11"/>
    </row>
    <row r="16197" spans="2:2" x14ac:dyDescent="0.25">
      <c r="B16197" s="11"/>
    </row>
    <row r="16198" spans="2:2" x14ac:dyDescent="0.25">
      <c r="B16198" s="11"/>
    </row>
    <row r="16199" spans="2:2" x14ac:dyDescent="0.25">
      <c r="B16199" s="11"/>
    </row>
    <row r="16200" spans="2:2" x14ac:dyDescent="0.25">
      <c r="B16200" s="11"/>
    </row>
    <row r="16201" spans="2:2" x14ac:dyDescent="0.25">
      <c r="B16201" s="11"/>
    </row>
    <row r="16202" spans="2:2" x14ac:dyDescent="0.25">
      <c r="B16202" s="11"/>
    </row>
    <row r="16203" spans="2:2" x14ac:dyDescent="0.25">
      <c r="B16203" s="11"/>
    </row>
    <row r="16204" spans="2:2" x14ac:dyDescent="0.25">
      <c r="B16204" s="11"/>
    </row>
    <row r="16205" spans="2:2" x14ac:dyDescent="0.25">
      <c r="B16205" s="11"/>
    </row>
    <row r="16206" spans="2:2" x14ac:dyDescent="0.25">
      <c r="B16206" s="11"/>
    </row>
    <row r="16207" spans="2:2" x14ac:dyDescent="0.25">
      <c r="B16207" s="11"/>
    </row>
    <row r="16208" spans="2:2" x14ac:dyDescent="0.25">
      <c r="B16208" s="11"/>
    </row>
    <row r="16209" spans="2:2" x14ac:dyDescent="0.25">
      <c r="B16209" s="11"/>
    </row>
    <row r="16210" spans="2:2" x14ac:dyDescent="0.25">
      <c r="B16210" s="11"/>
    </row>
    <row r="16211" spans="2:2" x14ac:dyDescent="0.25">
      <c r="B16211" s="11"/>
    </row>
    <row r="16212" spans="2:2" x14ac:dyDescent="0.25">
      <c r="B16212" s="11"/>
    </row>
    <row r="16213" spans="2:2" x14ac:dyDescent="0.25">
      <c r="B16213" s="11"/>
    </row>
    <row r="16214" spans="2:2" x14ac:dyDescent="0.25">
      <c r="B16214" s="11"/>
    </row>
    <row r="16215" spans="2:2" x14ac:dyDescent="0.25">
      <c r="B16215" s="11"/>
    </row>
    <row r="16216" spans="2:2" x14ac:dyDescent="0.25">
      <c r="B16216" s="11"/>
    </row>
    <row r="16217" spans="2:2" x14ac:dyDescent="0.25">
      <c r="B16217" s="11"/>
    </row>
    <row r="16218" spans="2:2" x14ac:dyDescent="0.25">
      <c r="B16218" s="11"/>
    </row>
    <row r="16219" spans="2:2" x14ac:dyDescent="0.25">
      <c r="B16219" s="11"/>
    </row>
    <row r="16220" spans="2:2" x14ac:dyDescent="0.25">
      <c r="B16220" s="11"/>
    </row>
    <row r="16221" spans="2:2" x14ac:dyDescent="0.25">
      <c r="B16221" s="11"/>
    </row>
    <row r="16222" spans="2:2" x14ac:dyDescent="0.25">
      <c r="B16222" s="11"/>
    </row>
    <row r="16223" spans="2:2" x14ac:dyDescent="0.25">
      <c r="B16223" s="11"/>
    </row>
    <row r="16224" spans="2:2" x14ac:dyDescent="0.25">
      <c r="B16224" s="11"/>
    </row>
    <row r="16225" spans="2:2" x14ac:dyDescent="0.25">
      <c r="B16225" s="11"/>
    </row>
    <row r="16226" spans="2:2" x14ac:dyDescent="0.25">
      <c r="B16226" s="11"/>
    </row>
    <row r="16227" spans="2:2" x14ac:dyDescent="0.25">
      <c r="B16227" s="11"/>
    </row>
    <row r="16228" spans="2:2" x14ac:dyDescent="0.25">
      <c r="B16228" s="11"/>
    </row>
    <row r="16229" spans="2:2" x14ac:dyDescent="0.25">
      <c r="B16229" s="11"/>
    </row>
    <row r="16230" spans="2:2" x14ac:dyDescent="0.25">
      <c r="B16230" s="11"/>
    </row>
    <row r="16231" spans="2:2" x14ac:dyDescent="0.25">
      <c r="B16231" s="11"/>
    </row>
    <row r="16232" spans="2:2" x14ac:dyDescent="0.25">
      <c r="B16232" s="11"/>
    </row>
    <row r="16233" spans="2:2" x14ac:dyDescent="0.25">
      <c r="B16233" s="11"/>
    </row>
    <row r="16234" spans="2:2" x14ac:dyDescent="0.25">
      <c r="B16234" s="11"/>
    </row>
    <row r="16235" spans="2:2" x14ac:dyDescent="0.25">
      <c r="B16235" s="11"/>
    </row>
    <row r="16236" spans="2:2" x14ac:dyDescent="0.25">
      <c r="B16236" s="11"/>
    </row>
    <row r="16237" spans="2:2" x14ac:dyDescent="0.25">
      <c r="B16237" s="11"/>
    </row>
    <row r="16238" spans="2:2" x14ac:dyDescent="0.25">
      <c r="B16238" s="11"/>
    </row>
    <row r="16239" spans="2:2" x14ac:dyDescent="0.25">
      <c r="B16239" s="11"/>
    </row>
    <row r="16240" spans="2:2" x14ac:dyDescent="0.25">
      <c r="B16240" s="11"/>
    </row>
    <row r="16241" spans="2:2" x14ac:dyDescent="0.25">
      <c r="B16241" s="11"/>
    </row>
    <row r="16242" spans="2:2" x14ac:dyDescent="0.25">
      <c r="B16242" s="11"/>
    </row>
    <row r="16243" spans="2:2" x14ac:dyDescent="0.25">
      <c r="B16243" s="11"/>
    </row>
    <row r="16244" spans="2:2" x14ac:dyDescent="0.25">
      <c r="B16244" s="11"/>
    </row>
    <row r="16245" spans="2:2" x14ac:dyDescent="0.25">
      <c r="B16245" s="11"/>
    </row>
    <row r="16246" spans="2:2" x14ac:dyDescent="0.25">
      <c r="B16246" s="11"/>
    </row>
    <row r="16247" spans="2:2" x14ac:dyDescent="0.25">
      <c r="B16247" s="11"/>
    </row>
    <row r="16248" spans="2:2" x14ac:dyDescent="0.25">
      <c r="B16248" s="11"/>
    </row>
    <row r="16249" spans="2:2" x14ac:dyDescent="0.25">
      <c r="B16249" s="11"/>
    </row>
    <row r="16250" spans="2:2" x14ac:dyDescent="0.25">
      <c r="B16250" s="11"/>
    </row>
    <row r="16251" spans="2:2" x14ac:dyDescent="0.25">
      <c r="B16251" s="11"/>
    </row>
    <row r="16252" spans="2:2" x14ac:dyDescent="0.25">
      <c r="B16252" s="11"/>
    </row>
    <row r="16253" spans="2:2" x14ac:dyDescent="0.25">
      <c r="B16253" s="11"/>
    </row>
    <row r="16254" spans="2:2" x14ac:dyDescent="0.25">
      <c r="B16254" s="11"/>
    </row>
    <row r="16255" spans="2:2" x14ac:dyDescent="0.25">
      <c r="B16255" s="11"/>
    </row>
    <row r="16256" spans="2:2" x14ac:dyDescent="0.25">
      <c r="B16256" s="11"/>
    </row>
    <row r="16257" spans="2:2" x14ac:dyDescent="0.25">
      <c r="B16257" s="11"/>
    </row>
    <row r="16258" spans="2:2" x14ac:dyDescent="0.25">
      <c r="B16258" s="11"/>
    </row>
    <row r="16259" spans="2:2" x14ac:dyDescent="0.25">
      <c r="B16259" s="11"/>
    </row>
    <row r="16260" spans="2:2" x14ac:dyDescent="0.25">
      <c r="B16260" s="11"/>
    </row>
    <row r="16261" spans="2:2" x14ac:dyDescent="0.25">
      <c r="B16261" s="11"/>
    </row>
    <row r="16262" spans="2:2" x14ac:dyDescent="0.25">
      <c r="B16262" s="11"/>
    </row>
    <row r="16263" spans="2:2" x14ac:dyDescent="0.25">
      <c r="B16263" s="11"/>
    </row>
    <row r="16264" spans="2:2" x14ac:dyDescent="0.25">
      <c r="B16264" s="11"/>
    </row>
    <row r="16265" spans="2:2" x14ac:dyDescent="0.25">
      <c r="B16265" s="11"/>
    </row>
    <row r="16266" spans="2:2" x14ac:dyDescent="0.25">
      <c r="B16266" s="11"/>
    </row>
    <row r="16267" spans="2:2" x14ac:dyDescent="0.25">
      <c r="B16267" s="11"/>
    </row>
    <row r="16268" spans="2:2" x14ac:dyDescent="0.25">
      <c r="B16268" s="11"/>
    </row>
    <row r="16269" spans="2:2" x14ac:dyDescent="0.25">
      <c r="B16269" s="11"/>
    </row>
    <row r="16270" spans="2:2" x14ac:dyDescent="0.25">
      <c r="B16270" s="11"/>
    </row>
    <row r="16271" spans="2:2" x14ac:dyDescent="0.25">
      <c r="B16271" s="11"/>
    </row>
    <row r="16272" spans="2:2" x14ac:dyDescent="0.25">
      <c r="B16272" s="11"/>
    </row>
    <row r="16273" spans="2:2" x14ac:dyDescent="0.25">
      <c r="B16273" s="11"/>
    </row>
    <row r="16274" spans="2:2" x14ac:dyDescent="0.25">
      <c r="B16274" s="11"/>
    </row>
    <row r="16275" spans="2:2" x14ac:dyDescent="0.25">
      <c r="B16275" s="11"/>
    </row>
    <row r="16276" spans="2:2" x14ac:dyDescent="0.25">
      <c r="B16276" s="11"/>
    </row>
    <row r="16277" spans="2:2" x14ac:dyDescent="0.25">
      <c r="B16277" s="11"/>
    </row>
    <row r="16278" spans="2:2" x14ac:dyDescent="0.25">
      <c r="B16278" s="11"/>
    </row>
    <row r="16279" spans="2:2" x14ac:dyDescent="0.25">
      <c r="B16279" s="11"/>
    </row>
    <row r="16280" spans="2:2" x14ac:dyDescent="0.25">
      <c r="B16280" s="11"/>
    </row>
    <row r="16281" spans="2:2" x14ac:dyDescent="0.25">
      <c r="B16281" s="11"/>
    </row>
    <row r="16282" spans="2:2" x14ac:dyDescent="0.25">
      <c r="B16282" s="11"/>
    </row>
    <row r="16283" spans="2:2" x14ac:dyDescent="0.25">
      <c r="B16283" s="11"/>
    </row>
    <row r="16284" spans="2:2" x14ac:dyDescent="0.25">
      <c r="B16284" s="11"/>
    </row>
    <row r="16285" spans="2:2" x14ac:dyDescent="0.25">
      <c r="B16285" s="11"/>
    </row>
    <row r="16286" spans="2:2" x14ac:dyDescent="0.25">
      <c r="B16286" s="11"/>
    </row>
    <row r="16287" spans="2:2" x14ac:dyDescent="0.25">
      <c r="B16287" s="11"/>
    </row>
    <row r="16288" spans="2:2" x14ac:dyDescent="0.25">
      <c r="B16288" s="11"/>
    </row>
    <row r="16289" spans="2:2" x14ac:dyDescent="0.25">
      <c r="B16289" s="11"/>
    </row>
    <row r="16290" spans="2:2" x14ac:dyDescent="0.25">
      <c r="B16290" s="11"/>
    </row>
    <row r="16291" spans="2:2" x14ac:dyDescent="0.25">
      <c r="B16291" s="11"/>
    </row>
    <row r="16292" spans="2:2" x14ac:dyDescent="0.25">
      <c r="B16292" s="11"/>
    </row>
    <row r="16293" spans="2:2" x14ac:dyDescent="0.25">
      <c r="B16293" s="11"/>
    </row>
    <row r="16294" spans="2:2" x14ac:dyDescent="0.25">
      <c r="B16294" s="11"/>
    </row>
    <row r="16295" spans="2:2" x14ac:dyDescent="0.25">
      <c r="B16295" s="11"/>
    </row>
    <row r="16296" spans="2:2" x14ac:dyDescent="0.25">
      <c r="B16296" s="11"/>
    </row>
    <row r="16297" spans="2:2" x14ac:dyDescent="0.25">
      <c r="B16297" s="11"/>
    </row>
    <row r="16298" spans="2:2" x14ac:dyDescent="0.25">
      <c r="B16298" s="11"/>
    </row>
    <row r="16299" spans="2:2" x14ac:dyDescent="0.25">
      <c r="B16299" s="11"/>
    </row>
    <row r="16300" spans="2:2" x14ac:dyDescent="0.25">
      <c r="B16300" s="11"/>
    </row>
    <row r="16301" spans="2:2" x14ac:dyDescent="0.25">
      <c r="B16301" s="11"/>
    </row>
    <row r="16302" spans="2:2" x14ac:dyDescent="0.25">
      <c r="B16302" s="11"/>
    </row>
    <row r="16303" spans="2:2" x14ac:dyDescent="0.25">
      <c r="B16303" s="11"/>
    </row>
    <row r="16304" spans="2:2" x14ac:dyDescent="0.25">
      <c r="B16304" s="11"/>
    </row>
    <row r="16305" spans="2:2" x14ac:dyDescent="0.25">
      <c r="B16305" s="11"/>
    </row>
    <row r="16306" spans="2:2" x14ac:dyDescent="0.25">
      <c r="B16306" s="11"/>
    </row>
    <row r="16307" spans="2:2" x14ac:dyDescent="0.25">
      <c r="B16307" s="11"/>
    </row>
    <row r="16308" spans="2:2" x14ac:dyDescent="0.25">
      <c r="B16308" s="11"/>
    </row>
    <row r="16309" spans="2:2" x14ac:dyDescent="0.25">
      <c r="B16309" s="11"/>
    </row>
    <row r="16310" spans="2:2" x14ac:dyDescent="0.25">
      <c r="B16310" s="11"/>
    </row>
    <row r="16311" spans="2:2" x14ac:dyDescent="0.25">
      <c r="B16311" s="11"/>
    </row>
    <row r="16312" spans="2:2" x14ac:dyDescent="0.25">
      <c r="B16312" s="11"/>
    </row>
    <row r="16313" spans="2:2" x14ac:dyDescent="0.25">
      <c r="B16313" s="11"/>
    </row>
    <row r="16314" spans="2:2" x14ac:dyDescent="0.25">
      <c r="B16314" s="11"/>
    </row>
    <row r="16315" spans="2:2" x14ac:dyDescent="0.25">
      <c r="B16315" s="11"/>
    </row>
    <row r="16316" spans="2:2" x14ac:dyDescent="0.25">
      <c r="B16316" s="11"/>
    </row>
    <row r="16317" spans="2:2" x14ac:dyDescent="0.25">
      <c r="B16317" s="11"/>
    </row>
    <row r="16318" spans="2:2" x14ac:dyDescent="0.25">
      <c r="B16318" s="11"/>
    </row>
    <row r="16319" spans="2:2" x14ac:dyDescent="0.25">
      <c r="B16319" s="11"/>
    </row>
    <row r="16320" spans="2:2" x14ac:dyDescent="0.25">
      <c r="B16320" s="11"/>
    </row>
    <row r="16321" spans="2:2" x14ac:dyDescent="0.25">
      <c r="B16321" s="11"/>
    </row>
    <row r="16322" spans="2:2" x14ac:dyDescent="0.25">
      <c r="B16322" s="11"/>
    </row>
    <row r="16323" spans="2:2" x14ac:dyDescent="0.25">
      <c r="B16323" s="11"/>
    </row>
    <row r="16324" spans="2:2" x14ac:dyDescent="0.25">
      <c r="B16324" s="11"/>
    </row>
    <row r="16325" spans="2:2" x14ac:dyDescent="0.25">
      <c r="B16325" s="11"/>
    </row>
    <row r="16326" spans="2:2" x14ac:dyDescent="0.25">
      <c r="B16326" s="11"/>
    </row>
    <row r="16327" spans="2:2" x14ac:dyDescent="0.25">
      <c r="B16327" s="11"/>
    </row>
    <row r="16328" spans="2:2" x14ac:dyDescent="0.25">
      <c r="B16328" s="11"/>
    </row>
    <row r="16329" spans="2:2" x14ac:dyDescent="0.25">
      <c r="B16329" s="11"/>
    </row>
    <row r="16330" spans="2:2" x14ac:dyDescent="0.25">
      <c r="B16330" s="11"/>
    </row>
    <row r="16331" spans="2:2" x14ac:dyDescent="0.25">
      <c r="B16331" s="11"/>
    </row>
    <row r="16332" spans="2:2" x14ac:dyDescent="0.25">
      <c r="B16332" s="11"/>
    </row>
    <row r="16333" spans="2:2" x14ac:dyDescent="0.25">
      <c r="B16333" s="11"/>
    </row>
    <row r="16334" spans="2:2" x14ac:dyDescent="0.25">
      <c r="B16334" s="11"/>
    </row>
    <row r="16335" spans="2:2" x14ac:dyDescent="0.25">
      <c r="B16335" s="11"/>
    </row>
    <row r="16336" spans="2:2" x14ac:dyDescent="0.25">
      <c r="B16336" s="11"/>
    </row>
    <row r="16337" spans="2:2" x14ac:dyDescent="0.25">
      <c r="B16337" s="11"/>
    </row>
    <row r="16338" spans="2:2" x14ac:dyDescent="0.25">
      <c r="B16338" s="11"/>
    </row>
    <row r="16339" spans="2:2" x14ac:dyDescent="0.25">
      <c r="B16339" s="11"/>
    </row>
    <row r="16340" spans="2:2" x14ac:dyDescent="0.25">
      <c r="B16340" s="11"/>
    </row>
    <row r="16341" spans="2:2" x14ac:dyDescent="0.25">
      <c r="B16341" s="11"/>
    </row>
    <row r="16342" spans="2:2" x14ac:dyDescent="0.25">
      <c r="B16342" s="11"/>
    </row>
    <row r="16343" spans="2:2" x14ac:dyDescent="0.25">
      <c r="B16343" s="11"/>
    </row>
    <row r="16344" spans="2:2" x14ac:dyDescent="0.25">
      <c r="B16344" s="11"/>
    </row>
    <row r="16345" spans="2:2" x14ac:dyDescent="0.25">
      <c r="B16345" s="11"/>
    </row>
    <row r="16346" spans="2:2" x14ac:dyDescent="0.25">
      <c r="B16346" s="11"/>
    </row>
    <row r="16347" spans="2:2" x14ac:dyDescent="0.25">
      <c r="B16347" s="11"/>
    </row>
    <row r="16348" spans="2:2" x14ac:dyDescent="0.25">
      <c r="B16348" s="11"/>
    </row>
    <row r="16349" spans="2:2" x14ac:dyDescent="0.25">
      <c r="B16349" s="11"/>
    </row>
    <row r="16350" spans="2:2" x14ac:dyDescent="0.25">
      <c r="B16350" s="11"/>
    </row>
    <row r="16351" spans="2:2" x14ac:dyDescent="0.25">
      <c r="B16351" s="11"/>
    </row>
    <row r="16352" spans="2:2" x14ac:dyDescent="0.25">
      <c r="B16352" s="11"/>
    </row>
    <row r="16353" spans="2:2" x14ac:dyDescent="0.25">
      <c r="B16353" s="11"/>
    </row>
    <row r="16354" spans="2:2" x14ac:dyDescent="0.25">
      <c r="B16354" s="11"/>
    </row>
    <row r="16355" spans="2:2" x14ac:dyDescent="0.25">
      <c r="B16355" s="11"/>
    </row>
    <row r="16356" spans="2:2" x14ac:dyDescent="0.25">
      <c r="B16356" s="11"/>
    </row>
    <row r="16357" spans="2:2" x14ac:dyDescent="0.25">
      <c r="B16357" s="11"/>
    </row>
    <row r="16358" spans="2:2" x14ac:dyDescent="0.25">
      <c r="B16358" s="11"/>
    </row>
    <row r="16359" spans="2:2" x14ac:dyDescent="0.25">
      <c r="B16359" s="11"/>
    </row>
    <row r="16360" spans="2:2" x14ac:dyDescent="0.25">
      <c r="B16360" s="11"/>
    </row>
    <row r="16361" spans="2:2" x14ac:dyDescent="0.25">
      <c r="B16361" s="11"/>
    </row>
    <row r="16362" spans="2:2" x14ac:dyDescent="0.25">
      <c r="B16362" s="11"/>
    </row>
    <row r="16363" spans="2:2" x14ac:dyDescent="0.25">
      <c r="B16363" s="11"/>
    </row>
    <row r="16364" spans="2:2" x14ac:dyDescent="0.25">
      <c r="B16364" s="11"/>
    </row>
    <row r="16365" spans="2:2" x14ac:dyDescent="0.25">
      <c r="B16365" s="11"/>
    </row>
    <row r="16366" spans="2:2" x14ac:dyDescent="0.25">
      <c r="B16366" s="11"/>
    </row>
    <row r="16367" spans="2:2" x14ac:dyDescent="0.25">
      <c r="B16367" s="11"/>
    </row>
    <row r="16368" spans="2:2" x14ac:dyDescent="0.25">
      <c r="B16368" s="11"/>
    </row>
    <row r="16369" spans="2:2" x14ac:dyDescent="0.25">
      <c r="B16369" s="11"/>
    </row>
    <row r="16370" spans="2:2" x14ac:dyDescent="0.25">
      <c r="B16370" s="11"/>
    </row>
    <row r="16371" spans="2:2" x14ac:dyDescent="0.25">
      <c r="B16371" s="11"/>
    </row>
    <row r="16372" spans="2:2" x14ac:dyDescent="0.25">
      <c r="B16372" s="11"/>
    </row>
    <row r="16373" spans="2:2" x14ac:dyDescent="0.25">
      <c r="B16373" s="11"/>
    </row>
    <row r="16374" spans="2:2" x14ac:dyDescent="0.25">
      <c r="B16374" s="11"/>
    </row>
    <row r="16375" spans="2:2" x14ac:dyDescent="0.25">
      <c r="B16375" s="11"/>
    </row>
    <row r="16376" spans="2:2" x14ac:dyDescent="0.25">
      <c r="B16376" s="11"/>
    </row>
    <row r="16377" spans="2:2" x14ac:dyDescent="0.25">
      <c r="B16377" s="11"/>
    </row>
    <row r="16378" spans="2:2" x14ac:dyDescent="0.25">
      <c r="B16378" s="11"/>
    </row>
    <row r="16379" spans="2:2" x14ac:dyDescent="0.25">
      <c r="B16379" s="11"/>
    </row>
    <row r="16380" spans="2:2" x14ac:dyDescent="0.25">
      <c r="B16380" s="11"/>
    </row>
    <row r="16381" spans="2:2" x14ac:dyDescent="0.25">
      <c r="B16381" s="11"/>
    </row>
    <row r="16382" spans="2:2" x14ac:dyDescent="0.25">
      <c r="B16382" s="11"/>
    </row>
    <row r="16383" spans="2:2" x14ac:dyDescent="0.25">
      <c r="B16383" s="11"/>
    </row>
    <row r="16384" spans="2:2" x14ac:dyDescent="0.25">
      <c r="B16384" s="11"/>
    </row>
    <row r="16385" spans="2:2" x14ac:dyDescent="0.25">
      <c r="B16385" s="11"/>
    </row>
    <row r="16386" spans="2:2" x14ac:dyDescent="0.25">
      <c r="B16386" s="11"/>
    </row>
    <row r="16387" spans="2:2" x14ac:dyDescent="0.25">
      <c r="B16387" s="11"/>
    </row>
    <row r="16388" spans="2:2" x14ac:dyDescent="0.25">
      <c r="B16388" s="11"/>
    </row>
    <row r="16389" spans="2:2" x14ac:dyDescent="0.25">
      <c r="B16389" s="11"/>
    </row>
    <row r="16390" spans="2:2" x14ac:dyDescent="0.25">
      <c r="B16390" s="11"/>
    </row>
    <row r="16391" spans="2:2" x14ac:dyDescent="0.25">
      <c r="B16391" s="11"/>
    </row>
    <row r="16392" spans="2:2" x14ac:dyDescent="0.25">
      <c r="B16392" s="11"/>
    </row>
    <row r="16393" spans="2:2" x14ac:dyDescent="0.25">
      <c r="B16393" s="11"/>
    </row>
    <row r="16394" spans="2:2" x14ac:dyDescent="0.25">
      <c r="B16394" s="11"/>
    </row>
    <row r="16395" spans="2:2" x14ac:dyDescent="0.25">
      <c r="B16395" s="11"/>
    </row>
    <row r="16396" spans="2:2" x14ac:dyDescent="0.25">
      <c r="B16396" s="11"/>
    </row>
    <row r="16397" spans="2:2" x14ac:dyDescent="0.25">
      <c r="B16397" s="11"/>
    </row>
    <row r="16398" spans="2:2" x14ac:dyDescent="0.25">
      <c r="B16398" s="11"/>
    </row>
    <row r="16399" spans="2:2" x14ac:dyDescent="0.25">
      <c r="B16399" s="11"/>
    </row>
    <row r="16400" spans="2:2" x14ac:dyDescent="0.25">
      <c r="B16400" s="11"/>
    </row>
    <row r="16401" spans="2:2" x14ac:dyDescent="0.25">
      <c r="B16401" s="11"/>
    </row>
    <row r="16402" spans="2:2" x14ac:dyDescent="0.25">
      <c r="B16402" s="11"/>
    </row>
    <row r="16403" spans="2:2" x14ac:dyDescent="0.25">
      <c r="B16403" s="11"/>
    </row>
    <row r="16404" spans="2:2" x14ac:dyDescent="0.25">
      <c r="B16404" s="11"/>
    </row>
    <row r="16405" spans="2:2" x14ac:dyDescent="0.25">
      <c r="B16405" s="11"/>
    </row>
    <row r="16406" spans="2:2" x14ac:dyDescent="0.25">
      <c r="B16406" s="11"/>
    </row>
    <row r="16407" spans="2:2" x14ac:dyDescent="0.25">
      <c r="B16407" s="11"/>
    </row>
    <row r="16408" spans="2:2" x14ac:dyDescent="0.25">
      <c r="B16408" s="11"/>
    </row>
    <row r="16409" spans="2:2" x14ac:dyDescent="0.25">
      <c r="B16409" s="11"/>
    </row>
    <row r="16410" spans="2:2" x14ac:dyDescent="0.25">
      <c r="B16410" s="11"/>
    </row>
    <row r="16411" spans="2:2" x14ac:dyDescent="0.25">
      <c r="B16411" s="11"/>
    </row>
    <row r="16412" spans="2:2" x14ac:dyDescent="0.25">
      <c r="B16412" s="11"/>
    </row>
    <row r="16413" spans="2:2" x14ac:dyDescent="0.25">
      <c r="B16413" s="11"/>
    </row>
    <row r="16414" spans="2:2" x14ac:dyDescent="0.25">
      <c r="B16414" s="11"/>
    </row>
    <row r="16415" spans="2:2" x14ac:dyDescent="0.25">
      <c r="B16415" s="11"/>
    </row>
    <row r="16416" spans="2:2" x14ac:dyDescent="0.25">
      <c r="B16416" s="11"/>
    </row>
    <row r="16417" spans="2:2" x14ac:dyDescent="0.25">
      <c r="B16417" s="11"/>
    </row>
    <row r="16418" spans="2:2" x14ac:dyDescent="0.25">
      <c r="B16418" s="11"/>
    </row>
    <row r="16419" spans="2:2" x14ac:dyDescent="0.25">
      <c r="B16419" s="11"/>
    </row>
    <row r="16420" spans="2:2" x14ac:dyDescent="0.25">
      <c r="B16420" s="11"/>
    </row>
    <row r="16421" spans="2:2" x14ac:dyDescent="0.25">
      <c r="B16421" s="11"/>
    </row>
    <row r="16422" spans="2:2" x14ac:dyDescent="0.25">
      <c r="B16422" s="11"/>
    </row>
    <row r="16423" spans="2:2" x14ac:dyDescent="0.25">
      <c r="B16423" s="11"/>
    </row>
    <row r="16424" spans="2:2" x14ac:dyDescent="0.25">
      <c r="B16424" s="11"/>
    </row>
    <row r="16425" spans="2:2" x14ac:dyDescent="0.25">
      <c r="B16425" s="11"/>
    </row>
    <row r="16426" spans="2:2" x14ac:dyDescent="0.25">
      <c r="B16426" s="11"/>
    </row>
    <row r="16427" spans="2:2" x14ac:dyDescent="0.25">
      <c r="B16427" s="11"/>
    </row>
    <row r="16428" spans="2:2" x14ac:dyDescent="0.25">
      <c r="B16428" s="11"/>
    </row>
    <row r="16429" spans="2:2" x14ac:dyDescent="0.25">
      <c r="B16429" s="11"/>
    </row>
    <row r="16430" spans="2:2" x14ac:dyDescent="0.25">
      <c r="B16430" s="11"/>
    </row>
    <row r="16431" spans="2:2" x14ac:dyDescent="0.25">
      <c r="B16431" s="11"/>
    </row>
    <row r="16432" spans="2:2" x14ac:dyDescent="0.25">
      <c r="B16432" s="11"/>
    </row>
    <row r="16433" spans="2:2" x14ac:dyDescent="0.25">
      <c r="B16433" s="11"/>
    </row>
    <row r="16434" spans="2:2" x14ac:dyDescent="0.25">
      <c r="B16434" s="11"/>
    </row>
    <row r="16435" spans="2:2" x14ac:dyDescent="0.25">
      <c r="B16435" s="11"/>
    </row>
    <row r="16436" spans="2:2" x14ac:dyDescent="0.25">
      <c r="B16436" s="11"/>
    </row>
    <row r="16437" spans="2:2" x14ac:dyDescent="0.25">
      <c r="B16437" s="11"/>
    </row>
    <row r="16438" spans="2:2" x14ac:dyDescent="0.25">
      <c r="B16438" s="11"/>
    </row>
    <row r="16439" spans="2:2" x14ac:dyDescent="0.25">
      <c r="B16439" s="11"/>
    </row>
    <row r="16440" spans="2:2" x14ac:dyDescent="0.25">
      <c r="B16440" s="11"/>
    </row>
    <row r="16441" spans="2:2" x14ac:dyDescent="0.25">
      <c r="B16441" s="11"/>
    </row>
    <row r="16442" spans="2:2" x14ac:dyDescent="0.25">
      <c r="B16442" s="11"/>
    </row>
    <row r="16443" spans="2:2" x14ac:dyDescent="0.25">
      <c r="B16443" s="11"/>
    </row>
    <row r="16444" spans="2:2" x14ac:dyDescent="0.25">
      <c r="B16444" s="11"/>
    </row>
    <row r="16445" spans="2:2" x14ac:dyDescent="0.25">
      <c r="B16445" s="11"/>
    </row>
    <row r="16446" spans="2:2" x14ac:dyDescent="0.25">
      <c r="B16446" s="11"/>
    </row>
    <row r="16447" spans="2:2" x14ac:dyDescent="0.25">
      <c r="B16447" s="11"/>
    </row>
    <row r="16448" spans="2:2" x14ac:dyDescent="0.25">
      <c r="B16448" s="11"/>
    </row>
    <row r="16449" spans="2:2" x14ac:dyDescent="0.25">
      <c r="B16449" s="11"/>
    </row>
    <row r="16450" spans="2:2" x14ac:dyDescent="0.25">
      <c r="B16450" s="11"/>
    </row>
    <row r="16451" spans="2:2" x14ac:dyDescent="0.25">
      <c r="B16451" s="11"/>
    </row>
    <row r="16452" spans="2:2" x14ac:dyDescent="0.25">
      <c r="B16452" s="11"/>
    </row>
    <row r="16453" spans="2:2" x14ac:dyDescent="0.25">
      <c r="B16453" s="11"/>
    </row>
    <row r="16454" spans="2:2" x14ac:dyDescent="0.25">
      <c r="B16454" s="11"/>
    </row>
    <row r="16455" spans="2:2" x14ac:dyDescent="0.25">
      <c r="B16455" s="11"/>
    </row>
    <row r="16456" spans="2:2" x14ac:dyDescent="0.25">
      <c r="B16456" s="11"/>
    </row>
    <row r="16457" spans="2:2" x14ac:dyDescent="0.25">
      <c r="B16457" s="11"/>
    </row>
    <row r="16458" spans="2:2" x14ac:dyDescent="0.25">
      <c r="B16458" s="11"/>
    </row>
    <row r="16459" spans="2:2" x14ac:dyDescent="0.25">
      <c r="B16459" s="11"/>
    </row>
    <row r="16460" spans="2:2" x14ac:dyDescent="0.25">
      <c r="B16460" s="11"/>
    </row>
    <row r="16461" spans="2:2" x14ac:dyDescent="0.25">
      <c r="B16461" s="11"/>
    </row>
    <row r="16462" spans="2:2" x14ac:dyDescent="0.25">
      <c r="B16462" s="11"/>
    </row>
    <row r="16463" spans="2:2" x14ac:dyDescent="0.25">
      <c r="B16463" s="11"/>
    </row>
    <row r="16464" spans="2:2" x14ac:dyDescent="0.25">
      <c r="B16464" s="11"/>
    </row>
    <row r="16465" spans="2:2" x14ac:dyDescent="0.25">
      <c r="B16465" s="11"/>
    </row>
    <row r="16466" spans="2:2" x14ac:dyDescent="0.25">
      <c r="B16466" s="11"/>
    </row>
    <row r="16467" spans="2:2" x14ac:dyDescent="0.25">
      <c r="B16467" s="11"/>
    </row>
    <row r="16468" spans="2:2" x14ac:dyDescent="0.25">
      <c r="B16468" s="11"/>
    </row>
    <row r="16469" spans="2:2" x14ac:dyDescent="0.25">
      <c r="B16469" s="11"/>
    </row>
    <row r="16470" spans="2:2" x14ac:dyDescent="0.25">
      <c r="B16470" s="11"/>
    </row>
    <row r="16471" spans="2:2" x14ac:dyDescent="0.25">
      <c r="B16471" s="11"/>
    </row>
    <row r="16472" spans="2:2" x14ac:dyDescent="0.25">
      <c r="B16472" s="11"/>
    </row>
    <row r="16473" spans="2:2" x14ac:dyDescent="0.25">
      <c r="B16473" s="11"/>
    </row>
    <row r="16474" spans="2:2" x14ac:dyDescent="0.25">
      <c r="B16474" s="11"/>
    </row>
    <row r="16475" spans="2:2" x14ac:dyDescent="0.25">
      <c r="B16475" s="11"/>
    </row>
    <row r="16476" spans="2:2" x14ac:dyDescent="0.25">
      <c r="B16476" s="11"/>
    </row>
    <row r="16477" spans="2:2" x14ac:dyDescent="0.25">
      <c r="B16477" s="11"/>
    </row>
    <row r="16478" spans="2:2" x14ac:dyDescent="0.25">
      <c r="B16478" s="11"/>
    </row>
    <row r="16479" spans="2:2" x14ac:dyDescent="0.25">
      <c r="B16479" s="11"/>
    </row>
    <row r="16480" spans="2:2" x14ac:dyDescent="0.25">
      <c r="B16480" s="11"/>
    </row>
    <row r="16481" spans="2:2" x14ac:dyDescent="0.25">
      <c r="B16481" s="11"/>
    </row>
    <row r="16482" spans="2:2" x14ac:dyDescent="0.25">
      <c r="B16482" s="11"/>
    </row>
    <row r="16483" spans="2:2" x14ac:dyDescent="0.25">
      <c r="B16483" s="11"/>
    </row>
    <row r="16484" spans="2:2" x14ac:dyDescent="0.25">
      <c r="B16484" s="11"/>
    </row>
    <row r="16485" spans="2:2" x14ac:dyDescent="0.25">
      <c r="B16485" s="11"/>
    </row>
    <row r="16486" spans="2:2" x14ac:dyDescent="0.25">
      <c r="B16486" s="11"/>
    </row>
    <row r="16487" spans="2:2" x14ac:dyDescent="0.25">
      <c r="B16487" s="11"/>
    </row>
    <row r="16488" spans="2:2" x14ac:dyDescent="0.25">
      <c r="B16488" s="11"/>
    </row>
    <row r="16489" spans="2:2" x14ac:dyDescent="0.25">
      <c r="B16489" s="11"/>
    </row>
    <row r="16490" spans="2:2" x14ac:dyDescent="0.25">
      <c r="B16490" s="11"/>
    </row>
    <row r="16491" spans="2:2" x14ac:dyDescent="0.25">
      <c r="B16491" s="11"/>
    </row>
    <row r="16492" spans="2:2" x14ac:dyDescent="0.25">
      <c r="B16492" s="11"/>
    </row>
    <row r="16493" spans="2:2" x14ac:dyDescent="0.25">
      <c r="B16493" s="11"/>
    </row>
    <row r="16494" spans="2:2" x14ac:dyDescent="0.25">
      <c r="B16494" s="11"/>
    </row>
    <row r="16495" spans="2:2" x14ac:dyDescent="0.25">
      <c r="B16495" s="11"/>
    </row>
    <row r="16496" spans="2:2" x14ac:dyDescent="0.25">
      <c r="B16496" s="11"/>
    </row>
    <row r="16497" spans="2:2" x14ac:dyDescent="0.25">
      <c r="B16497" s="11"/>
    </row>
    <row r="16498" spans="2:2" x14ac:dyDescent="0.25">
      <c r="B16498" s="11"/>
    </row>
    <row r="16499" spans="2:2" x14ac:dyDescent="0.25">
      <c r="B16499" s="11"/>
    </row>
    <row r="16500" spans="2:2" x14ac:dyDescent="0.25">
      <c r="B16500" s="11"/>
    </row>
    <row r="16501" spans="2:2" x14ac:dyDescent="0.25">
      <c r="B16501" s="11"/>
    </row>
    <row r="16502" spans="2:2" x14ac:dyDescent="0.25">
      <c r="B16502" s="11"/>
    </row>
    <row r="16503" spans="2:2" x14ac:dyDescent="0.25">
      <c r="B16503" s="11"/>
    </row>
    <row r="16504" spans="2:2" x14ac:dyDescent="0.25">
      <c r="B16504" s="11"/>
    </row>
    <row r="16505" spans="2:2" x14ac:dyDescent="0.25">
      <c r="B16505" s="11"/>
    </row>
    <row r="16506" spans="2:2" x14ac:dyDescent="0.25">
      <c r="B16506" s="11"/>
    </row>
    <row r="16507" spans="2:2" x14ac:dyDescent="0.25">
      <c r="B16507" s="11"/>
    </row>
    <row r="16508" spans="2:2" x14ac:dyDescent="0.25">
      <c r="B16508" s="11"/>
    </row>
    <row r="16509" spans="2:2" x14ac:dyDescent="0.25">
      <c r="B16509" s="11"/>
    </row>
    <row r="16510" spans="2:2" x14ac:dyDescent="0.25">
      <c r="B16510" s="11"/>
    </row>
    <row r="16511" spans="2:2" x14ac:dyDescent="0.25">
      <c r="B16511" s="11"/>
    </row>
    <row r="16512" spans="2:2" x14ac:dyDescent="0.25">
      <c r="B16512" s="11"/>
    </row>
    <row r="16513" spans="2:2" x14ac:dyDescent="0.25">
      <c r="B16513" s="11"/>
    </row>
    <row r="16514" spans="2:2" x14ac:dyDescent="0.25">
      <c r="B16514" s="11"/>
    </row>
    <row r="16515" spans="2:2" x14ac:dyDescent="0.25">
      <c r="B16515" s="11"/>
    </row>
    <row r="16516" spans="2:2" x14ac:dyDescent="0.25">
      <c r="B16516" s="11"/>
    </row>
    <row r="16517" spans="2:2" x14ac:dyDescent="0.25">
      <c r="B16517" s="11"/>
    </row>
    <row r="16518" spans="2:2" x14ac:dyDescent="0.25">
      <c r="B16518" s="11"/>
    </row>
    <row r="16519" spans="2:2" x14ac:dyDescent="0.25">
      <c r="B16519" s="11"/>
    </row>
    <row r="16520" spans="2:2" x14ac:dyDescent="0.25">
      <c r="B16520" s="11"/>
    </row>
    <row r="16521" spans="2:2" x14ac:dyDescent="0.25">
      <c r="B16521" s="11"/>
    </row>
    <row r="16522" spans="2:2" x14ac:dyDescent="0.25">
      <c r="B16522" s="11"/>
    </row>
    <row r="16523" spans="2:2" x14ac:dyDescent="0.25">
      <c r="B16523" s="11"/>
    </row>
    <row r="16524" spans="2:2" x14ac:dyDescent="0.25">
      <c r="B16524" s="11"/>
    </row>
    <row r="16525" spans="2:2" x14ac:dyDescent="0.25">
      <c r="B16525" s="11"/>
    </row>
    <row r="16526" spans="2:2" x14ac:dyDescent="0.25">
      <c r="B16526" s="11"/>
    </row>
    <row r="16527" spans="2:2" x14ac:dyDescent="0.25">
      <c r="B16527" s="11"/>
    </row>
    <row r="16528" spans="2:2" x14ac:dyDescent="0.25">
      <c r="B16528" s="11"/>
    </row>
    <row r="16529" spans="2:2" x14ac:dyDescent="0.25">
      <c r="B16529" s="11"/>
    </row>
    <row r="16530" spans="2:2" x14ac:dyDescent="0.25">
      <c r="B16530" s="11"/>
    </row>
    <row r="16531" spans="2:2" x14ac:dyDescent="0.25">
      <c r="B16531" s="11"/>
    </row>
    <row r="16532" spans="2:2" x14ac:dyDescent="0.25">
      <c r="B16532" s="11"/>
    </row>
    <row r="16533" spans="2:2" x14ac:dyDescent="0.25">
      <c r="B16533" s="11"/>
    </row>
    <row r="16534" spans="2:2" x14ac:dyDescent="0.25">
      <c r="B16534" s="11"/>
    </row>
    <row r="16535" spans="2:2" x14ac:dyDescent="0.25">
      <c r="B16535" s="11"/>
    </row>
    <row r="16536" spans="2:2" x14ac:dyDescent="0.25">
      <c r="B16536" s="11"/>
    </row>
    <row r="16537" spans="2:2" x14ac:dyDescent="0.25">
      <c r="B16537" s="11"/>
    </row>
    <row r="16538" spans="2:2" x14ac:dyDescent="0.25">
      <c r="B16538" s="11"/>
    </row>
    <row r="16539" spans="2:2" x14ac:dyDescent="0.25">
      <c r="B16539" s="11"/>
    </row>
    <row r="16540" spans="2:2" x14ac:dyDescent="0.25">
      <c r="B16540" s="11"/>
    </row>
    <row r="16541" spans="2:2" x14ac:dyDescent="0.25">
      <c r="B16541" s="11"/>
    </row>
    <row r="16542" spans="2:2" x14ac:dyDescent="0.25">
      <c r="B16542" s="11"/>
    </row>
    <row r="16543" spans="2:2" x14ac:dyDescent="0.25">
      <c r="B16543" s="11"/>
    </row>
    <row r="16544" spans="2:2" x14ac:dyDescent="0.25">
      <c r="B16544" s="11"/>
    </row>
    <row r="16545" spans="2:2" x14ac:dyDescent="0.25">
      <c r="B16545" s="11"/>
    </row>
    <row r="16546" spans="2:2" x14ac:dyDescent="0.25">
      <c r="B16546" s="11"/>
    </row>
    <row r="16547" spans="2:2" x14ac:dyDescent="0.25">
      <c r="B16547" s="11"/>
    </row>
    <row r="16548" spans="2:2" x14ac:dyDescent="0.25">
      <c r="B16548" s="11"/>
    </row>
    <row r="16549" spans="2:2" x14ac:dyDescent="0.25">
      <c r="B16549" s="11"/>
    </row>
    <row r="16550" spans="2:2" x14ac:dyDescent="0.25">
      <c r="B16550" s="11"/>
    </row>
    <row r="16551" spans="2:2" x14ac:dyDescent="0.25">
      <c r="B16551" s="11"/>
    </row>
    <row r="16552" spans="2:2" x14ac:dyDescent="0.25">
      <c r="B16552" s="11"/>
    </row>
    <row r="16553" spans="2:2" x14ac:dyDescent="0.25">
      <c r="B16553" s="11"/>
    </row>
    <row r="16554" spans="2:2" x14ac:dyDescent="0.25">
      <c r="B16554" s="11"/>
    </row>
    <row r="16555" spans="2:2" x14ac:dyDescent="0.25">
      <c r="B16555" s="11"/>
    </row>
    <row r="16556" spans="2:2" x14ac:dyDescent="0.25">
      <c r="B16556" s="11"/>
    </row>
    <row r="16557" spans="2:2" x14ac:dyDescent="0.25">
      <c r="B16557" s="11"/>
    </row>
    <row r="16558" spans="2:2" x14ac:dyDescent="0.25">
      <c r="B16558" s="11"/>
    </row>
    <row r="16559" spans="2:2" x14ac:dyDescent="0.25">
      <c r="B16559" s="11"/>
    </row>
    <row r="16560" spans="2:2" x14ac:dyDescent="0.25">
      <c r="B16560" s="11"/>
    </row>
    <row r="16561" spans="2:2" x14ac:dyDescent="0.25">
      <c r="B16561" s="11"/>
    </row>
    <row r="16562" spans="2:2" x14ac:dyDescent="0.25">
      <c r="B16562" s="11"/>
    </row>
    <row r="16563" spans="2:2" x14ac:dyDescent="0.25">
      <c r="B16563" s="11"/>
    </row>
    <row r="16564" spans="2:2" x14ac:dyDescent="0.25">
      <c r="B16564" s="11"/>
    </row>
    <row r="16565" spans="2:2" x14ac:dyDescent="0.25">
      <c r="B16565" s="11"/>
    </row>
    <row r="16566" spans="2:2" x14ac:dyDescent="0.25">
      <c r="B16566" s="11"/>
    </row>
    <row r="16567" spans="2:2" x14ac:dyDescent="0.25">
      <c r="B16567" s="11"/>
    </row>
    <row r="16568" spans="2:2" x14ac:dyDescent="0.25">
      <c r="B16568" s="11"/>
    </row>
    <row r="16569" spans="2:2" x14ac:dyDescent="0.25">
      <c r="B16569" s="11"/>
    </row>
    <row r="16570" spans="2:2" x14ac:dyDescent="0.25">
      <c r="B16570" s="11"/>
    </row>
    <row r="16571" spans="2:2" x14ac:dyDescent="0.25">
      <c r="B16571" s="11"/>
    </row>
    <row r="16572" spans="2:2" x14ac:dyDescent="0.25">
      <c r="B16572" s="11"/>
    </row>
    <row r="16573" spans="2:2" x14ac:dyDescent="0.25">
      <c r="B16573" s="11"/>
    </row>
    <row r="16574" spans="2:2" x14ac:dyDescent="0.25">
      <c r="B16574" s="11"/>
    </row>
    <row r="16575" spans="2:2" x14ac:dyDescent="0.25">
      <c r="B16575" s="11"/>
    </row>
    <row r="16576" spans="2:2" x14ac:dyDescent="0.25">
      <c r="B16576" s="11"/>
    </row>
    <row r="16577" spans="2:2" x14ac:dyDescent="0.25">
      <c r="B16577" s="11"/>
    </row>
    <row r="16578" spans="2:2" x14ac:dyDescent="0.25">
      <c r="B16578" s="11"/>
    </row>
    <row r="16579" spans="2:2" x14ac:dyDescent="0.25">
      <c r="B16579" s="11"/>
    </row>
    <row r="16580" spans="2:2" x14ac:dyDescent="0.25">
      <c r="B16580" s="11"/>
    </row>
    <row r="16581" spans="2:2" x14ac:dyDescent="0.25">
      <c r="B16581" s="11"/>
    </row>
    <row r="16582" spans="2:2" x14ac:dyDescent="0.25">
      <c r="B16582" s="11"/>
    </row>
    <row r="16583" spans="2:2" x14ac:dyDescent="0.25">
      <c r="B16583" s="11"/>
    </row>
    <row r="16584" spans="2:2" x14ac:dyDescent="0.25">
      <c r="B16584" s="11"/>
    </row>
    <row r="16585" spans="2:2" x14ac:dyDescent="0.25">
      <c r="B16585" s="11"/>
    </row>
    <row r="16586" spans="2:2" x14ac:dyDescent="0.25">
      <c r="B16586" s="11"/>
    </row>
    <row r="16587" spans="2:2" x14ac:dyDescent="0.25">
      <c r="B16587" s="11"/>
    </row>
    <row r="16588" spans="2:2" x14ac:dyDescent="0.25">
      <c r="B16588" s="11"/>
    </row>
    <row r="16589" spans="2:2" x14ac:dyDescent="0.25">
      <c r="B16589" s="11"/>
    </row>
    <row r="16590" spans="2:2" x14ac:dyDescent="0.25">
      <c r="B16590" s="11"/>
    </row>
    <row r="16591" spans="2:2" x14ac:dyDescent="0.25">
      <c r="B16591" s="11"/>
    </row>
    <row r="16592" spans="2:2" x14ac:dyDescent="0.25">
      <c r="B16592" s="11"/>
    </row>
    <row r="16593" spans="2:2" x14ac:dyDescent="0.25">
      <c r="B16593" s="11"/>
    </row>
    <row r="16594" spans="2:2" x14ac:dyDescent="0.25">
      <c r="B16594" s="11"/>
    </row>
    <row r="16595" spans="2:2" x14ac:dyDescent="0.25">
      <c r="B16595" s="11"/>
    </row>
    <row r="16596" spans="2:2" x14ac:dyDescent="0.25">
      <c r="B16596" s="11"/>
    </row>
    <row r="16597" spans="2:2" x14ac:dyDescent="0.25">
      <c r="B16597" s="11"/>
    </row>
    <row r="16598" spans="2:2" x14ac:dyDescent="0.25">
      <c r="B16598" s="11"/>
    </row>
    <row r="16599" spans="2:2" x14ac:dyDescent="0.25">
      <c r="B16599" s="11"/>
    </row>
    <row r="16600" spans="2:2" x14ac:dyDescent="0.25">
      <c r="B16600" s="11"/>
    </row>
    <row r="16601" spans="2:2" x14ac:dyDescent="0.25">
      <c r="B16601" s="11"/>
    </row>
    <row r="16602" spans="2:2" x14ac:dyDescent="0.25">
      <c r="B16602" s="11"/>
    </row>
    <row r="16603" spans="2:2" x14ac:dyDescent="0.25">
      <c r="B16603" s="11"/>
    </row>
    <row r="16604" spans="2:2" x14ac:dyDescent="0.25">
      <c r="B16604" s="11"/>
    </row>
    <row r="16605" spans="2:2" x14ac:dyDescent="0.25">
      <c r="B16605" s="11"/>
    </row>
    <row r="16606" spans="2:2" x14ac:dyDescent="0.25">
      <c r="B16606" s="11"/>
    </row>
    <row r="16607" spans="2:2" x14ac:dyDescent="0.25">
      <c r="B16607" s="11"/>
    </row>
    <row r="16608" spans="2:2" x14ac:dyDescent="0.25">
      <c r="B16608" s="11"/>
    </row>
    <row r="16609" spans="2:2" x14ac:dyDescent="0.25">
      <c r="B16609" s="11"/>
    </row>
    <row r="16610" spans="2:2" x14ac:dyDescent="0.25">
      <c r="B16610" s="11"/>
    </row>
    <row r="16611" spans="2:2" x14ac:dyDescent="0.25">
      <c r="B16611" s="11"/>
    </row>
    <row r="16612" spans="2:2" x14ac:dyDescent="0.25">
      <c r="B16612" s="11"/>
    </row>
    <row r="16613" spans="2:2" x14ac:dyDescent="0.25">
      <c r="B16613" s="11"/>
    </row>
    <row r="16614" spans="2:2" x14ac:dyDescent="0.25">
      <c r="B16614" s="11"/>
    </row>
    <row r="16615" spans="2:2" x14ac:dyDescent="0.25">
      <c r="B16615" s="11"/>
    </row>
    <row r="16616" spans="2:2" x14ac:dyDescent="0.25">
      <c r="B16616" s="11"/>
    </row>
    <row r="16617" spans="2:2" x14ac:dyDescent="0.25">
      <c r="B16617" s="11"/>
    </row>
    <row r="16618" spans="2:2" x14ac:dyDescent="0.25">
      <c r="B16618" s="11"/>
    </row>
    <row r="16619" spans="2:2" x14ac:dyDescent="0.25">
      <c r="B16619" s="11"/>
    </row>
    <row r="16620" spans="2:2" x14ac:dyDescent="0.25">
      <c r="B16620" s="11"/>
    </row>
    <row r="16621" spans="2:2" x14ac:dyDescent="0.25">
      <c r="B16621" s="11"/>
    </row>
    <row r="16622" spans="2:2" x14ac:dyDescent="0.25">
      <c r="B16622" s="11"/>
    </row>
    <row r="16623" spans="2:2" x14ac:dyDescent="0.25">
      <c r="B16623" s="11"/>
    </row>
    <row r="16624" spans="2:2" x14ac:dyDescent="0.25">
      <c r="B16624" s="11"/>
    </row>
    <row r="16625" spans="2:2" x14ac:dyDescent="0.25">
      <c r="B16625" s="11"/>
    </row>
    <row r="16626" spans="2:2" x14ac:dyDescent="0.25">
      <c r="B16626" s="11"/>
    </row>
    <row r="16627" spans="2:2" x14ac:dyDescent="0.25">
      <c r="B16627" s="11"/>
    </row>
    <row r="16628" spans="2:2" x14ac:dyDescent="0.25">
      <c r="B16628" s="11"/>
    </row>
    <row r="16629" spans="2:2" x14ac:dyDescent="0.25">
      <c r="B16629" s="11"/>
    </row>
    <row r="16630" spans="2:2" x14ac:dyDescent="0.25">
      <c r="B16630" s="11"/>
    </row>
    <row r="16631" spans="2:2" x14ac:dyDescent="0.25">
      <c r="B16631" s="11"/>
    </row>
    <row r="16632" spans="2:2" x14ac:dyDescent="0.25">
      <c r="B16632" s="11"/>
    </row>
    <row r="16633" spans="2:2" x14ac:dyDescent="0.25">
      <c r="B16633" s="11"/>
    </row>
    <row r="16634" spans="2:2" x14ac:dyDescent="0.25">
      <c r="B16634" s="11"/>
    </row>
    <row r="16635" spans="2:2" x14ac:dyDescent="0.25">
      <c r="B16635" s="11"/>
    </row>
    <row r="16636" spans="2:2" x14ac:dyDescent="0.25">
      <c r="B16636" s="11"/>
    </row>
    <row r="16637" spans="2:2" x14ac:dyDescent="0.25">
      <c r="B16637" s="11"/>
    </row>
    <row r="16638" spans="2:2" x14ac:dyDescent="0.25">
      <c r="B16638" s="11"/>
    </row>
    <row r="16639" spans="2:2" x14ac:dyDescent="0.25">
      <c r="B16639" s="11"/>
    </row>
    <row r="16640" spans="2:2" x14ac:dyDescent="0.25">
      <c r="B16640" s="11"/>
    </row>
    <row r="16641" spans="2:2" x14ac:dyDescent="0.25">
      <c r="B16641" s="11"/>
    </row>
    <row r="16642" spans="2:2" x14ac:dyDescent="0.25">
      <c r="B16642" s="11"/>
    </row>
    <row r="16643" spans="2:2" x14ac:dyDescent="0.25">
      <c r="B16643" s="11"/>
    </row>
    <row r="16644" spans="2:2" x14ac:dyDescent="0.25">
      <c r="B16644" s="11"/>
    </row>
    <row r="16645" spans="2:2" x14ac:dyDescent="0.25">
      <c r="B16645" s="11"/>
    </row>
    <row r="16646" spans="2:2" x14ac:dyDescent="0.25">
      <c r="B16646" s="11"/>
    </row>
    <row r="16647" spans="2:2" x14ac:dyDescent="0.25">
      <c r="B16647" s="11"/>
    </row>
    <row r="16648" spans="2:2" x14ac:dyDescent="0.25">
      <c r="B16648" s="11"/>
    </row>
    <row r="16649" spans="2:2" x14ac:dyDescent="0.25">
      <c r="B16649" s="11"/>
    </row>
    <row r="16650" spans="2:2" x14ac:dyDescent="0.25">
      <c r="B16650" s="11"/>
    </row>
    <row r="16651" spans="2:2" x14ac:dyDescent="0.25">
      <c r="B16651" s="11"/>
    </row>
    <row r="16652" spans="2:2" x14ac:dyDescent="0.25">
      <c r="B16652" s="11"/>
    </row>
    <row r="16653" spans="2:2" x14ac:dyDescent="0.25">
      <c r="B16653" s="11"/>
    </row>
    <row r="16654" spans="2:2" x14ac:dyDescent="0.25">
      <c r="B16654" s="11"/>
    </row>
    <row r="16655" spans="2:2" x14ac:dyDescent="0.25">
      <c r="B16655" s="11"/>
    </row>
    <row r="16656" spans="2:2" x14ac:dyDescent="0.25">
      <c r="B16656" s="11"/>
    </row>
    <row r="16657" spans="2:2" x14ac:dyDescent="0.25">
      <c r="B16657" s="11"/>
    </row>
    <row r="16658" spans="2:2" x14ac:dyDescent="0.25">
      <c r="B16658" s="11"/>
    </row>
    <row r="16659" spans="2:2" x14ac:dyDescent="0.25">
      <c r="B16659" s="11"/>
    </row>
    <row r="16660" spans="2:2" x14ac:dyDescent="0.25">
      <c r="B16660" s="11"/>
    </row>
    <row r="16661" spans="2:2" x14ac:dyDescent="0.25">
      <c r="B16661" s="11"/>
    </row>
    <row r="16662" spans="2:2" x14ac:dyDescent="0.25">
      <c r="B16662" s="11"/>
    </row>
    <row r="16663" spans="2:2" x14ac:dyDescent="0.25">
      <c r="B16663" s="11"/>
    </row>
    <row r="16664" spans="2:2" x14ac:dyDescent="0.25">
      <c r="B16664" s="11"/>
    </row>
    <row r="16665" spans="2:2" x14ac:dyDescent="0.25">
      <c r="B16665" s="11"/>
    </row>
    <row r="16666" spans="2:2" x14ac:dyDescent="0.25">
      <c r="B16666" s="11"/>
    </row>
    <row r="16667" spans="2:2" x14ac:dyDescent="0.25">
      <c r="B16667" s="11"/>
    </row>
    <row r="16668" spans="2:2" x14ac:dyDescent="0.25">
      <c r="B16668" s="11"/>
    </row>
    <row r="16669" spans="2:2" x14ac:dyDescent="0.25">
      <c r="B16669" s="11"/>
    </row>
    <row r="16670" spans="2:2" x14ac:dyDescent="0.25">
      <c r="B16670" s="11"/>
    </row>
    <row r="16671" spans="2:2" x14ac:dyDescent="0.25">
      <c r="B16671" s="11"/>
    </row>
    <row r="16672" spans="2:2" x14ac:dyDescent="0.25">
      <c r="B16672" s="11"/>
    </row>
    <row r="16673" spans="2:2" x14ac:dyDescent="0.25">
      <c r="B16673" s="11"/>
    </row>
    <row r="16674" spans="2:2" x14ac:dyDescent="0.25">
      <c r="B16674" s="11"/>
    </row>
    <row r="16675" spans="2:2" x14ac:dyDescent="0.25">
      <c r="B16675" s="11"/>
    </row>
    <row r="16676" spans="2:2" x14ac:dyDescent="0.25">
      <c r="B16676" s="11"/>
    </row>
    <row r="16677" spans="2:2" x14ac:dyDescent="0.25">
      <c r="B16677" s="11"/>
    </row>
    <row r="16678" spans="2:2" x14ac:dyDescent="0.25">
      <c r="B16678" s="11"/>
    </row>
    <row r="16679" spans="2:2" x14ac:dyDescent="0.25">
      <c r="B16679" s="11"/>
    </row>
    <row r="16680" spans="2:2" x14ac:dyDescent="0.25">
      <c r="B16680" s="11"/>
    </row>
    <row r="16681" spans="2:2" x14ac:dyDescent="0.25">
      <c r="B16681" s="11"/>
    </row>
    <row r="16682" spans="2:2" x14ac:dyDescent="0.25">
      <c r="B16682" s="11"/>
    </row>
    <row r="16683" spans="2:2" x14ac:dyDescent="0.25">
      <c r="B16683" s="11"/>
    </row>
    <row r="16684" spans="2:2" x14ac:dyDescent="0.25">
      <c r="B16684" s="11"/>
    </row>
    <row r="16685" spans="2:2" x14ac:dyDescent="0.25">
      <c r="B16685" s="11"/>
    </row>
    <row r="16686" spans="2:2" x14ac:dyDescent="0.25">
      <c r="B16686" s="11"/>
    </row>
    <row r="16687" spans="2:2" x14ac:dyDescent="0.25">
      <c r="B16687" s="11"/>
    </row>
    <row r="16688" spans="2:2" x14ac:dyDescent="0.25">
      <c r="B16688" s="11"/>
    </row>
    <row r="16689" spans="2:2" x14ac:dyDescent="0.25">
      <c r="B16689" s="11"/>
    </row>
    <row r="16690" spans="2:2" x14ac:dyDescent="0.25">
      <c r="B16690" s="11"/>
    </row>
    <row r="16691" spans="2:2" x14ac:dyDescent="0.25">
      <c r="B16691" s="11"/>
    </row>
    <row r="16692" spans="2:2" x14ac:dyDescent="0.25">
      <c r="B16692" s="11"/>
    </row>
    <row r="16693" spans="2:2" x14ac:dyDescent="0.25">
      <c r="B16693" s="11"/>
    </row>
    <row r="16694" spans="2:2" x14ac:dyDescent="0.25">
      <c r="B16694" s="11"/>
    </row>
    <row r="16695" spans="2:2" x14ac:dyDescent="0.25">
      <c r="B16695" s="11"/>
    </row>
    <row r="16696" spans="2:2" x14ac:dyDescent="0.25">
      <c r="B16696" s="11"/>
    </row>
    <row r="16697" spans="2:2" x14ac:dyDescent="0.25">
      <c r="B16697" s="11"/>
    </row>
    <row r="16698" spans="2:2" x14ac:dyDescent="0.25">
      <c r="B16698" s="11"/>
    </row>
    <row r="16699" spans="2:2" x14ac:dyDescent="0.25">
      <c r="B16699" s="11"/>
    </row>
    <row r="16700" spans="2:2" x14ac:dyDescent="0.25">
      <c r="B16700" s="11"/>
    </row>
    <row r="16701" spans="2:2" x14ac:dyDescent="0.25">
      <c r="B16701" s="11"/>
    </row>
    <row r="16702" spans="2:2" x14ac:dyDescent="0.25">
      <c r="B16702" s="11"/>
    </row>
    <row r="16703" spans="2:2" x14ac:dyDescent="0.25">
      <c r="B16703" s="11"/>
    </row>
    <row r="16704" spans="2:2" x14ac:dyDescent="0.25">
      <c r="B16704" s="11"/>
    </row>
    <row r="16705" spans="2:2" x14ac:dyDescent="0.25">
      <c r="B16705" s="11"/>
    </row>
    <row r="16706" spans="2:2" x14ac:dyDescent="0.25">
      <c r="B16706" s="11"/>
    </row>
    <row r="16707" spans="2:2" x14ac:dyDescent="0.25">
      <c r="B16707" s="11"/>
    </row>
    <row r="16708" spans="2:2" x14ac:dyDescent="0.25">
      <c r="B16708" s="11"/>
    </row>
    <row r="16709" spans="2:2" x14ac:dyDescent="0.25">
      <c r="B16709" s="11"/>
    </row>
    <row r="16710" spans="2:2" x14ac:dyDescent="0.25">
      <c r="B16710" s="11"/>
    </row>
    <row r="16711" spans="2:2" x14ac:dyDescent="0.25">
      <c r="B16711" s="11"/>
    </row>
    <row r="16712" spans="2:2" x14ac:dyDescent="0.25">
      <c r="B16712" s="11"/>
    </row>
    <row r="16713" spans="2:2" x14ac:dyDescent="0.25">
      <c r="B16713" s="11"/>
    </row>
    <row r="16714" spans="2:2" x14ac:dyDescent="0.25">
      <c r="B16714" s="11"/>
    </row>
    <row r="16715" spans="2:2" x14ac:dyDescent="0.25">
      <c r="B16715" s="11"/>
    </row>
    <row r="16716" spans="2:2" x14ac:dyDescent="0.25">
      <c r="B16716" s="11"/>
    </row>
    <row r="16717" spans="2:2" x14ac:dyDescent="0.25">
      <c r="B16717" s="11"/>
    </row>
    <row r="16718" spans="2:2" x14ac:dyDescent="0.25">
      <c r="B16718" s="11"/>
    </row>
    <row r="16719" spans="2:2" x14ac:dyDescent="0.25">
      <c r="B16719" s="11"/>
    </row>
    <row r="16720" spans="2:2" x14ac:dyDescent="0.25">
      <c r="B16720" s="11"/>
    </row>
    <row r="16721" spans="2:2" x14ac:dyDescent="0.25">
      <c r="B16721" s="11"/>
    </row>
    <row r="16722" spans="2:2" x14ac:dyDescent="0.25">
      <c r="B16722" s="11"/>
    </row>
    <row r="16723" spans="2:2" x14ac:dyDescent="0.25">
      <c r="B16723" s="11"/>
    </row>
    <row r="16724" spans="2:2" x14ac:dyDescent="0.25">
      <c r="B16724" s="11"/>
    </row>
    <row r="16725" spans="2:2" x14ac:dyDescent="0.25">
      <c r="B16725" s="11"/>
    </row>
    <row r="16726" spans="2:2" x14ac:dyDescent="0.25">
      <c r="B16726" s="11"/>
    </row>
    <row r="16727" spans="2:2" x14ac:dyDescent="0.25">
      <c r="B16727" s="11"/>
    </row>
    <row r="16728" spans="2:2" x14ac:dyDescent="0.25">
      <c r="B16728" s="11"/>
    </row>
    <row r="16729" spans="2:2" x14ac:dyDescent="0.25">
      <c r="B16729" s="11"/>
    </row>
    <row r="16730" spans="2:2" x14ac:dyDescent="0.25">
      <c r="B16730" s="11"/>
    </row>
    <row r="16731" spans="2:2" x14ac:dyDescent="0.25">
      <c r="B16731" s="11"/>
    </row>
    <row r="16732" spans="2:2" x14ac:dyDescent="0.25">
      <c r="B16732" s="11"/>
    </row>
    <row r="16733" spans="2:2" x14ac:dyDescent="0.25">
      <c r="B16733" s="11"/>
    </row>
    <row r="16734" spans="2:2" x14ac:dyDescent="0.25">
      <c r="B16734" s="11"/>
    </row>
    <row r="16735" spans="2:2" x14ac:dyDescent="0.25">
      <c r="B16735" s="11"/>
    </row>
    <row r="16736" spans="2:2" x14ac:dyDescent="0.25">
      <c r="B16736" s="11"/>
    </row>
    <row r="16737" spans="2:2" x14ac:dyDescent="0.25">
      <c r="B16737" s="11"/>
    </row>
    <row r="16738" spans="2:2" x14ac:dyDescent="0.25">
      <c r="B16738" s="11"/>
    </row>
    <row r="16739" spans="2:2" x14ac:dyDescent="0.25">
      <c r="B16739" s="11"/>
    </row>
    <row r="16740" spans="2:2" x14ac:dyDescent="0.25">
      <c r="B16740" s="11"/>
    </row>
    <row r="16741" spans="2:2" x14ac:dyDescent="0.25">
      <c r="B16741" s="11"/>
    </row>
    <row r="16742" spans="2:2" x14ac:dyDescent="0.25">
      <c r="B16742" s="11"/>
    </row>
    <row r="16743" spans="2:2" x14ac:dyDescent="0.25">
      <c r="B16743" s="11"/>
    </row>
    <row r="16744" spans="2:2" x14ac:dyDescent="0.25">
      <c r="B16744" s="11"/>
    </row>
    <row r="16745" spans="2:2" x14ac:dyDescent="0.25">
      <c r="B16745" s="11"/>
    </row>
    <row r="16746" spans="2:2" x14ac:dyDescent="0.25">
      <c r="B16746" s="11"/>
    </row>
    <row r="16747" spans="2:2" x14ac:dyDescent="0.25">
      <c r="B16747" s="11"/>
    </row>
    <row r="16748" spans="2:2" x14ac:dyDescent="0.25">
      <c r="B16748" s="11"/>
    </row>
    <row r="16749" spans="2:2" x14ac:dyDescent="0.25">
      <c r="B16749" s="11"/>
    </row>
    <row r="16750" spans="2:2" x14ac:dyDescent="0.25">
      <c r="B16750" s="11"/>
    </row>
    <row r="16751" spans="2:2" x14ac:dyDescent="0.25">
      <c r="B16751" s="11"/>
    </row>
    <row r="16752" spans="2:2" x14ac:dyDescent="0.25">
      <c r="B16752" s="11"/>
    </row>
    <row r="16753" spans="2:2" x14ac:dyDescent="0.25">
      <c r="B16753" s="11"/>
    </row>
    <row r="16754" spans="2:2" x14ac:dyDescent="0.25">
      <c r="B16754" s="11"/>
    </row>
    <row r="16755" spans="2:2" x14ac:dyDescent="0.25">
      <c r="B16755" s="11"/>
    </row>
    <row r="16756" spans="2:2" x14ac:dyDescent="0.25">
      <c r="B16756" s="11"/>
    </row>
    <row r="16757" spans="2:2" x14ac:dyDescent="0.25">
      <c r="B16757" s="11"/>
    </row>
    <row r="16758" spans="2:2" x14ac:dyDescent="0.25">
      <c r="B16758" s="11"/>
    </row>
    <row r="16759" spans="2:2" x14ac:dyDescent="0.25">
      <c r="B16759" s="11"/>
    </row>
    <row r="16760" spans="2:2" x14ac:dyDescent="0.25">
      <c r="B16760" s="11"/>
    </row>
    <row r="16761" spans="2:2" x14ac:dyDescent="0.25">
      <c r="B16761" s="11"/>
    </row>
    <row r="16762" spans="2:2" x14ac:dyDescent="0.25">
      <c r="B16762" s="11"/>
    </row>
    <row r="16763" spans="2:2" x14ac:dyDescent="0.25">
      <c r="B16763" s="11"/>
    </row>
    <row r="16764" spans="2:2" x14ac:dyDescent="0.25">
      <c r="B16764" s="11"/>
    </row>
    <row r="16765" spans="2:2" x14ac:dyDescent="0.25">
      <c r="B16765" s="11"/>
    </row>
    <row r="16766" spans="2:2" x14ac:dyDescent="0.25">
      <c r="B16766" s="11"/>
    </row>
    <row r="16767" spans="2:2" x14ac:dyDescent="0.25">
      <c r="B16767" s="11"/>
    </row>
    <row r="16768" spans="2:2" x14ac:dyDescent="0.25">
      <c r="B16768" s="11"/>
    </row>
    <row r="16769" spans="2:2" x14ac:dyDescent="0.25">
      <c r="B16769" s="11"/>
    </row>
    <row r="16770" spans="2:2" x14ac:dyDescent="0.25">
      <c r="B16770" s="11"/>
    </row>
    <row r="16771" spans="2:2" x14ac:dyDescent="0.25">
      <c r="B16771" s="11"/>
    </row>
    <row r="16772" spans="2:2" x14ac:dyDescent="0.25">
      <c r="B16772" s="11"/>
    </row>
    <row r="16773" spans="2:2" x14ac:dyDescent="0.25">
      <c r="B16773" s="11"/>
    </row>
    <row r="16774" spans="2:2" x14ac:dyDescent="0.25">
      <c r="B16774" s="11"/>
    </row>
    <row r="16775" spans="2:2" x14ac:dyDescent="0.25">
      <c r="B16775" s="11"/>
    </row>
    <row r="16776" spans="2:2" x14ac:dyDescent="0.25">
      <c r="B16776" s="11"/>
    </row>
    <row r="16777" spans="2:2" x14ac:dyDescent="0.25">
      <c r="B16777" s="11"/>
    </row>
    <row r="16778" spans="2:2" x14ac:dyDescent="0.25">
      <c r="B16778" s="11"/>
    </row>
    <row r="16779" spans="2:2" x14ac:dyDescent="0.25">
      <c r="B16779" s="11"/>
    </row>
    <row r="16780" spans="2:2" x14ac:dyDescent="0.25">
      <c r="B16780" s="11"/>
    </row>
    <row r="16781" spans="2:2" x14ac:dyDescent="0.25">
      <c r="B16781" s="11"/>
    </row>
    <row r="16782" spans="2:2" x14ac:dyDescent="0.25">
      <c r="B16782" s="11"/>
    </row>
    <row r="16783" spans="2:2" x14ac:dyDescent="0.25">
      <c r="B16783" s="11"/>
    </row>
    <row r="16784" spans="2:2" x14ac:dyDescent="0.25">
      <c r="B16784" s="11"/>
    </row>
    <row r="16785" spans="2:2" x14ac:dyDescent="0.25">
      <c r="B16785" s="11"/>
    </row>
    <row r="16786" spans="2:2" x14ac:dyDescent="0.25">
      <c r="B16786" s="11"/>
    </row>
    <row r="16787" spans="2:2" x14ac:dyDescent="0.25">
      <c r="B16787" s="11"/>
    </row>
    <row r="16788" spans="2:2" x14ac:dyDescent="0.25">
      <c r="B16788" s="11"/>
    </row>
    <row r="16789" spans="2:2" x14ac:dyDescent="0.25">
      <c r="B16789" s="11"/>
    </row>
    <row r="16790" spans="2:2" x14ac:dyDescent="0.25">
      <c r="B16790" s="11"/>
    </row>
    <row r="16791" spans="2:2" x14ac:dyDescent="0.25">
      <c r="B16791" s="11"/>
    </row>
    <row r="16792" spans="2:2" x14ac:dyDescent="0.25">
      <c r="B16792" s="11"/>
    </row>
    <row r="16793" spans="2:2" x14ac:dyDescent="0.25">
      <c r="B16793" s="11"/>
    </row>
    <row r="16794" spans="2:2" x14ac:dyDescent="0.25">
      <c r="B16794" s="11"/>
    </row>
    <row r="16795" spans="2:2" x14ac:dyDescent="0.25">
      <c r="B16795" s="11"/>
    </row>
    <row r="16796" spans="2:2" x14ac:dyDescent="0.25">
      <c r="B16796" s="11"/>
    </row>
    <row r="16797" spans="2:2" x14ac:dyDescent="0.25">
      <c r="B16797" s="11"/>
    </row>
    <row r="16798" spans="2:2" x14ac:dyDescent="0.25">
      <c r="B16798" s="11"/>
    </row>
    <row r="16799" spans="2:2" x14ac:dyDescent="0.25">
      <c r="B16799" s="11"/>
    </row>
    <row r="16800" spans="2:2" x14ac:dyDescent="0.25">
      <c r="B16800" s="11"/>
    </row>
    <row r="16801" spans="2:2" x14ac:dyDescent="0.25">
      <c r="B16801" s="11"/>
    </row>
    <row r="16802" spans="2:2" x14ac:dyDescent="0.25">
      <c r="B16802" s="11"/>
    </row>
    <row r="16803" spans="2:2" x14ac:dyDescent="0.25">
      <c r="B16803" s="11"/>
    </row>
    <row r="16804" spans="2:2" x14ac:dyDescent="0.25">
      <c r="B16804" s="11"/>
    </row>
    <row r="16805" spans="2:2" x14ac:dyDescent="0.25">
      <c r="B16805" s="11"/>
    </row>
    <row r="16806" spans="2:2" x14ac:dyDescent="0.25">
      <c r="B16806" s="11"/>
    </row>
    <row r="16807" spans="2:2" x14ac:dyDescent="0.25">
      <c r="B16807" s="11"/>
    </row>
    <row r="16808" spans="2:2" x14ac:dyDescent="0.25">
      <c r="B16808" s="11"/>
    </row>
    <row r="16809" spans="2:2" x14ac:dyDescent="0.25">
      <c r="B16809" s="11"/>
    </row>
    <row r="16810" spans="2:2" x14ac:dyDescent="0.25">
      <c r="B16810" s="11"/>
    </row>
    <row r="16811" spans="2:2" x14ac:dyDescent="0.25">
      <c r="B16811" s="11"/>
    </row>
    <row r="16812" spans="2:2" x14ac:dyDescent="0.25">
      <c r="B16812" s="11"/>
    </row>
    <row r="16813" spans="2:2" x14ac:dyDescent="0.25">
      <c r="B16813" s="11"/>
    </row>
    <row r="16814" spans="2:2" x14ac:dyDescent="0.25">
      <c r="B16814" s="11"/>
    </row>
    <row r="16815" spans="2:2" x14ac:dyDescent="0.25">
      <c r="B16815" s="11"/>
    </row>
    <row r="16816" spans="2:2" x14ac:dyDescent="0.25">
      <c r="B16816" s="11"/>
    </row>
    <row r="16817" spans="2:2" x14ac:dyDescent="0.25">
      <c r="B16817" s="11"/>
    </row>
    <row r="16818" spans="2:2" x14ac:dyDescent="0.25">
      <c r="B16818" s="11"/>
    </row>
    <row r="16819" spans="2:2" x14ac:dyDescent="0.25">
      <c r="B16819" s="11"/>
    </row>
    <row r="16820" spans="2:2" x14ac:dyDescent="0.25">
      <c r="B16820" s="11"/>
    </row>
    <row r="16821" spans="2:2" x14ac:dyDescent="0.25">
      <c r="B16821" s="11"/>
    </row>
    <row r="16822" spans="2:2" x14ac:dyDescent="0.25">
      <c r="B16822" s="11"/>
    </row>
    <row r="16823" spans="2:2" x14ac:dyDescent="0.25">
      <c r="B16823" s="11"/>
    </row>
    <row r="16824" spans="2:2" x14ac:dyDescent="0.25">
      <c r="B16824" s="11"/>
    </row>
    <row r="16825" spans="2:2" x14ac:dyDescent="0.25">
      <c r="B16825" s="11"/>
    </row>
    <row r="16826" spans="2:2" x14ac:dyDescent="0.25">
      <c r="B16826" s="11"/>
    </row>
    <row r="16827" spans="2:2" x14ac:dyDescent="0.25">
      <c r="B16827" s="11"/>
    </row>
    <row r="16828" spans="2:2" x14ac:dyDescent="0.25">
      <c r="B16828" s="11"/>
    </row>
    <row r="16829" spans="2:2" x14ac:dyDescent="0.25">
      <c r="B16829" s="11"/>
    </row>
    <row r="16830" spans="2:2" x14ac:dyDescent="0.25">
      <c r="B16830" s="11"/>
    </row>
    <row r="16831" spans="2:2" x14ac:dyDescent="0.25">
      <c r="B16831" s="11"/>
    </row>
    <row r="16832" spans="2:2" x14ac:dyDescent="0.25">
      <c r="B16832" s="11"/>
    </row>
    <row r="16833" spans="2:2" x14ac:dyDescent="0.25">
      <c r="B16833" s="11"/>
    </row>
    <row r="16834" spans="2:2" x14ac:dyDescent="0.25">
      <c r="B16834" s="11"/>
    </row>
    <row r="16835" spans="2:2" x14ac:dyDescent="0.25">
      <c r="B16835" s="11"/>
    </row>
    <row r="16836" spans="2:2" x14ac:dyDescent="0.25">
      <c r="B16836" s="11"/>
    </row>
    <row r="16837" spans="2:2" x14ac:dyDescent="0.25">
      <c r="B16837" s="11"/>
    </row>
    <row r="16838" spans="2:2" x14ac:dyDescent="0.25">
      <c r="B16838" s="11"/>
    </row>
    <row r="16839" spans="2:2" x14ac:dyDescent="0.25">
      <c r="B16839" s="11"/>
    </row>
    <row r="16840" spans="2:2" x14ac:dyDescent="0.25">
      <c r="B16840" s="11"/>
    </row>
    <row r="16841" spans="2:2" x14ac:dyDescent="0.25">
      <c r="B16841" s="11"/>
    </row>
    <row r="16842" spans="2:2" x14ac:dyDescent="0.25">
      <c r="B16842" s="11"/>
    </row>
    <row r="16843" spans="2:2" x14ac:dyDescent="0.25">
      <c r="B16843" s="11"/>
    </row>
    <row r="16844" spans="2:2" x14ac:dyDescent="0.25">
      <c r="B16844" s="11"/>
    </row>
    <row r="16845" spans="2:2" x14ac:dyDescent="0.25">
      <c r="B16845" s="11"/>
    </row>
    <row r="16846" spans="2:2" x14ac:dyDescent="0.25">
      <c r="B16846" s="11"/>
    </row>
    <row r="16847" spans="2:2" x14ac:dyDescent="0.25">
      <c r="B16847" s="11"/>
    </row>
    <row r="16848" spans="2:2" x14ac:dyDescent="0.25">
      <c r="B16848" s="11"/>
    </row>
    <row r="16849" spans="2:2" x14ac:dyDescent="0.25">
      <c r="B16849" s="11"/>
    </row>
    <row r="16850" spans="2:2" x14ac:dyDescent="0.25">
      <c r="B16850" s="11"/>
    </row>
    <row r="16851" spans="2:2" x14ac:dyDescent="0.25">
      <c r="B16851" s="11"/>
    </row>
    <row r="16852" spans="2:2" x14ac:dyDescent="0.25">
      <c r="B16852" s="11"/>
    </row>
    <row r="16853" spans="2:2" x14ac:dyDescent="0.25">
      <c r="B16853" s="11"/>
    </row>
    <row r="16854" spans="2:2" x14ac:dyDescent="0.25">
      <c r="B16854" s="11"/>
    </row>
    <row r="16855" spans="2:2" x14ac:dyDescent="0.25">
      <c r="B16855" s="11"/>
    </row>
    <row r="16856" spans="2:2" x14ac:dyDescent="0.25">
      <c r="B16856" s="11"/>
    </row>
    <row r="16857" spans="2:2" x14ac:dyDescent="0.25">
      <c r="B16857" s="11"/>
    </row>
    <row r="16858" spans="2:2" x14ac:dyDescent="0.25">
      <c r="B16858" s="11"/>
    </row>
    <row r="16859" spans="2:2" x14ac:dyDescent="0.25">
      <c r="B16859" s="11"/>
    </row>
    <row r="16860" spans="2:2" x14ac:dyDescent="0.25">
      <c r="B16860" s="11"/>
    </row>
    <row r="16861" spans="2:2" x14ac:dyDescent="0.25">
      <c r="B16861" s="11"/>
    </row>
    <row r="16862" spans="2:2" x14ac:dyDescent="0.25">
      <c r="B16862" s="11"/>
    </row>
    <row r="16863" spans="2:2" x14ac:dyDescent="0.25">
      <c r="B16863" s="11"/>
    </row>
    <row r="16864" spans="2:2" x14ac:dyDescent="0.25">
      <c r="B16864" s="11"/>
    </row>
    <row r="16865" spans="2:2" x14ac:dyDescent="0.25">
      <c r="B16865" s="11"/>
    </row>
    <row r="16866" spans="2:2" x14ac:dyDescent="0.25">
      <c r="B16866" s="11"/>
    </row>
    <row r="16867" spans="2:2" x14ac:dyDescent="0.25">
      <c r="B16867" s="11"/>
    </row>
    <row r="16868" spans="2:2" x14ac:dyDescent="0.25">
      <c r="B16868" s="11"/>
    </row>
    <row r="16869" spans="2:2" x14ac:dyDescent="0.25">
      <c r="B16869" s="11"/>
    </row>
    <row r="16870" spans="2:2" x14ac:dyDescent="0.25">
      <c r="B16870" s="11"/>
    </row>
    <row r="16871" spans="2:2" x14ac:dyDescent="0.25">
      <c r="B16871" s="11"/>
    </row>
    <row r="16872" spans="2:2" x14ac:dyDescent="0.25">
      <c r="B16872" s="11"/>
    </row>
    <row r="16873" spans="2:2" x14ac:dyDescent="0.25">
      <c r="B16873" s="11"/>
    </row>
    <row r="16874" spans="2:2" x14ac:dyDescent="0.25">
      <c r="B16874" s="11"/>
    </row>
    <row r="16875" spans="2:2" x14ac:dyDescent="0.25">
      <c r="B16875" s="11"/>
    </row>
    <row r="16876" spans="2:2" x14ac:dyDescent="0.25">
      <c r="B16876" s="11"/>
    </row>
    <row r="16877" spans="2:2" x14ac:dyDescent="0.25">
      <c r="B16877" s="11"/>
    </row>
    <row r="16878" spans="2:2" x14ac:dyDescent="0.25">
      <c r="B16878" s="11"/>
    </row>
    <row r="16879" spans="2:2" x14ac:dyDescent="0.25">
      <c r="B16879" s="11"/>
    </row>
    <row r="16880" spans="2:2" x14ac:dyDescent="0.25">
      <c r="B16880" s="11"/>
    </row>
    <row r="16881" spans="2:2" x14ac:dyDescent="0.25">
      <c r="B16881" s="11"/>
    </row>
    <row r="16882" spans="2:2" x14ac:dyDescent="0.25">
      <c r="B16882" s="11"/>
    </row>
    <row r="16883" spans="2:2" x14ac:dyDescent="0.25">
      <c r="B16883" s="11"/>
    </row>
    <row r="16884" spans="2:2" x14ac:dyDescent="0.25">
      <c r="B16884" s="11"/>
    </row>
    <row r="16885" spans="2:2" x14ac:dyDescent="0.25">
      <c r="B16885" s="11"/>
    </row>
    <row r="16886" spans="2:2" x14ac:dyDescent="0.25">
      <c r="B16886" s="11"/>
    </row>
    <row r="16887" spans="2:2" x14ac:dyDescent="0.25">
      <c r="B16887" s="11"/>
    </row>
    <row r="16888" spans="2:2" x14ac:dyDescent="0.25">
      <c r="B16888" s="11"/>
    </row>
    <row r="16889" spans="2:2" x14ac:dyDescent="0.25">
      <c r="B16889" s="11"/>
    </row>
    <row r="16890" spans="2:2" x14ac:dyDescent="0.25">
      <c r="B16890" s="11"/>
    </row>
    <row r="16891" spans="2:2" x14ac:dyDescent="0.25">
      <c r="B16891" s="11"/>
    </row>
    <row r="16892" spans="2:2" x14ac:dyDescent="0.25">
      <c r="B16892" s="11"/>
    </row>
    <row r="16893" spans="2:2" x14ac:dyDescent="0.25">
      <c r="B16893" s="11"/>
    </row>
    <row r="16894" spans="2:2" x14ac:dyDescent="0.25">
      <c r="B16894" s="11"/>
    </row>
    <row r="16895" spans="2:2" x14ac:dyDescent="0.25">
      <c r="B16895" s="11"/>
    </row>
    <row r="16896" spans="2:2" x14ac:dyDescent="0.25">
      <c r="B16896" s="11"/>
    </row>
    <row r="16897" spans="2:2" x14ac:dyDescent="0.25">
      <c r="B16897" s="11"/>
    </row>
    <row r="16898" spans="2:2" x14ac:dyDescent="0.25">
      <c r="B16898" s="11"/>
    </row>
    <row r="16899" spans="2:2" x14ac:dyDescent="0.25">
      <c r="B16899" s="11"/>
    </row>
    <row r="16900" spans="2:2" x14ac:dyDescent="0.25">
      <c r="B16900" s="11"/>
    </row>
    <row r="16901" spans="2:2" x14ac:dyDescent="0.25">
      <c r="B16901" s="11"/>
    </row>
    <row r="16902" spans="2:2" x14ac:dyDescent="0.25">
      <c r="B16902" s="11"/>
    </row>
    <row r="16903" spans="2:2" x14ac:dyDescent="0.25">
      <c r="B16903" s="11"/>
    </row>
    <row r="16904" spans="2:2" x14ac:dyDescent="0.25">
      <c r="B16904" s="11"/>
    </row>
    <row r="16905" spans="2:2" x14ac:dyDescent="0.25">
      <c r="B16905" s="11"/>
    </row>
    <row r="16906" spans="2:2" x14ac:dyDescent="0.25">
      <c r="B16906" s="11"/>
    </row>
    <row r="16907" spans="2:2" x14ac:dyDescent="0.25">
      <c r="B16907" s="11"/>
    </row>
    <row r="16908" spans="2:2" x14ac:dyDescent="0.25">
      <c r="B16908" s="11"/>
    </row>
    <row r="16909" spans="2:2" x14ac:dyDescent="0.25">
      <c r="B16909" s="11"/>
    </row>
    <row r="16910" spans="2:2" x14ac:dyDescent="0.25">
      <c r="B16910" s="11"/>
    </row>
    <row r="16911" spans="2:2" x14ac:dyDescent="0.25">
      <c r="B16911" s="11"/>
    </row>
    <row r="16912" spans="2:2" x14ac:dyDescent="0.25">
      <c r="B16912" s="11"/>
    </row>
    <row r="16913" spans="2:2" x14ac:dyDescent="0.25">
      <c r="B16913" s="11"/>
    </row>
    <row r="16914" spans="2:2" x14ac:dyDescent="0.25">
      <c r="B16914" s="11"/>
    </row>
    <row r="16915" spans="2:2" x14ac:dyDescent="0.25">
      <c r="B16915" s="11"/>
    </row>
    <row r="16916" spans="2:2" x14ac:dyDescent="0.25">
      <c r="B16916" s="11"/>
    </row>
    <row r="16917" spans="2:2" x14ac:dyDescent="0.25">
      <c r="B16917" s="11"/>
    </row>
    <row r="16918" spans="2:2" x14ac:dyDescent="0.25">
      <c r="B16918" s="11"/>
    </row>
    <row r="16919" spans="2:2" x14ac:dyDescent="0.25">
      <c r="B16919" s="11"/>
    </row>
    <row r="16920" spans="2:2" x14ac:dyDescent="0.25">
      <c r="B16920" s="11"/>
    </row>
    <row r="16921" spans="2:2" x14ac:dyDescent="0.25">
      <c r="B16921" s="11"/>
    </row>
    <row r="16922" spans="2:2" x14ac:dyDescent="0.25">
      <c r="B16922" s="11"/>
    </row>
    <row r="16923" spans="2:2" x14ac:dyDescent="0.25">
      <c r="B16923" s="11"/>
    </row>
    <row r="16924" spans="2:2" x14ac:dyDescent="0.25">
      <c r="B16924" s="11"/>
    </row>
    <row r="16925" spans="2:2" x14ac:dyDescent="0.25">
      <c r="B16925" s="11"/>
    </row>
    <row r="16926" spans="2:2" x14ac:dyDescent="0.25">
      <c r="B16926" s="11"/>
    </row>
    <row r="16927" spans="2:2" x14ac:dyDescent="0.25">
      <c r="B16927" s="11"/>
    </row>
    <row r="16928" spans="2:2" x14ac:dyDescent="0.25">
      <c r="B16928" s="11"/>
    </row>
    <row r="16929" spans="2:2" x14ac:dyDescent="0.25">
      <c r="B16929" s="11"/>
    </row>
    <row r="16930" spans="2:2" x14ac:dyDescent="0.25">
      <c r="B16930" s="11"/>
    </row>
    <row r="16931" spans="2:2" x14ac:dyDescent="0.25">
      <c r="B16931" s="11"/>
    </row>
    <row r="16932" spans="2:2" x14ac:dyDescent="0.25">
      <c r="B16932" s="11"/>
    </row>
    <row r="16933" spans="2:2" x14ac:dyDescent="0.25">
      <c r="B16933" s="11"/>
    </row>
    <row r="16934" spans="2:2" x14ac:dyDescent="0.25">
      <c r="B16934" s="11"/>
    </row>
    <row r="16935" spans="2:2" x14ac:dyDescent="0.25">
      <c r="B16935" s="11"/>
    </row>
    <row r="16936" spans="2:2" x14ac:dyDescent="0.25">
      <c r="B16936" s="11"/>
    </row>
    <row r="16937" spans="2:2" x14ac:dyDescent="0.25">
      <c r="B16937" s="11"/>
    </row>
    <row r="16938" spans="2:2" x14ac:dyDescent="0.25">
      <c r="B16938" s="11"/>
    </row>
    <row r="16939" spans="2:2" x14ac:dyDescent="0.25">
      <c r="B16939" s="11"/>
    </row>
    <row r="16940" spans="2:2" x14ac:dyDescent="0.25">
      <c r="B16940" s="11"/>
    </row>
    <row r="16941" spans="2:2" x14ac:dyDescent="0.25">
      <c r="B16941" s="11"/>
    </row>
    <row r="16942" spans="2:2" x14ac:dyDescent="0.25">
      <c r="B16942" s="11"/>
    </row>
    <row r="16943" spans="2:2" x14ac:dyDescent="0.25">
      <c r="B16943" s="11"/>
    </row>
    <row r="16944" spans="2:2" x14ac:dyDescent="0.25">
      <c r="B16944" s="11"/>
    </row>
    <row r="16945" spans="2:2" x14ac:dyDescent="0.25">
      <c r="B16945" s="11"/>
    </row>
    <row r="16946" spans="2:2" x14ac:dyDescent="0.25">
      <c r="B16946" s="11"/>
    </row>
    <row r="16947" spans="2:2" x14ac:dyDescent="0.25">
      <c r="B16947" s="11"/>
    </row>
    <row r="16948" spans="2:2" x14ac:dyDescent="0.25">
      <c r="B16948" s="11"/>
    </row>
    <row r="16949" spans="2:2" x14ac:dyDescent="0.25">
      <c r="B16949" s="11"/>
    </row>
    <row r="16950" spans="2:2" x14ac:dyDescent="0.25">
      <c r="B16950" s="11"/>
    </row>
    <row r="16951" spans="2:2" x14ac:dyDescent="0.25">
      <c r="B16951" s="11"/>
    </row>
    <row r="16952" spans="2:2" x14ac:dyDescent="0.25">
      <c r="B16952" s="11"/>
    </row>
    <row r="16953" spans="2:2" x14ac:dyDescent="0.25">
      <c r="B16953" s="11"/>
    </row>
    <row r="16954" spans="2:2" x14ac:dyDescent="0.25">
      <c r="B16954" s="11"/>
    </row>
    <row r="16955" spans="2:2" x14ac:dyDescent="0.25">
      <c r="B16955" s="11"/>
    </row>
    <row r="16956" spans="2:2" x14ac:dyDescent="0.25">
      <c r="B16956" s="11"/>
    </row>
    <row r="16957" spans="2:2" x14ac:dyDescent="0.25">
      <c r="B16957" s="11"/>
    </row>
    <row r="16958" spans="2:2" x14ac:dyDescent="0.25">
      <c r="B16958" s="11"/>
    </row>
    <row r="16959" spans="2:2" x14ac:dyDescent="0.25">
      <c r="B16959" s="11"/>
    </row>
    <row r="16960" spans="2:2" x14ac:dyDescent="0.25">
      <c r="B16960" s="11"/>
    </row>
    <row r="16961" spans="2:2" x14ac:dyDescent="0.25">
      <c r="B16961" s="11"/>
    </row>
    <row r="16962" spans="2:2" x14ac:dyDescent="0.25">
      <c r="B16962" s="11"/>
    </row>
    <row r="16963" spans="2:2" x14ac:dyDescent="0.25">
      <c r="B16963" s="11"/>
    </row>
    <row r="16964" spans="2:2" x14ac:dyDescent="0.25">
      <c r="B16964" s="11"/>
    </row>
    <row r="16965" spans="2:2" x14ac:dyDescent="0.25">
      <c r="B16965" s="11"/>
    </row>
    <row r="16966" spans="2:2" x14ac:dyDescent="0.25">
      <c r="B16966" s="11"/>
    </row>
    <row r="16967" spans="2:2" x14ac:dyDescent="0.25">
      <c r="B16967" s="11"/>
    </row>
    <row r="16968" spans="2:2" x14ac:dyDescent="0.25">
      <c r="B16968" s="11"/>
    </row>
    <row r="16969" spans="2:2" x14ac:dyDescent="0.25">
      <c r="B16969" s="11"/>
    </row>
    <row r="16970" spans="2:2" x14ac:dyDescent="0.25">
      <c r="B16970" s="11"/>
    </row>
    <row r="16971" spans="2:2" x14ac:dyDescent="0.25">
      <c r="B16971" s="11"/>
    </row>
    <row r="16972" spans="2:2" x14ac:dyDescent="0.25">
      <c r="B16972" s="11"/>
    </row>
    <row r="16973" spans="2:2" x14ac:dyDescent="0.25">
      <c r="B16973" s="11"/>
    </row>
    <row r="16974" spans="2:2" x14ac:dyDescent="0.25">
      <c r="B16974" s="11"/>
    </row>
    <row r="16975" spans="2:2" x14ac:dyDescent="0.25">
      <c r="B16975" s="11"/>
    </row>
    <row r="16976" spans="2:2" x14ac:dyDescent="0.25">
      <c r="B16976" s="11"/>
    </row>
    <row r="16977" spans="2:2" x14ac:dyDescent="0.25">
      <c r="B16977" s="11"/>
    </row>
    <row r="16978" spans="2:2" x14ac:dyDescent="0.25">
      <c r="B16978" s="11"/>
    </row>
    <row r="16979" spans="2:2" x14ac:dyDescent="0.25">
      <c r="B16979" s="11"/>
    </row>
    <row r="16980" spans="2:2" x14ac:dyDescent="0.25">
      <c r="B16980" s="11"/>
    </row>
    <row r="16981" spans="2:2" x14ac:dyDescent="0.25">
      <c r="B16981" s="11"/>
    </row>
    <row r="16982" spans="2:2" x14ac:dyDescent="0.25">
      <c r="B16982" s="11"/>
    </row>
    <row r="16983" spans="2:2" x14ac:dyDescent="0.25">
      <c r="B16983" s="11"/>
    </row>
    <row r="16984" spans="2:2" x14ac:dyDescent="0.25">
      <c r="B16984" s="11"/>
    </row>
    <row r="16985" spans="2:2" x14ac:dyDescent="0.25">
      <c r="B16985" s="11"/>
    </row>
    <row r="16986" spans="2:2" x14ac:dyDescent="0.25">
      <c r="B16986" s="11"/>
    </row>
    <row r="16987" spans="2:2" x14ac:dyDescent="0.25">
      <c r="B16987" s="11"/>
    </row>
    <row r="16988" spans="2:2" x14ac:dyDescent="0.25">
      <c r="B16988" s="11"/>
    </row>
    <row r="16989" spans="2:2" x14ac:dyDescent="0.25">
      <c r="B16989" s="11"/>
    </row>
    <row r="16990" spans="2:2" x14ac:dyDescent="0.25">
      <c r="B16990" s="11"/>
    </row>
    <row r="16991" spans="2:2" x14ac:dyDescent="0.25">
      <c r="B16991" s="11"/>
    </row>
    <row r="16992" spans="2:2" x14ac:dyDescent="0.25">
      <c r="B16992" s="11"/>
    </row>
    <row r="16993" spans="2:2" x14ac:dyDescent="0.25">
      <c r="B16993" s="11"/>
    </row>
    <row r="16994" spans="2:2" x14ac:dyDescent="0.25">
      <c r="B16994" s="11"/>
    </row>
    <row r="16995" spans="2:2" x14ac:dyDescent="0.25">
      <c r="B16995" s="11"/>
    </row>
    <row r="16996" spans="2:2" x14ac:dyDescent="0.25">
      <c r="B16996" s="11"/>
    </row>
    <row r="16997" spans="2:2" x14ac:dyDescent="0.25">
      <c r="B16997" s="11"/>
    </row>
    <row r="16998" spans="2:2" x14ac:dyDescent="0.25">
      <c r="B16998" s="11"/>
    </row>
    <row r="16999" spans="2:2" x14ac:dyDescent="0.25">
      <c r="B16999" s="11"/>
    </row>
    <row r="17000" spans="2:2" x14ac:dyDescent="0.25">
      <c r="B17000" s="11"/>
    </row>
    <row r="17001" spans="2:2" x14ac:dyDescent="0.25">
      <c r="B17001" s="11"/>
    </row>
    <row r="17002" spans="2:2" x14ac:dyDescent="0.25">
      <c r="B17002" s="11"/>
    </row>
    <row r="17003" spans="2:2" x14ac:dyDescent="0.25">
      <c r="B17003" s="11"/>
    </row>
    <row r="17004" spans="2:2" x14ac:dyDescent="0.25">
      <c r="B17004" s="11"/>
    </row>
    <row r="17005" spans="2:2" x14ac:dyDescent="0.25">
      <c r="B17005" s="11"/>
    </row>
    <row r="17006" spans="2:2" x14ac:dyDescent="0.25">
      <c r="B17006" s="11"/>
    </row>
    <row r="17007" spans="2:2" x14ac:dyDescent="0.25">
      <c r="B17007" s="11"/>
    </row>
    <row r="17008" spans="2:2" x14ac:dyDescent="0.25">
      <c r="B17008" s="11"/>
    </row>
    <row r="17009" spans="2:2" x14ac:dyDescent="0.25">
      <c r="B17009" s="11"/>
    </row>
    <row r="17010" spans="2:2" x14ac:dyDescent="0.25">
      <c r="B17010" s="11"/>
    </row>
    <row r="17011" spans="2:2" x14ac:dyDescent="0.25">
      <c r="B17011" s="11"/>
    </row>
    <row r="17012" spans="2:2" x14ac:dyDescent="0.25">
      <c r="B17012" s="11"/>
    </row>
    <row r="17013" spans="2:2" x14ac:dyDescent="0.25">
      <c r="B17013" s="11"/>
    </row>
    <row r="17014" spans="2:2" x14ac:dyDescent="0.25">
      <c r="B17014" s="11"/>
    </row>
    <row r="17015" spans="2:2" x14ac:dyDescent="0.25">
      <c r="B17015" s="11"/>
    </row>
    <row r="17016" spans="2:2" x14ac:dyDescent="0.25">
      <c r="B17016" s="11"/>
    </row>
    <row r="17017" spans="2:2" x14ac:dyDescent="0.25">
      <c r="B17017" s="11"/>
    </row>
    <row r="17018" spans="2:2" x14ac:dyDescent="0.25">
      <c r="B17018" s="11"/>
    </row>
    <row r="17019" spans="2:2" x14ac:dyDescent="0.25">
      <c r="B17019" s="11"/>
    </row>
    <row r="17020" spans="2:2" x14ac:dyDescent="0.25">
      <c r="B17020" s="11"/>
    </row>
    <row r="17021" spans="2:2" x14ac:dyDescent="0.25">
      <c r="B17021" s="11"/>
    </row>
    <row r="17022" spans="2:2" x14ac:dyDescent="0.25">
      <c r="B17022" s="11"/>
    </row>
    <row r="17023" spans="2:2" x14ac:dyDescent="0.25">
      <c r="B17023" s="11"/>
    </row>
    <row r="17024" spans="2:2" x14ac:dyDescent="0.25">
      <c r="B17024" s="11"/>
    </row>
    <row r="17025" spans="2:2" x14ac:dyDescent="0.25">
      <c r="B17025" s="11"/>
    </row>
    <row r="17026" spans="2:2" x14ac:dyDescent="0.25">
      <c r="B17026" s="11"/>
    </row>
    <row r="17027" spans="2:2" x14ac:dyDescent="0.25">
      <c r="B17027" s="11"/>
    </row>
    <row r="17028" spans="2:2" x14ac:dyDescent="0.25">
      <c r="B17028" s="11"/>
    </row>
    <row r="17029" spans="2:2" x14ac:dyDescent="0.25">
      <c r="B17029" s="11"/>
    </row>
    <row r="17030" spans="2:2" x14ac:dyDescent="0.25">
      <c r="B17030" s="11"/>
    </row>
    <row r="17031" spans="2:2" x14ac:dyDescent="0.25">
      <c r="B17031" s="11"/>
    </row>
    <row r="17032" spans="2:2" x14ac:dyDescent="0.25">
      <c r="B17032" s="11"/>
    </row>
    <row r="17033" spans="2:2" x14ac:dyDescent="0.25">
      <c r="B17033" s="11"/>
    </row>
    <row r="17034" spans="2:2" x14ac:dyDescent="0.25">
      <c r="B17034" s="11"/>
    </row>
    <row r="17035" spans="2:2" x14ac:dyDescent="0.25">
      <c r="B17035" s="11"/>
    </row>
    <row r="17036" spans="2:2" x14ac:dyDescent="0.25">
      <c r="B17036" s="11"/>
    </row>
    <row r="17037" spans="2:2" x14ac:dyDescent="0.25">
      <c r="B17037" s="11"/>
    </row>
    <row r="17038" spans="2:2" x14ac:dyDescent="0.25">
      <c r="B17038" s="11"/>
    </row>
    <row r="17039" spans="2:2" x14ac:dyDescent="0.25">
      <c r="B17039" s="11"/>
    </row>
    <row r="17040" spans="2:2" x14ac:dyDescent="0.25">
      <c r="B17040" s="11"/>
    </row>
    <row r="17041" spans="2:2" x14ac:dyDescent="0.25">
      <c r="B17041" s="11"/>
    </row>
    <row r="17042" spans="2:2" x14ac:dyDescent="0.25">
      <c r="B17042" s="11"/>
    </row>
    <row r="17043" spans="2:2" x14ac:dyDescent="0.25">
      <c r="B17043" s="11"/>
    </row>
    <row r="17044" spans="2:2" x14ac:dyDescent="0.25">
      <c r="B17044" s="11"/>
    </row>
    <row r="17045" spans="2:2" x14ac:dyDescent="0.25">
      <c r="B17045" s="11"/>
    </row>
    <row r="17046" spans="2:2" x14ac:dyDescent="0.25">
      <c r="B17046" s="11"/>
    </row>
    <row r="17047" spans="2:2" x14ac:dyDescent="0.25">
      <c r="B17047" s="11"/>
    </row>
    <row r="17048" spans="2:2" x14ac:dyDescent="0.25">
      <c r="B17048" s="11"/>
    </row>
    <row r="17049" spans="2:2" x14ac:dyDescent="0.25">
      <c r="B17049" s="11"/>
    </row>
    <row r="17050" spans="2:2" x14ac:dyDescent="0.25">
      <c r="B17050" s="11"/>
    </row>
    <row r="17051" spans="2:2" x14ac:dyDescent="0.25">
      <c r="B17051" s="11"/>
    </row>
    <row r="17052" spans="2:2" x14ac:dyDescent="0.25">
      <c r="B17052" s="11"/>
    </row>
    <row r="17053" spans="2:2" x14ac:dyDescent="0.25">
      <c r="B17053" s="11"/>
    </row>
    <row r="17054" spans="2:2" x14ac:dyDescent="0.25">
      <c r="B17054" s="11"/>
    </row>
    <row r="17055" spans="2:2" x14ac:dyDescent="0.25">
      <c r="B17055" s="11"/>
    </row>
    <row r="17056" spans="2:2" x14ac:dyDescent="0.25">
      <c r="B17056" s="11"/>
    </row>
    <row r="17057" spans="2:2" x14ac:dyDescent="0.25">
      <c r="B17057" s="11"/>
    </row>
    <row r="17058" spans="2:2" x14ac:dyDescent="0.25">
      <c r="B17058" s="11"/>
    </row>
    <row r="17059" spans="2:2" x14ac:dyDescent="0.25">
      <c r="B17059" s="11"/>
    </row>
    <row r="17060" spans="2:2" x14ac:dyDescent="0.25">
      <c r="B17060" s="11"/>
    </row>
    <row r="17061" spans="2:2" x14ac:dyDescent="0.25">
      <c r="B17061" s="11"/>
    </row>
    <row r="17062" spans="2:2" x14ac:dyDescent="0.25">
      <c r="B17062" s="11"/>
    </row>
    <row r="17063" spans="2:2" x14ac:dyDescent="0.25">
      <c r="B17063" s="11"/>
    </row>
    <row r="17064" spans="2:2" x14ac:dyDescent="0.25">
      <c r="B17064" s="11"/>
    </row>
    <row r="17065" spans="2:2" x14ac:dyDescent="0.25">
      <c r="B17065" s="11"/>
    </row>
    <row r="17066" spans="2:2" x14ac:dyDescent="0.25">
      <c r="B17066" s="11"/>
    </row>
    <row r="17067" spans="2:2" x14ac:dyDescent="0.25">
      <c r="B17067" s="11"/>
    </row>
    <row r="17068" spans="2:2" x14ac:dyDescent="0.25">
      <c r="B17068" s="11"/>
    </row>
    <row r="17069" spans="2:2" x14ac:dyDescent="0.25">
      <c r="B17069" s="11"/>
    </row>
    <row r="17070" spans="2:2" x14ac:dyDescent="0.25">
      <c r="B17070" s="11"/>
    </row>
    <row r="17071" spans="2:2" x14ac:dyDescent="0.25">
      <c r="B17071" s="11"/>
    </row>
    <row r="17072" spans="2:2" x14ac:dyDescent="0.25">
      <c r="B17072" s="11"/>
    </row>
    <row r="17073" spans="2:2" x14ac:dyDescent="0.25">
      <c r="B17073" s="11"/>
    </row>
    <row r="17074" spans="2:2" x14ac:dyDescent="0.25">
      <c r="B17074" s="11"/>
    </row>
    <row r="17075" spans="2:2" x14ac:dyDescent="0.25">
      <c r="B17075" s="11"/>
    </row>
    <row r="17076" spans="2:2" x14ac:dyDescent="0.25">
      <c r="B17076" s="11"/>
    </row>
    <row r="17077" spans="2:2" x14ac:dyDescent="0.25">
      <c r="B17077" s="11"/>
    </row>
    <row r="17078" spans="2:2" x14ac:dyDescent="0.25">
      <c r="B17078" s="11"/>
    </row>
    <row r="17079" spans="2:2" x14ac:dyDescent="0.25">
      <c r="B17079" s="11"/>
    </row>
    <row r="17080" spans="2:2" x14ac:dyDescent="0.25">
      <c r="B17080" s="11"/>
    </row>
    <row r="17081" spans="2:2" x14ac:dyDescent="0.25">
      <c r="B17081" s="11"/>
    </row>
    <row r="17082" spans="2:2" x14ac:dyDescent="0.25">
      <c r="B17082" s="11"/>
    </row>
    <row r="17083" spans="2:2" x14ac:dyDescent="0.25">
      <c r="B17083" s="11"/>
    </row>
    <row r="17084" spans="2:2" x14ac:dyDescent="0.25">
      <c r="B17084" s="11"/>
    </row>
    <row r="17085" spans="2:2" x14ac:dyDescent="0.25">
      <c r="B17085" s="11"/>
    </row>
    <row r="17086" spans="2:2" x14ac:dyDescent="0.25">
      <c r="B17086" s="11"/>
    </row>
    <row r="17087" spans="2:2" x14ac:dyDescent="0.25">
      <c r="B17087" s="11"/>
    </row>
    <row r="17088" spans="2:2" x14ac:dyDescent="0.25">
      <c r="B17088" s="11"/>
    </row>
    <row r="17089" spans="2:2" x14ac:dyDescent="0.25">
      <c r="B17089" s="11"/>
    </row>
    <row r="17090" spans="2:2" x14ac:dyDescent="0.25">
      <c r="B17090" s="11"/>
    </row>
    <row r="17091" spans="2:2" x14ac:dyDescent="0.25">
      <c r="B17091" s="11"/>
    </row>
    <row r="17092" spans="2:2" x14ac:dyDescent="0.25">
      <c r="B17092" s="11"/>
    </row>
    <row r="17093" spans="2:2" x14ac:dyDescent="0.25">
      <c r="B17093" s="11"/>
    </row>
    <row r="17094" spans="2:2" x14ac:dyDescent="0.25">
      <c r="B17094" s="11"/>
    </row>
    <row r="17095" spans="2:2" x14ac:dyDescent="0.25">
      <c r="B17095" s="11"/>
    </row>
    <row r="17096" spans="2:2" x14ac:dyDescent="0.25">
      <c r="B17096" s="11"/>
    </row>
    <row r="17097" spans="2:2" x14ac:dyDescent="0.25">
      <c r="B17097" s="11"/>
    </row>
    <row r="17098" spans="2:2" x14ac:dyDescent="0.25">
      <c r="B17098" s="11"/>
    </row>
    <row r="17099" spans="2:2" x14ac:dyDescent="0.25">
      <c r="B17099" s="11"/>
    </row>
    <row r="17100" spans="2:2" x14ac:dyDescent="0.25">
      <c r="B17100" s="11"/>
    </row>
    <row r="17101" spans="2:2" x14ac:dyDescent="0.25">
      <c r="B17101" s="11"/>
    </row>
    <row r="17102" spans="2:2" x14ac:dyDescent="0.25">
      <c r="B17102" s="11"/>
    </row>
    <row r="17103" spans="2:2" x14ac:dyDescent="0.25">
      <c r="B17103" s="11"/>
    </row>
    <row r="17104" spans="2:2" x14ac:dyDescent="0.25">
      <c r="B17104" s="11"/>
    </row>
    <row r="17105" spans="2:2" x14ac:dyDescent="0.25">
      <c r="B17105" s="11"/>
    </row>
    <row r="17106" spans="2:2" x14ac:dyDescent="0.25">
      <c r="B17106" s="11"/>
    </row>
    <row r="17107" spans="2:2" x14ac:dyDescent="0.25">
      <c r="B17107" s="11"/>
    </row>
    <row r="17108" spans="2:2" x14ac:dyDescent="0.25">
      <c r="B17108" s="11"/>
    </row>
    <row r="17109" spans="2:2" x14ac:dyDescent="0.25">
      <c r="B17109" s="11"/>
    </row>
    <row r="17110" spans="2:2" x14ac:dyDescent="0.25">
      <c r="B17110" s="11"/>
    </row>
    <row r="17111" spans="2:2" x14ac:dyDescent="0.25">
      <c r="B17111" s="11"/>
    </row>
    <row r="17112" spans="2:2" x14ac:dyDescent="0.25">
      <c r="B17112" s="11"/>
    </row>
    <row r="17113" spans="2:2" x14ac:dyDescent="0.25">
      <c r="B17113" s="11"/>
    </row>
    <row r="17114" spans="2:2" x14ac:dyDescent="0.25">
      <c r="B17114" s="11"/>
    </row>
    <row r="17115" spans="2:2" x14ac:dyDescent="0.25">
      <c r="B17115" s="11"/>
    </row>
    <row r="17116" spans="2:2" x14ac:dyDescent="0.25">
      <c r="B17116" s="11"/>
    </row>
    <row r="17117" spans="2:2" x14ac:dyDescent="0.25">
      <c r="B17117" s="11"/>
    </row>
    <row r="17118" spans="2:2" x14ac:dyDescent="0.25">
      <c r="B17118" s="11"/>
    </row>
    <row r="17119" spans="2:2" x14ac:dyDescent="0.25">
      <c r="B17119" s="11"/>
    </row>
    <row r="17120" spans="2:2" x14ac:dyDescent="0.25">
      <c r="B17120" s="11"/>
    </row>
    <row r="17121" spans="2:2" x14ac:dyDescent="0.25">
      <c r="B17121" s="11"/>
    </row>
    <row r="17122" spans="2:2" x14ac:dyDescent="0.25">
      <c r="B17122" s="11"/>
    </row>
    <row r="17123" spans="2:2" x14ac:dyDescent="0.25">
      <c r="B17123" s="11"/>
    </row>
    <row r="17124" spans="2:2" x14ac:dyDescent="0.25">
      <c r="B17124" s="11"/>
    </row>
    <row r="17125" spans="2:2" x14ac:dyDescent="0.25">
      <c r="B17125" s="11"/>
    </row>
    <row r="17126" spans="2:2" x14ac:dyDescent="0.25">
      <c r="B17126" s="11"/>
    </row>
    <row r="17127" spans="2:2" x14ac:dyDescent="0.25">
      <c r="B17127" s="11"/>
    </row>
    <row r="17128" spans="2:2" x14ac:dyDescent="0.25">
      <c r="B17128" s="11"/>
    </row>
    <row r="17129" spans="2:2" x14ac:dyDescent="0.25">
      <c r="B17129" s="11"/>
    </row>
    <row r="17130" spans="2:2" x14ac:dyDescent="0.25">
      <c r="B17130" s="11"/>
    </row>
    <row r="17131" spans="2:2" x14ac:dyDescent="0.25">
      <c r="B17131" s="11"/>
    </row>
    <row r="17132" spans="2:2" x14ac:dyDescent="0.25">
      <c r="B17132" s="11"/>
    </row>
    <row r="17133" spans="2:2" x14ac:dyDescent="0.25">
      <c r="B17133" s="11"/>
    </row>
    <row r="17134" spans="2:2" x14ac:dyDescent="0.25">
      <c r="B17134" s="11"/>
    </row>
    <row r="17135" spans="2:2" x14ac:dyDescent="0.25">
      <c r="B17135" s="11"/>
    </row>
    <row r="17136" spans="2:2" x14ac:dyDescent="0.25">
      <c r="B17136" s="11"/>
    </row>
    <row r="17137" spans="2:2" x14ac:dyDescent="0.25">
      <c r="B17137" s="11"/>
    </row>
    <row r="17138" spans="2:2" x14ac:dyDescent="0.25">
      <c r="B17138" s="11"/>
    </row>
    <row r="17139" spans="2:2" x14ac:dyDescent="0.25">
      <c r="B17139" s="11"/>
    </row>
    <row r="17140" spans="2:2" x14ac:dyDescent="0.25">
      <c r="B17140" s="11"/>
    </row>
    <row r="17141" spans="2:2" x14ac:dyDescent="0.25">
      <c r="B17141" s="11"/>
    </row>
    <row r="17142" spans="2:2" x14ac:dyDescent="0.25">
      <c r="B17142" s="11"/>
    </row>
    <row r="17143" spans="2:2" x14ac:dyDescent="0.25">
      <c r="B17143" s="11"/>
    </row>
    <row r="17144" spans="2:2" x14ac:dyDescent="0.25">
      <c r="B17144" s="11"/>
    </row>
    <row r="17145" spans="2:2" x14ac:dyDescent="0.25">
      <c r="B17145" s="11"/>
    </row>
    <row r="17146" spans="2:2" x14ac:dyDescent="0.25">
      <c r="B17146" s="11"/>
    </row>
    <row r="17147" spans="2:2" x14ac:dyDescent="0.25">
      <c r="B17147" s="11"/>
    </row>
    <row r="17148" spans="2:2" x14ac:dyDescent="0.25">
      <c r="B17148" s="11"/>
    </row>
    <row r="17149" spans="2:2" x14ac:dyDescent="0.25">
      <c r="B17149" s="11"/>
    </row>
    <row r="17150" spans="2:2" x14ac:dyDescent="0.25">
      <c r="B17150" s="11"/>
    </row>
    <row r="17151" spans="2:2" x14ac:dyDescent="0.25">
      <c r="B17151" s="11"/>
    </row>
    <row r="17152" spans="2:2" x14ac:dyDescent="0.25">
      <c r="B17152" s="11"/>
    </row>
    <row r="17153" spans="2:2" x14ac:dyDescent="0.25">
      <c r="B17153" s="11"/>
    </row>
    <row r="17154" spans="2:2" x14ac:dyDescent="0.25">
      <c r="B17154" s="11"/>
    </row>
    <row r="17155" spans="2:2" x14ac:dyDescent="0.25">
      <c r="B17155" s="11"/>
    </row>
    <row r="17156" spans="2:2" x14ac:dyDescent="0.25">
      <c r="B17156" s="11"/>
    </row>
    <row r="17157" spans="2:2" x14ac:dyDescent="0.25">
      <c r="B17157" s="11"/>
    </row>
    <row r="17158" spans="2:2" x14ac:dyDescent="0.25">
      <c r="B17158" s="11"/>
    </row>
    <row r="17159" spans="2:2" x14ac:dyDescent="0.25">
      <c r="B17159" s="11"/>
    </row>
    <row r="17160" spans="2:2" x14ac:dyDescent="0.25">
      <c r="B17160" s="11"/>
    </row>
    <row r="17161" spans="2:2" x14ac:dyDescent="0.25">
      <c r="B17161" s="11"/>
    </row>
    <row r="17162" spans="2:2" x14ac:dyDescent="0.25">
      <c r="B17162" s="11"/>
    </row>
    <row r="17163" spans="2:2" x14ac:dyDescent="0.25">
      <c r="B17163" s="11"/>
    </row>
    <row r="17164" spans="2:2" x14ac:dyDescent="0.25">
      <c r="B17164" s="11"/>
    </row>
    <row r="17165" spans="2:2" x14ac:dyDescent="0.25">
      <c r="B17165" s="11"/>
    </row>
    <row r="17166" spans="2:2" x14ac:dyDescent="0.25">
      <c r="B17166" s="11"/>
    </row>
    <row r="17167" spans="2:2" x14ac:dyDescent="0.25">
      <c r="B17167" s="11"/>
    </row>
    <row r="17168" spans="2:2" x14ac:dyDescent="0.25">
      <c r="B17168" s="11"/>
    </row>
    <row r="17169" spans="2:2" x14ac:dyDescent="0.25">
      <c r="B17169" s="11"/>
    </row>
    <row r="17170" spans="2:2" x14ac:dyDescent="0.25">
      <c r="B17170" s="11"/>
    </row>
    <row r="17171" spans="2:2" x14ac:dyDescent="0.25">
      <c r="B17171" s="11"/>
    </row>
    <row r="17172" spans="2:2" x14ac:dyDescent="0.25">
      <c r="B17172" s="11"/>
    </row>
    <row r="17173" spans="2:2" x14ac:dyDescent="0.25">
      <c r="B17173" s="11"/>
    </row>
    <row r="17174" spans="2:2" x14ac:dyDescent="0.25">
      <c r="B17174" s="11"/>
    </row>
    <row r="17175" spans="2:2" x14ac:dyDescent="0.25">
      <c r="B17175" s="11"/>
    </row>
    <row r="17176" spans="2:2" x14ac:dyDescent="0.25">
      <c r="B17176" s="11"/>
    </row>
    <row r="17177" spans="2:2" x14ac:dyDescent="0.25">
      <c r="B17177" s="11"/>
    </row>
    <row r="17178" spans="2:2" x14ac:dyDescent="0.25">
      <c r="B17178" s="11"/>
    </row>
    <row r="17179" spans="2:2" x14ac:dyDescent="0.25">
      <c r="B17179" s="11"/>
    </row>
    <row r="17180" spans="2:2" x14ac:dyDescent="0.25">
      <c r="B17180" s="11"/>
    </row>
    <row r="17181" spans="2:2" x14ac:dyDescent="0.25">
      <c r="B17181" s="11"/>
    </row>
    <row r="17182" spans="2:2" x14ac:dyDescent="0.25">
      <c r="B17182" s="11"/>
    </row>
    <row r="17183" spans="2:2" x14ac:dyDescent="0.25">
      <c r="B17183" s="11"/>
    </row>
    <row r="17184" spans="2:2" x14ac:dyDescent="0.25">
      <c r="B17184" s="11"/>
    </row>
    <row r="17185" spans="2:2" x14ac:dyDescent="0.25">
      <c r="B17185" s="11"/>
    </row>
    <row r="17186" spans="2:2" x14ac:dyDescent="0.25">
      <c r="B17186" s="11"/>
    </row>
    <row r="17187" spans="2:2" x14ac:dyDescent="0.25">
      <c r="B17187" s="11"/>
    </row>
    <row r="17188" spans="2:2" x14ac:dyDescent="0.25">
      <c r="B17188" s="11"/>
    </row>
    <row r="17189" spans="2:2" x14ac:dyDescent="0.25">
      <c r="B17189" s="11"/>
    </row>
    <row r="17190" spans="2:2" x14ac:dyDescent="0.25">
      <c r="B17190" s="11"/>
    </row>
    <row r="17191" spans="2:2" x14ac:dyDescent="0.25">
      <c r="B17191" s="11"/>
    </row>
    <row r="17192" spans="2:2" x14ac:dyDescent="0.25">
      <c r="B17192" s="11"/>
    </row>
    <row r="17193" spans="2:2" x14ac:dyDescent="0.25">
      <c r="B17193" s="11"/>
    </row>
    <row r="17194" spans="2:2" x14ac:dyDescent="0.25">
      <c r="B17194" s="11"/>
    </row>
    <row r="17195" spans="2:2" x14ac:dyDescent="0.25">
      <c r="B17195" s="11"/>
    </row>
    <row r="17196" spans="2:2" x14ac:dyDescent="0.25">
      <c r="B17196" s="11"/>
    </row>
    <row r="17197" spans="2:2" x14ac:dyDescent="0.25">
      <c r="B17197" s="11"/>
    </row>
    <row r="17198" spans="2:2" x14ac:dyDescent="0.25">
      <c r="B17198" s="11"/>
    </row>
    <row r="17199" spans="2:2" x14ac:dyDescent="0.25">
      <c r="B17199" s="11"/>
    </row>
    <row r="17200" spans="2:2" x14ac:dyDescent="0.25">
      <c r="B17200" s="11"/>
    </row>
    <row r="17201" spans="2:2" x14ac:dyDescent="0.25">
      <c r="B17201" s="11"/>
    </row>
    <row r="17202" spans="2:2" x14ac:dyDescent="0.25">
      <c r="B17202" s="11"/>
    </row>
    <row r="17203" spans="2:2" x14ac:dyDescent="0.25">
      <c r="B17203" s="11"/>
    </row>
    <row r="17204" spans="2:2" x14ac:dyDescent="0.25">
      <c r="B17204" s="11"/>
    </row>
    <row r="17205" spans="2:2" x14ac:dyDescent="0.25">
      <c r="B17205" s="11"/>
    </row>
    <row r="17206" spans="2:2" x14ac:dyDescent="0.25">
      <c r="B17206" s="11"/>
    </row>
    <row r="17207" spans="2:2" x14ac:dyDescent="0.25">
      <c r="B17207" s="11"/>
    </row>
    <row r="17208" spans="2:2" x14ac:dyDescent="0.25">
      <c r="B17208" s="11"/>
    </row>
    <row r="17209" spans="2:2" x14ac:dyDescent="0.25">
      <c r="B17209" s="11"/>
    </row>
    <row r="17210" spans="2:2" x14ac:dyDescent="0.25">
      <c r="B17210" s="11"/>
    </row>
    <row r="17211" spans="2:2" x14ac:dyDescent="0.25">
      <c r="B17211" s="11"/>
    </row>
    <row r="17212" spans="2:2" x14ac:dyDescent="0.25">
      <c r="B17212" s="11"/>
    </row>
    <row r="17213" spans="2:2" x14ac:dyDescent="0.25">
      <c r="B17213" s="11"/>
    </row>
    <row r="17214" spans="2:2" x14ac:dyDescent="0.25">
      <c r="B17214" s="11"/>
    </row>
    <row r="17215" spans="2:2" x14ac:dyDescent="0.25">
      <c r="B17215" s="11"/>
    </row>
    <row r="17216" spans="2:2" x14ac:dyDescent="0.25">
      <c r="B17216" s="11"/>
    </row>
    <row r="17217" spans="2:2" x14ac:dyDescent="0.25">
      <c r="B17217" s="11"/>
    </row>
    <row r="17218" spans="2:2" x14ac:dyDescent="0.25">
      <c r="B17218" s="11"/>
    </row>
    <row r="17219" spans="2:2" x14ac:dyDescent="0.25">
      <c r="B17219" s="11"/>
    </row>
    <row r="17220" spans="2:2" x14ac:dyDescent="0.25">
      <c r="B17220" s="11"/>
    </row>
    <row r="17221" spans="2:2" x14ac:dyDescent="0.25">
      <c r="B17221" s="11"/>
    </row>
    <row r="17222" spans="2:2" x14ac:dyDescent="0.25">
      <c r="B17222" s="11"/>
    </row>
    <row r="17223" spans="2:2" x14ac:dyDescent="0.25">
      <c r="B17223" s="11"/>
    </row>
    <row r="17224" spans="2:2" x14ac:dyDescent="0.25">
      <c r="B17224" s="11"/>
    </row>
    <row r="17225" spans="2:2" x14ac:dyDescent="0.25">
      <c r="B17225" s="11"/>
    </row>
    <row r="17226" spans="2:2" x14ac:dyDescent="0.25">
      <c r="B17226" s="11"/>
    </row>
    <row r="17227" spans="2:2" x14ac:dyDescent="0.25">
      <c r="B17227" s="11"/>
    </row>
    <row r="17228" spans="2:2" x14ac:dyDescent="0.25">
      <c r="B17228" s="11"/>
    </row>
    <row r="17229" spans="2:2" x14ac:dyDescent="0.25">
      <c r="B17229" s="11"/>
    </row>
    <row r="17230" spans="2:2" x14ac:dyDescent="0.25">
      <c r="B17230" s="11"/>
    </row>
    <row r="17231" spans="2:2" x14ac:dyDescent="0.25">
      <c r="B17231" s="11"/>
    </row>
    <row r="17232" spans="2:2" x14ac:dyDescent="0.25">
      <c r="B17232" s="11"/>
    </row>
    <row r="17233" spans="2:2" x14ac:dyDescent="0.25">
      <c r="B17233" s="11"/>
    </row>
    <row r="17234" spans="2:2" x14ac:dyDescent="0.25">
      <c r="B17234" s="11"/>
    </row>
    <row r="17235" spans="2:2" x14ac:dyDescent="0.25">
      <c r="B17235" s="11"/>
    </row>
    <row r="17236" spans="2:2" x14ac:dyDescent="0.25">
      <c r="B17236" s="11"/>
    </row>
    <row r="17237" spans="2:2" x14ac:dyDescent="0.25">
      <c r="B17237" s="11"/>
    </row>
    <row r="17238" spans="2:2" x14ac:dyDescent="0.25">
      <c r="B17238" s="11"/>
    </row>
    <row r="17239" spans="2:2" x14ac:dyDescent="0.25">
      <c r="B17239" s="11"/>
    </row>
    <row r="17240" spans="2:2" x14ac:dyDescent="0.25">
      <c r="B17240" s="11"/>
    </row>
    <row r="17241" spans="2:2" x14ac:dyDescent="0.25">
      <c r="B17241" s="11"/>
    </row>
    <row r="17242" spans="2:2" x14ac:dyDescent="0.25">
      <c r="B17242" s="11"/>
    </row>
    <row r="17243" spans="2:2" x14ac:dyDescent="0.25">
      <c r="B17243" s="11"/>
    </row>
    <row r="17244" spans="2:2" x14ac:dyDescent="0.25">
      <c r="B17244" s="11"/>
    </row>
    <row r="17245" spans="2:2" x14ac:dyDescent="0.25">
      <c r="B17245" s="11"/>
    </row>
    <row r="17246" spans="2:2" x14ac:dyDescent="0.25">
      <c r="B17246" s="11"/>
    </row>
    <row r="17247" spans="2:2" x14ac:dyDescent="0.25">
      <c r="B17247" s="11"/>
    </row>
    <row r="17248" spans="2:2" x14ac:dyDescent="0.25">
      <c r="B17248" s="11"/>
    </row>
    <row r="17249" spans="2:2" x14ac:dyDescent="0.25">
      <c r="B17249" s="11"/>
    </row>
    <row r="17250" spans="2:2" x14ac:dyDescent="0.25">
      <c r="B17250" s="11"/>
    </row>
    <row r="17251" spans="2:2" x14ac:dyDescent="0.25">
      <c r="B17251" s="11"/>
    </row>
    <row r="17252" spans="2:2" x14ac:dyDescent="0.25">
      <c r="B17252" s="11"/>
    </row>
    <row r="17253" spans="2:2" x14ac:dyDescent="0.25">
      <c r="B17253" s="11"/>
    </row>
    <row r="17254" spans="2:2" x14ac:dyDescent="0.25">
      <c r="B17254" s="11"/>
    </row>
    <row r="17255" spans="2:2" x14ac:dyDescent="0.25">
      <c r="B17255" s="11"/>
    </row>
    <row r="17256" spans="2:2" x14ac:dyDescent="0.25">
      <c r="B17256" s="11"/>
    </row>
    <row r="17257" spans="2:2" x14ac:dyDescent="0.25">
      <c r="B17257" s="11"/>
    </row>
    <row r="17258" spans="2:2" x14ac:dyDescent="0.25">
      <c r="B17258" s="11"/>
    </row>
    <row r="17259" spans="2:2" x14ac:dyDescent="0.25">
      <c r="B17259" s="11"/>
    </row>
    <row r="17260" spans="2:2" x14ac:dyDescent="0.25">
      <c r="B17260" s="11"/>
    </row>
    <row r="17261" spans="2:2" x14ac:dyDescent="0.25">
      <c r="B17261" s="11"/>
    </row>
    <row r="17262" spans="2:2" x14ac:dyDescent="0.25">
      <c r="B17262" s="11"/>
    </row>
    <row r="17263" spans="2:2" x14ac:dyDescent="0.25">
      <c r="B17263" s="11"/>
    </row>
    <row r="17264" spans="2:2" x14ac:dyDescent="0.25">
      <c r="B17264" s="11"/>
    </row>
    <row r="17265" spans="2:2" x14ac:dyDescent="0.25">
      <c r="B17265" s="11"/>
    </row>
    <row r="17266" spans="2:2" x14ac:dyDescent="0.25">
      <c r="B17266" s="11"/>
    </row>
    <row r="17267" spans="2:2" x14ac:dyDescent="0.25">
      <c r="B17267" s="11"/>
    </row>
    <row r="17268" spans="2:2" x14ac:dyDescent="0.25">
      <c r="B17268" s="11"/>
    </row>
    <row r="17269" spans="2:2" x14ac:dyDescent="0.25">
      <c r="B17269" s="11"/>
    </row>
    <row r="17270" spans="2:2" x14ac:dyDescent="0.25">
      <c r="B17270" s="11"/>
    </row>
    <row r="17271" spans="2:2" x14ac:dyDescent="0.25">
      <c r="B17271" s="11"/>
    </row>
    <row r="17272" spans="2:2" x14ac:dyDescent="0.25">
      <c r="B17272" s="11"/>
    </row>
    <row r="17273" spans="2:2" x14ac:dyDescent="0.25">
      <c r="B17273" s="11"/>
    </row>
    <row r="17274" spans="2:2" x14ac:dyDescent="0.25">
      <c r="B17274" s="11"/>
    </row>
    <row r="17275" spans="2:2" x14ac:dyDescent="0.25">
      <c r="B17275" s="11"/>
    </row>
    <row r="17276" spans="2:2" x14ac:dyDescent="0.25">
      <c r="B17276" s="11"/>
    </row>
    <row r="17277" spans="2:2" x14ac:dyDescent="0.25">
      <c r="B17277" s="11"/>
    </row>
    <row r="17278" spans="2:2" x14ac:dyDescent="0.25">
      <c r="B17278" s="11"/>
    </row>
    <row r="17279" spans="2:2" x14ac:dyDescent="0.25">
      <c r="B17279" s="11"/>
    </row>
    <row r="17280" spans="2:2" x14ac:dyDescent="0.25">
      <c r="B17280" s="11"/>
    </row>
    <row r="17281" spans="2:2" x14ac:dyDescent="0.25">
      <c r="B17281" s="11"/>
    </row>
    <row r="17282" spans="2:2" x14ac:dyDescent="0.25">
      <c r="B17282" s="11"/>
    </row>
    <row r="17283" spans="2:2" x14ac:dyDescent="0.25">
      <c r="B17283" s="11"/>
    </row>
    <row r="17284" spans="2:2" x14ac:dyDescent="0.25">
      <c r="B17284" s="11"/>
    </row>
    <row r="17285" spans="2:2" x14ac:dyDescent="0.25">
      <c r="B17285" s="11"/>
    </row>
    <row r="17286" spans="2:2" x14ac:dyDescent="0.25">
      <c r="B17286" s="11"/>
    </row>
    <row r="17287" spans="2:2" x14ac:dyDescent="0.25">
      <c r="B17287" s="11"/>
    </row>
    <row r="17288" spans="2:2" x14ac:dyDescent="0.25">
      <c r="B17288" s="11"/>
    </row>
    <row r="17289" spans="2:2" x14ac:dyDescent="0.25">
      <c r="B17289" s="11"/>
    </row>
    <row r="17290" spans="2:2" x14ac:dyDescent="0.25">
      <c r="B17290" s="11"/>
    </row>
    <row r="17291" spans="2:2" x14ac:dyDescent="0.25">
      <c r="B17291" s="11"/>
    </row>
    <row r="17292" spans="2:2" x14ac:dyDescent="0.25">
      <c r="B17292" s="11"/>
    </row>
    <row r="17293" spans="2:2" x14ac:dyDescent="0.25">
      <c r="B17293" s="11"/>
    </row>
    <row r="17294" spans="2:2" x14ac:dyDescent="0.25">
      <c r="B17294" s="11"/>
    </row>
    <row r="17295" spans="2:2" x14ac:dyDescent="0.25">
      <c r="B17295" s="11"/>
    </row>
    <row r="17296" spans="2:2" x14ac:dyDescent="0.25">
      <c r="B17296" s="11"/>
    </row>
    <row r="17297" spans="2:2" x14ac:dyDescent="0.25">
      <c r="B17297" s="11"/>
    </row>
    <row r="17298" spans="2:2" x14ac:dyDescent="0.25">
      <c r="B17298" s="11"/>
    </row>
    <row r="17299" spans="2:2" x14ac:dyDescent="0.25">
      <c r="B17299" s="11"/>
    </row>
    <row r="17300" spans="2:2" x14ac:dyDescent="0.25">
      <c r="B17300" s="11"/>
    </row>
    <row r="17301" spans="2:2" x14ac:dyDescent="0.25">
      <c r="B17301" s="11"/>
    </row>
    <row r="17302" spans="2:2" x14ac:dyDescent="0.25">
      <c r="B17302" s="11"/>
    </row>
    <row r="17303" spans="2:2" x14ac:dyDescent="0.25">
      <c r="B17303" s="11"/>
    </row>
    <row r="17304" spans="2:2" x14ac:dyDescent="0.25">
      <c r="B17304" s="11"/>
    </row>
    <row r="17305" spans="2:2" x14ac:dyDescent="0.25">
      <c r="B17305" s="11"/>
    </row>
    <row r="17306" spans="2:2" x14ac:dyDescent="0.25">
      <c r="B17306" s="11"/>
    </row>
    <row r="17307" spans="2:2" x14ac:dyDescent="0.25">
      <c r="B17307" s="11"/>
    </row>
    <row r="17308" spans="2:2" x14ac:dyDescent="0.25">
      <c r="B17308" s="11"/>
    </row>
    <row r="17309" spans="2:2" x14ac:dyDescent="0.25">
      <c r="B17309" s="11"/>
    </row>
    <row r="17310" spans="2:2" x14ac:dyDescent="0.25">
      <c r="B17310" s="11"/>
    </row>
    <row r="17311" spans="2:2" x14ac:dyDescent="0.25">
      <c r="B17311" s="11"/>
    </row>
    <row r="17312" spans="2:2" x14ac:dyDescent="0.25">
      <c r="B17312" s="11"/>
    </row>
    <row r="17313" spans="2:2" x14ac:dyDescent="0.25">
      <c r="B17313" s="11"/>
    </row>
    <row r="17314" spans="2:2" x14ac:dyDescent="0.25">
      <c r="B17314" s="11"/>
    </row>
    <row r="17315" spans="2:2" x14ac:dyDescent="0.25">
      <c r="B17315" s="11"/>
    </row>
    <row r="17316" spans="2:2" x14ac:dyDescent="0.25">
      <c r="B17316" s="11"/>
    </row>
    <row r="17317" spans="2:2" x14ac:dyDescent="0.25">
      <c r="B17317" s="11"/>
    </row>
    <row r="17318" spans="2:2" x14ac:dyDescent="0.25">
      <c r="B17318" s="11"/>
    </row>
    <row r="17319" spans="2:2" x14ac:dyDescent="0.25">
      <c r="B17319" s="11"/>
    </row>
    <row r="17320" spans="2:2" x14ac:dyDescent="0.25">
      <c r="B17320" s="11"/>
    </row>
    <row r="17321" spans="2:2" x14ac:dyDescent="0.25">
      <c r="B17321" s="11"/>
    </row>
    <row r="17322" spans="2:2" x14ac:dyDescent="0.25">
      <c r="B17322" s="11"/>
    </row>
    <row r="17323" spans="2:2" x14ac:dyDescent="0.25">
      <c r="B17323" s="11"/>
    </row>
    <row r="17324" spans="2:2" x14ac:dyDescent="0.25">
      <c r="B17324" s="11"/>
    </row>
    <row r="17325" spans="2:2" x14ac:dyDescent="0.25">
      <c r="B17325" s="11"/>
    </row>
    <row r="17326" spans="2:2" x14ac:dyDescent="0.25">
      <c r="B17326" s="11"/>
    </row>
    <row r="17327" spans="2:2" x14ac:dyDescent="0.25">
      <c r="B17327" s="11"/>
    </row>
    <row r="17328" spans="2:2" x14ac:dyDescent="0.25">
      <c r="B17328" s="11"/>
    </row>
    <row r="17329" spans="2:2" x14ac:dyDescent="0.25">
      <c r="B17329" s="11"/>
    </row>
    <row r="17330" spans="2:2" x14ac:dyDescent="0.25">
      <c r="B17330" s="11"/>
    </row>
    <row r="17331" spans="2:2" x14ac:dyDescent="0.25">
      <c r="B17331" s="11"/>
    </row>
    <row r="17332" spans="2:2" x14ac:dyDescent="0.25">
      <c r="B17332" s="11"/>
    </row>
    <row r="17333" spans="2:2" x14ac:dyDescent="0.25">
      <c r="B17333" s="11"/>
    </row>
    <row r="17334" spans="2:2" x14ac:dyDescent="0.25">
      <c r="B17334" s="11"/>
    </row>
    <row r="17335" spans="2:2" x14ac:dyDescent="0.25">
      <c r="B17335" s="11"/>
    </row>
    <row r="17336" spans="2:2" x14ac:dyDescent="0.25">
      <c r="B17336" s="11"/>
    </row>
    <row r="17337" spans="2:2" x14ac:dyDescent="0.25">
      <c r="B17337" s="11"/>
    </row>
    <row r="17338" spans="2:2" x14ac:dyDescent="0.25">
      <c r="B17338" s="11"/>
    </row>
    <row r="17339" spans="2:2" x14ac:dyDescent="0.25">
      <c r="B17339" s="11"/>
    </row>
    <row r="17340" spans="2:2" x14ac:dyDescent="0.25">
      <c r="B17340" s="11"/>
    </row>
    <row r="17341" spans="2:2" x14ac:dyDescent="0.25">
      <c r="B17341" s="11"/>
    </row>
    <row r="17342" spans="2:2" x14ac:dyDescent="0.25">
      <c r="B17342" s="11"/>
    </row>
    <row r="17343" spans="2:2" x14ac:dyDescent="0.25">
      <c r="B17343" s="11"/>
    </row>
    <row r="17344" spans="2:2" x14ac:dyDescent="0.25">
      <c r="B17344" s="11"/>
    </row>
    <row r="17345" spans="2:2" x14ac:dyDescent="0.25">
      <c r="B17345" s="11"/>
    </row>
    <row r="17346" spans="2:2" x14ac:dyDescent="0.25">
      <c r="B17346" s="11"/>
    </row>
    <row r="17347" spans="2:2" x14ac:dyDescent="0.25">
      <c r="B17347" s="11"/>
    </row>
    <row r="17348" spans="2:2" x14ac:dyDescent="0.25">
      <c r="B17348" s="11"/>
    </row>
    <row r="17349" spans="2:2" x14ac:dyDescent="0.25">
      <c r="B17349" s="11"/>
    </row>
    <row r="17350" spans="2:2" x14ac:dyDescent="0.25">
      <c r="B17350" s="11"/>
    </row>
    <row r="17351" spans="2:2" x14ac:dyDescent="0.25">
      <c r="B17351" s="11"/>
    </row>
    <row r="17352" spans="2:2" x14ac:dyDescent="0.25">
      <c r="B17352" s="11"/>
    </row>
    <row r="17353" spans="2:2" x14ac:dyDescent="0.25">
      <c r="B17353" s="11"/>
    </row>
    <row r="17354" spans="2:2" x14ac:dyDescent="0.25">
      <c r="B17354" s="11"/>
    </row>
    <row r="17355" spans="2:2" x14ac:dyDescent="0.25">
      <c r="B17355" s="11"/>
    </row>
    <row r="17356" spans="2:2" x14ac:dyDescent="0.25">
      <c r="B17356" s="11"/>
    </row>
    <row r="17357" spans="2:2" x14ac:dyDescent="0.25">
      <c r="B17357" s="11"/>
    </row>
    <row r="17358" spans="2:2" x14ac:dyDescent="0.25">
      <c r="B17358" s="11"/>
    </row>
    <row r="17359" spans="2:2" x14ac:dyDescent="0.25">
      <c r="B17359" s="11"/>
    </row>
    <row r="17360" spans="2:2" x14ac:dyDescent="0.25">
      <c r="B17360" s="11"/>
    </row>
    <row r="17361" spans="2:2" x14ac:dyDescent="0.25">
      <c r="B17361" s="11"/>
    </row>
    <row r="17362" spans="2:2" x14ac:dyDescent="0.25">
      <c r="B17362" s="11"/>
    </row>
    <row r="17363" spans="2:2" x14ac:dyDescent="0.25">
      <c r="B17363" s="11"/>
    </row>
    <row r="17364" spans="2:2" x14ac:dyDescent="0.25">
      <c r="B17364" s="11"/>
    </row>
    <row r="17365" spans="2:2" x14ac:dyDescent="0.25">
      <c r="B17365" s="11"/>
    </row>
    <row r="17366" spans="2:2" x14ac:dyDescent="0.25">
      <c r="B17366" s="11"/>
    </row>
    <row r="17367" spans="2:2" x14ac:dyDescent="0.25">
      <c r="B17367" s="11"/>
    </row>
    <row r="17368" spans="2:2" x14ac:dyDescent="0.25">
      <c r="B17368" s="11"/>
    </row>
    <row r="17369" spans="2:2" x14ac:dyDescent="0.25">
      <c r="B17369" s="11"/>
    </row>
    <row r="17370" spans="2:2" x14ac:dyDescent="0.25">
      <c r="B17370" s="11"/>
    </row>
    <row r="17371" spans="2:2" x14ac:dyDescent="0.25">
      <c r="B17371" s="11"/>
    </row>
    <row r="17372" spans="2:2" x14ac:dyDescent="0.25">
      <c r="B17372" s="11"/>
    </row>
    <row r="17373" spans="2:2" x14ac:dyDescent="0.25">
      <c r="B17373" s="11"/>
    </row>
    <row r="17374" spans="2:2" x14ac:dyDescent="0.25">
      <c r="B17374" s="11"/>
    </row>
    <row r="17375" spans="2:2" x14ac:dyDescent="0.25">
      <c r="B17375" s="11"/>
    </row>
    <row r="17376" spans="2:2" x14ac:dyDescent="0.25">
      <c r="B17376" s="11"/>
    </row>
    <row r="17377" spans="2:2" x14ac:dyDescent="0.25">
      <c r="B17377" s="11"/>
    </row>
    <row r="17378" spans="2:2" x14ac:dyDescent="0.25">
      <c r="B17378" s="11"/>
    </row>
    <row r="17379" spans="2:2" x14ac:dyDescent="0.25">
      <c r="B17379" s="11"/>
    </row>
    <row r="17380" spans="2:2" x14ac:dyDescent="0.25">
      <c r="B17380" s="11"/>
    </row>
    <row r="17381" spans="2:2" x14ac:dyDescent="0.25">
      <c r="B17381" s="11"/>
    </row>
    <row r="17382" spans="2:2" x14ac:dyDescent="0.25">
      <c r="B17382" s="11"/>
    </row>
    <row r="17383" spans="2:2" x14ac:dyDescent="0.25">
      <c r="B17383" s="11"/>
    </row>
    <row r="17384" spans="2:2" x14ac:dyDescent="0.25">
      <c r="B17384" s="11"/>
    </row>
    <row r="17385" spans="2:2" x14ac:dyDescent="0.25">
      <c r="B17385" s="11"/>
    </row>
    <row r="17386" spans="2:2" x14ac:dyDescent="0.25">
      <c r="B17386" s="11"/>
    </row>
    <row r="17387" spans="2:2" x14ac:dyDescent="0.25">
      <c r="B17387" s="11"/>
    </row>
    <row r="17388" spans="2:2" x14ac:dyDescent="0.25">
      <c r="B17388" s="11"/>
    </row>
    <row r="17389" spans="2:2" x14ac:dyDescent="0.25">
      <c r="B17389" s="11"/>
    </row>
    <row r="17390" spans="2:2" x14ac:dyDescent="0.25">
      <c r="B17390" s="11"/>
    </row>
    <row r="17391" spans="2:2" x14ac:dyDescent="0.25">
      <c r="B17391" s="11"/>
    </row>
    <row r="17392" spans="2:2" x14ac:dyDescent="0.25">
      <c r="B17392" s="11"/>
    </row>
    <row r="17393" spans="2:2" x14ac:dyDescent="0.25">
      <c r="B17393" s="11"/>
    </row>
    <row r="17394" spans="2:2" x14ac:dyDescent="0.25">
      <c r="B17394" s="11"/>
    </row>
    <row r="17395" spans="2:2" x14ac:dyDescent="0.25">
      <c r="B17395" s="11"/>
    </row>
    <row r="17396" spans="2:2" x14ac:dyDescent="0.25">
      <c r="B17396" s="11"/>
    </row>
    <row r="17397" spans="2:2" x14ac:dyDescent="0.25">
      <c r="B17397" s="11"/>
    </row>
    <row r="17398" spans="2:2" x14ac:dyDescent="0.25">
      <c r="B17398" s="11"/>
    </row>
    <row r="17399" spans="2:2" x14ac:dyDescent="0.25">
      <c r="B17399" s="11"/>
    </row>
    <row r="17400" spans="2:2" x14ac:dyDescent="0.25">
      <c r="B17400" s="11"/>
    </row>
    <row r="17401" spans="2:2" x14ac:dyDescent="0.25">
      <c r="B17401" s="11"/>
    </row>
    <row r="17402" spans="2:2" x14ac:dyDescent="0.25">
      <c r="B17402" s="11"/>
    </row>
    <row r="17403" spans="2:2" x14ac:dyDescent="0.25">
      <c r="B17403" s="11"/>
    </row>
    <row r="17404" spans="2:2" x14ac:dyDescent="0.25">
      <c r="B17404" s="11"/>
    </row>
    <row r="17405" spans="2:2" x14ac:dyDescent="0.25">
      <c r="B17405" s="11"/>
    </row>
    <row r="17406" spans="2:2" x14ac:dyDescent="0.25">
      <c r="B17406" s="11"/>
    </row>
    <row r="17407" spans="2:2" x14ac:dyDescent="0.25">
      <c r="B17407" s="11"/>
    </row>
    <row r="17408" spans="2:2" x14ac:dyDescent="0.25">
      <c r="B17408" s="11"/>
    </row>
    <row r="17409" spans="2:2" x14ac:dyDescent="0.25">
      <c r="B17409" s="11"/>
    </row>
    <row r="17410" spans="2:2" x14ac:dyDescent="0.25">
      <c r="B17410" s="11"/>
    </row>
    <row r="17411" spans="2:2" x14ac:dyDescent="0.25">
      <c r="B17411" s="11"/>
    </row>
    <row r="17412" spans="2:2" x14ac:dyDescent="0.25">
      <c r="B17412" s="11"/>
    </row>
    <row r="17413" spans="2:2" x14ac:dyDescent="0.25">
      <c r="B17413" s="11"/>
    </row>
    <row r="17414" spans="2:2" x14ac:dyDescent="0.25">
      <c r="B17414" s="11"/>
    </row>
    <row r="17415" spans="2:2" x14ac:dyDescent="0.25">
      <c r="B17415" s="11"/>
    </row>
    <row r="17416" spans="2:2" x14ac:dyDescent="0.25">
      <c r="B17416" s="11"/>
    </row>
    <row r="17417" spans="2:2" x14ac:dyDescent="0.25">
      <c r="B17417" s="11"/>
    </row>
    <row r="17418" spans="2:2" x14ac:dyDescent="0.25">
      <c r="B17418" s="11"/>
    </row>
    <row r="17419" spans="2:2" x14ac:dyDescent="0.25">
      <c r="B17419" s="11"/>
    </row>
    <row r="17420" spans="2:2" x14ac:dyDescent="0.25">
      <c r="B17420" s="11"/>
    </row>
    <row r="17421" spans="2:2" x14ac:dyDescent="0.25">
      <c r="B17421" s="11"/>
    </row>
    <row r="17422" spans="2:2" x14ac:dyDescent="0.25">
      <c r="B17422" s="11"/>
    </row>
    <row r="17423" spans="2:2" x14ac:dyDescent="0.25">
      <c r="B17423" s="11"/>
    </row>
    <row r="17424" spans="2:2" x14ac:dyDescent="0.25">
      <c r="B17424" s="11"/>
    </row>
    <row r="17425" spans="2:2" x14ac:dyDescent="0.25">
      <c r="B17425" s="11"/>
    </row>
    <row r="17426" spans="2:2" x14ac:dyDescent="0.25">
      <c r="B17426" s="11"/>
    </row>
    <row r="17427" spans="2:2" x14ac:dyDescent="0.25">
      <c r="B17427" s="11"/>
    </row>
    <row r="17428" spans="2:2" x14ac:dyDescent="0.25">
      <c r="B17428" s="11"/>
    </row>
    <row r="17429" spans="2:2" x14ac:dyDescent="0.25">
      <c r="B17429" s="11"/>
    </row>
    <row r="17430" spans="2:2" x14ac:dyDescent="0.25">
      <c r="B17430" s="11"/>
    </row>
    <row r="17431" spans="2:2" x14ac:dyDescent="0.25">
      <c r="B17431" s="11"/>
    </row>
    <row r="17432" spans="2:2" x14ac:dyDescent="0.25">
      <c r="B17432" s="11"/>
    </row>
    <row r="17433" spans="2:2" x14ac:dyDescent="0.25">
      <c r="B17433" s="11"/>
    </row>
    <row r="17434" spans="2:2" x14ac:dyDescent="0.25">
      <c r="B17434" s="11"/>
    </row>
    <row r="17435" spans="2:2" x14ac:dyDescent="0.25">
      <c r="B17435" s="11"/>
    </row>
    <row r="17436" spans="2:2" x14ac:dyDescent="0.25">
      <c r="B17436" s="11"/>
    </row>
    <row r="17437" spans="2:2" x14ac:dyDescent="0.25">
      <c r="B17437" s="11"/>
    </row>
    <row r="17438" spans="2:2" x14ac:dyDescent="0.25">
      <c r="B17438" s="11"/>
    </row>
    <row r="17439" spans="2:2" x14ac:dyDescent="0.25">
      <c r="B17439" s="11"/>
    </row>
    <row r="17440" spans="2:2" x14ac:dyDescent="0.25">
      <c r="B17440" s="11"/>
    </row>
    <row r="17441" spans="2:2" x14ac:dyDescent="0.25">
      <c r="B17441" s="11"/>
    </row>
    <row r="17442" spans="2:2" x14ac:dyDescent="0.25">
      <c r="B17442" s="11"/>
    </row>
    <row r="17443" spans="2:2" x14ac:dyDescent="0.25">
      <c r="B17443" s="11"/>
    </row>
    <row r="17444" spans="2:2" x14ac:dyDescent="0.25">
      <c r="B17444" s="11"/>
    </row>
    <row r="17445" spans="2:2" x14ac:dyDescent="0.25">
      <c r="B17445" s="11"/>
    </row>
    <row r="17446" spans="2:2" x14ac:dyDescent="0.25">
      <c r="B17446" s="11"/>
    </row>
    <row r="17447" spans="2:2" x14ac:dyDescent="0.25">
      <c r="B17447" s="11"/>
    </row>
    <row r="17448" spans="2:2" x14ac:dyDescent="0.25">
      <c r="B17448" s="11"/>
    </row>
    <row r="17449" spans="2:2" x14ac:dyDescent="0.25">
      <c r="B17449" s="11"/>
    </row>
    <row r="17450" spans="2:2" x14ac:dyDescent="0.25">
      <c r="B17450" s="11"/>
    </row>
    <row r="17451" spans="2:2" x14ac:dyDescent="0.25">
      <c r="B17451" s="11"/>
    </row>
    <row r="17452" spans="2:2" x14ac:dyDescent="0.25">
      <c r="B17452" s="11"/>
    </row>
    <row r="17453" spans="2:2" x14ac:dyDescent="0.25">
      <c r="B17453" s="11"/>
    </row>
    <row r="17454" spans="2:2" x14ac:dyDescent="0.25">
      <c r="B17454" s="11"/>
    </row>
    <row r="17455" spans="2:2" x14ac:dyDescent="0.25">
      <c r="B17455" s="11"/>
    </row>
    <row r="17456" spans="2:2" x14ac:dyDescent="0.25">
      <c r="B17456" s="11"/>
    </row>
    <row r="17457" spans="2:2" x14ac:dyDescent="0.25">
      <c r="B17457" s="11"/>
    </row>
    <row r="17458" spans="2:2" x14ac:dyDescent="0.25">
      <c r="B17458" s="11"/>
    </row>
    <row r="17459" spans="2:2" x14ac:dyDescent="0.25">
      <c r="B17459" s="11"/>
    </row>
    <row r="17460" spans="2:2" x14ac:dyDescent="0.25">
      <c r="B17460" s="11"/>
    </row>
    <row r="17461" spans="2:2" x14ac:dyDescent="0.25">
      <c r="B17461" s="11"/>
    </row>
    <row r="17462" spans="2:2" x14ac:dyDescent="0.25">
      <c r="B17462" s="11"/>
    </row>
    <row r="17463" spans="2:2" x14ac:dyDescent="0.25">
      <c r="B17463" s="11"/>
    </row>
    <row r="17464" spans="2:2" x14ac:dyDescent="0.25">
      <c r="B17464" s="11"/>
    </row>
    <row r="17465" spans="2:2" x14ac:dyDescent="0.25">
      <c r="B17465" s="11"/>
    </row>
    <row r="17466" spans="2:2" x14ac:dyDescent="0.25">
      <c r="B17466" s="11"/>
    </row>
    <row r="17467" spans="2:2" x14ac:dyDescent="0.25">
      <c r="B17467" s="11"/>
    </row>
    <row r="17468" spans="2:2" x14ac:dyDescent="0.25">
      <c r="B17468" s="11"/>
    </row>
    <row r="17469" spans="2:2" x14ac:dyDescent="0.25">
      <c r="B17469" s="11"/>
    </row>
    <row r="17470" spans="2:2" x14ac:dyDescent="0.25">
      <c r="B17470" s="11"/>
    </row>
    <row r="17471" spans="2:2" x14ac:dyDescent="0.25">
      <c r="B17471" s="11"/>
    </row>
    <row r="17472" spans="2:2" x14ac:dyDescent="0.25">
      <c r="B17472" s="11"/>
    </row>
    <row r="17473" spans="2:2" x14ac:dyDescent="0.25">
      <c r="B17473" s="11"/>
    </row>
    <row r="17474" spans="2:2" x14ac:dyDescent="0.25">
      <c r="B17474" s="11"/>
    </row>
    <row r="17475" spans="2:2" x14ac:dyDescent="0.25">
      <c r="B17475" s="11"/>
    </row>
    <row r="17476" spans="2:2" x14ac:dyDescent="0.25">
      <c r="B17476" s="11"/>
    </row>
    <row r="17477" spans="2:2" x14ac:dyDescent="0.25">
      <c r="B17477" s="11"/>
    </row>
    <row r="17478" spans="2:2" x14ac:dyDescent="0.25">
      <c r="B17478" s="11"/>
    </row>
    <row r="17479" spans="2:2" x14ac:dyDescent="0.25">
      <c r="B17479" s="11"/>
    </row>
    <row r="17480" spans="2:2" x14ac:dyDescent="0.25">
      <c r="B17480" s="11"/>
    </row>
    <row r="17481" spans="2:2" x14ac:dyDescent="0.25">
      <c r="B17481" s="11"/>
    </row>
    <row r="17482" spans="2:2" x14ac:dyDescent="0.25">
      <c r="B17482" s="11"/>
    </row>
    <row r="17483" spans="2:2" x14ac:dyDescent="0.25">
      <c r="B17483" s="11"/>
    </row>
    <row r="17484" spans="2:2" x14ac:dyDescent="0.25">
      <c r="B17484" s="11"/>
    </row>
    <row r="17485" spans="2:2" x14ac:dyDescent="0.25">
      <c r="B17485" s="11"/>
    </row>
    <row r="17486" spans="2:2" x14ac:dyDescent="0.25">
      <c r="B17486" s="11"/>
    </row>
    <row r="17487" spans="2:2" x14ac:dyDescent="0.25">
      <c r="B17487" s="11"/>
    </row>
    <row r="17488" spans="2:2" x14ac:dyDescent="0.25">
      <c r="B17488" s="11"/>
    </row>
    <row r="17489" spans="2:2" x14ac:dyDescent="0.25">
      <c r="B17489" s="11"/>
    </row>
    <row r="17490" spans="2:2" x14ac:dyDescent="0.25">
      <c r="B17490" s="11"/>
    </row>
    <row r="17491" spans="2:2" x14ac:dyDescent="0.25">
      <c r="B17491" s="11"/>
    </row>
    <row r="17492" spans="2:2" x14ac:dyDescent="0.25">
      <c r="B17492" s="11"/>
    </row>
    <row r="17493" spans="2:2" x14ac:dyDescent="0.25">
      <c r="B17493" s="11"/>
    </row>
    <row r="17494" spans="2:2" x14ac:dyDescent="0.25">
      <c r="B17494" s="11"/>
    </row>
    <row r="17495" spans="2:2" x14ac:dyDescent="0.25">
      <c r="B17495" s="11"/>
    </row>
    <row r="17496" spans="2:2" x14ac:dyDescent="0.25">
      <c r="B17496" s="11"/>
    </row>
    <row r="17497" spans="2:2" x14ac:dyDescent="0.25">
      <c r="B17497" s="11"/>
    </row>
    <row r="17498" spans="2:2" x14ac:dyDescent="0.25">
      <c r="B17498" s="11"/>
    </row>
    <row r="17499" spans="2:2" x14ac:dyDescent="0.25">
      <c r="B17499" s="11"/>
    </row>
    <row r="17500" spans="2:2" x14ac:dyDescent="0.25">
      <c r="B17500" s="11"/>
    </row>
    <row r="17501" spans="2:2" x14ac:dyDescent="0.25">
      <c r="B17501" s="11"/>
    </row>
    <row r="17502" spans="2:2" x14ac:dyDescent="0.25">
      <c r="B17502" s="11"/>
    </row>
    <row r="17503" spans="2:2" x14ac:dyDescent="0.25">
      <c r="B17503" s="11"/>
    </row>
    <row r="17504" spans="2:2" x14ac:dyDescent="0.25">
      <c r="B17504" s="11"/>
    </row>
    <row r="17505" spans="2:2" x14ac:dyDescent="0.25">
      <c r="B17505" s="11"/>
    </row>
    <row r="17506" spans="2:2" x14ac:dyDescent="0.25">
      <c r="B17506" s="11"/>
    </row>
    <row r="17507" spans="2:2" x14ac:dyDescent="0.25">
      <c r="B17507" s="11"/>
    </row>
    <row r="17508" spans="2:2" x14ac:dyDescent="0.25">
      <c r="B17508" s="11"/>
    </row>
    <row r="17509" spans="2:2" x14ac:dyDescent="0.25">
      <c r="B17509" s="11"/>
    </row>
    <row r="17510" spans="2:2" x14ac:dyDescent="0.25">
      <c r="B17510" s="11"/>
    </row>
    <row r="17511" spans="2:2" x14ac:dyDescent="0.25">
      <c r="B17511" s="11"/>
    </row>
    <row r="17512" spans="2:2" x14ac:dyDescent="0.25">
      <c r="B17512" s="11"/>
    </row>
    <row r="17513" spans="2:2" x14ac:dyDescent="0.25">
      <c r="B17513" s="11"/>
    </row>
    <row r="17514" spans="2:2" x14ac:dyDescent="0.25">
      <c r="B17514" s="11"/>
    </row>
    <row r="17515" spans="2:2" x14ac:dyDescent="0.25">
      <c r="B17515" s="11"/>
    </row>
    <row r="17516" spans="2:2" x14ac:dyDescent="0.25">
      <c r="B17516" s="11"/>
    </row>
    <row r="17517" spans="2:2" x14ac:dyDescent="0.25">
      <c r="B17517" s="11"/>
    </row>
    <row r="17518" spans="2:2" x14ac:dyDescent="0.25">
      <c r="B17518" s="11"/>
    </row>
    <row r="17519" spans="2:2" x14ac:dyDescent="0.25">
      <c r="B17519" s="11"/>
    </row>
    <row r="17520" spans="2:2" x14ac:dyDescent="0.25">
      <c r="B17520" s="11"/>
    </row>
    <row r="17521" spans="2:2" x14ac:dyDescent="0.25">
      <c r="B17521" s="11"/>
    </row>
    <row r="17522" spans="2:2" x14ac:dyDescent="0.25">
      <c r="B17522" s="11"/>
    </row>
    <row r="17523" spans="2:2" x14ac:dyDescent="0.25">
      <c r="B17523" s="11"/>
    </row>
    <row r="17524" spans="2:2" x14ac:dyDescent="0.25">
      <c r="B17524" s="11"/>
    </row>
    <row r="17525" spans="2:2" x14ac:dyDescent="0.25">
      <c r="B17525" s="11"/>
    </row>
    <row r="17526" spans="2:2" x14ac:dyDescent="0.25">
      <c r="B17526" s="11"/>
    </row>
    <row r="17527" spans="2:2" x14ac:dyDescent="0.25">
      <c r="B17527" s="11"/>
    </row>
    <row r="17528" spans="2:2" x14ac:dyDescent="0.25">
      <c r="B17528" s="11"/>
    </row>
    <row r="17529" spans="2:2" x14ac:dyDescent="0.25">
      <c r="B17529" s="11"/>
    </row>
    <row r="17530" spans="2:2" x14ac:dyDescent="0.25">
      <c r="B17530" s="11"/>
    </row>
    <row r="17531" spans="2:2" x14ac:dyDescent="0.25">
      <c r="B17531" s="11"/>
    </row>
    <row r="17532" spans="2:2" x14ac:dyDescent="0.25">
      <c r="B17532" s="11"/>
    </row>
    <row r="17533" spans="2:2" x14ac:dyDescent="0.25">
      <c r="B17533" s="11"/>
    </row>
    <row r="17534" spans="2:2" x14ac:dyDescent="0.25">
      <c r="B17534" s="11"/>
    </row>
    <row r="17535" spans="2:2" x14ac:dyDescent="0.25">
      <c r="B17535" s="11"/>
    </row>
    <row r="17536" spans="2:2" x14ac:dyDescent="0.25">
      <c r="B17536" s="11"/>
    </row>
    <row r="17537" spans="2:2" x14ac:dyDescent="0.25">
      <c r="B17537" s="11"/>
    </row>
    <row r="17538" spans="2:2" x14ac:dyDescent="0.25">
      <c r="B17538" s="11"/>
    </row>
    <row r="17539" spans="2:2" x14ac:dyDescent="0.25">
      <c r="B17539" s="11"/>
    </row>
    <row r="17540" spans="2:2" x14ac:dyDescent="0.25">
      <c r="B17540" s="11"/>
    </row>
    <row r="17541" spans="2:2" x14ac:dyDescent="0.25">
      <c r="B17541" s="11"/>
    </row>
    <row r="17542" spans="2:2" x14ac:dyDescent="0.25">
      <c r="B17542" s="11"/>
    </row>
    <row r="17543" spans="2:2" x14ac:dyDescent="0.25">
      <c r="B17543" s="11"/>
    </row>
    <row r="17544" spans="2:2" x14ac:dyDescent="0.25">
      <c r="B17544" s="11"/>
    </row>
    <row r="17545" spans="2:2" x14ac:dyDescent="0.25">
      <c r="B17545" s="11"/>
    </row>
    <row r="17546" spans="2:2" x14ac:dyDescent="0.25">
      <c r="B17546" s="11"/>
    </row>
    <row r="17547" spans="2:2" x14ac:dyDescent="0.25">
      <c r="B17547" s="11"/>
    </row>
    <row r="17548" spans="2:2" x14ac:dyDescent="0.25">
      <c r="B17548" s="11"/>
    </row>
    <row r="17549" spans="2:2" x14ac:dyDescent="0.25">
      <c r="B17549" s="11"/>
    </row>
    <row r="17550" spans="2:2" x14ac:dyDescent="0.25">
      <c r="B17550" s="11"/>
    </row>
    <row r="17551" spans="2:2" x14ac:dyDescent="0.25">
      <c r="B17551" s="11"/>
    </row>
    <row r="17552" spans="2:2" x14ac:dyDescent="0.25">
      <c r="B17552" s="11"/>
    </row>
    <row r="17553" spans="2:2" x14ac:dyDescent="0.25">
      <c r="B17553" s="11"/>
    </row>
    <row r="17554" spans="2:2" x14ac:dyDescent="0.25">
      <c r="B17554" s="11"/>
    </row>
    <row r="17555" spans="2:2" x14ac:dyDescent="0.25">
      <c r="B17555" s="11"/>
    </row>
    <row r="17556" spans="2:2" x14ac:dyDescent="0.25">
      <c r="B17556" s="11"/>
    </row>
    <row r="17557" spans="2:2" x14ac:dyDescent="0.25">
      <c r="B17557" s="11"/>
    </row>
    <row r="17558" spans="2:2" x14ac:dyDescent="0.25">
      <c r="B17558" s="11"/>
    </row>
    <row r="17559" spans="2:2" x14ac:dyDescent="0.25">
      <c r="B17559" s="11"/>
    </row>
    <row r="17560" spans="2:2" x14ac:dyDescent="0.25">
      <c r="B17560" s="11"/>
    </row>
    <row r="17561" spans="2:2" x14ac:dyDescent="0.25">
      <c r="B17561" s="11"/>
    </row>
    <row r="17562" spans="2:2" x14ac:dyDescent="0.25">
      <c r="B17562" s="11"/>
    </row>
    <row r="17563" spans="2:2" x14ac:dyDescent="0.25">
      <c r="B17563" s="11"/>
    </row>
    <row r="17564" spans="2:2" x14ac:dyDescent="0.25">
      <c r="B17564" s="11"/>
    </row>
    <row r="17565" spans="2:2" x14ac:dyDescent="0.25">
      <c r="B17565" s="11"/>
    </row>
    <row r="17566" spans="2:2" x14ac:dyDescent="0.25">
      <c r="B17566" s="11"/>
    </row>
    <row r="17567" spans="2:2" x14ac:dyDescent="0.25">
      <c r="B17567" s="11"/>
    </row>
    <row r="17568" spans="2:2" x14ac:dyDescent="0.25">
      <c r="B17568" s="11"/>
    </row>
    <row r="17569" spans="2:2" x14ac:dyDescent="0.25">
      <c r="B17569" s="11"/>
    </row>
    <row r="17570" spans="2:2" x14ac:dyDescent="0.25">
      <c r="B17570" s="11"/>
    </row>
    <row r="17571" spans="2:2" x14ac:dyDescent="0.25">
      <c r="B17571" s="11"/>
    </row>
    <row r="17572" spans="2:2" x14ac:dyDescent="0.25">
      <c r="B17572" s="11"/>
    </row>
    <row r="17573" spans="2:2" x14ac:dyDescent="0.25">
      <c r="B17573" s="11"/>
    </row>
    <row r="17574" spans="2:2" x14ac:dyDescent="0.25">
      <c r="B17574" s="11"/>
    </row>
    <row r="17575" spans="2:2" x14ac:dyDescent="0.25">
      <c r="B17575" s="11"/>
    </row>
    <row r="17576" spans="2:2" x14ac:dyDescent="0.25">
      <c r="B17576" s="11"/>
    </row>
    <row r="17577" spans="2:2" x14ac:dyDescent="0.25">
      <c r="B17577" s="11"/>
    </row>
    <row r="17578" spans="2:2" x14ac:dyDescent="0.25">
      <c r="B17578" s="11"/>
    </row>
    <row r="17579" spans="2:2" x14ac:dyDescent="0.25">
      <c r="B17579" s="11"/>
    </row>
    <row r="17580" spans="2:2" x14ac:dyDescent="0.25">
      <c r="B17580" s="11"/>
    </row>
    <row r="17581" spans="2:2" x14ac:dyDescent="0.25">
      <c r="B17581" s="11"/>
    </row>
    <row r="17582" spans="2:2" x14ac:dyDescent="0.25">
      <c r="B17582" s="11"/>
    </row>
    <row r="17583" spans="2:2" x14ac:dyDescent="0.25">
      <c r="B17583" s="11"/>
    </row>
    <row r="17584" spans="2:2" x14ac:dyDescent="0.25">
      <c r="B17584" s="11"/>
    </row>
    <row r="17585" spans="2:2" x14ac:dyDescent="0.25">
      <c r="B17585" s="11"/>
    </row>
    <row r="17586" spans="2:2" x14ac:dyDescent="0.25">
      <c r="B17586" s="11"/>
    </row>
    <row r="17587" spans="2:2" x14ac:dyDescent="0.25">
      <c r="B17587" s="11"/>
    </row>
    <row r="17588" spans="2:2" x14ac:dyDescent="0.25">
      <c r="B17588" s="11"/>
    </row>
    <row r="17589" spans="2:2" x14ac:dyDescent="0.25">
      <c r="B17589" s="11"/>
    </row>
    <row r="17590" spans="2:2" x14ac:dyDescent="0.25">
      <c r="B17590" s="11"/>
    </row>
    <row r="17591" spans="2:2" x14ac:dyDescent="0.25">
      <c r="B17591" s="11"/>
    </row>
    <row r="17592" spans="2:2" x14ac:dyDescent="0.25">
      <c r="B17592" s="11"/>
    </row>
    <row r="17593" spans="2:2" x14ac:dyDescent="0.25">
      <c r="B17593" s="11"/>
    </row>
    <row r="17594" spans="2:2" x14ac:dyDescent="0.25">
      <c r="B17594" s="11"/>
    </row>
    <row r="17595" spans="2:2" x14ac:dyDescent="0.25">
      <c r="B17595" s="11"/>
    </row>
    <row r="17596" spans="2:2" x14ac:dyDescent="0.25">
      <c r="B17596" s="11"/>
    </row>
    <row r="17597" spans="2:2" x14ac:dyDescent="0.25">
      <c r="B17597" s="11"/>
    </row>
    <row r="17598" spans="2:2" x14ac:dyDescent="0.25">
      <c r="B17598" s="11"/>
    </row>
    <row r="17599" spans="2:2" x14ac:dyDescent="0.25">
      <c r="B17599" s="11"/>
    </row>
    <row r="17600" spans="2:2" x14ac:dyDescent="0.25">
      <c r="B17600" s="11"/>
    </row>
    <row r="17601" spans="2:2" x14ac:dyDescent="0.25">
      <c r="B17601" s="11"/>
    </row>
    <row r="17602" spans="2:2" x14ac:dyDescent="0.25">
      <c r="B17602" s="11"/>
    </row>
    <row r="17603" spans="2:2" x14ac:dyDescent="0.25">
      <c r="B17603" s="11"/>
    </row>
    <row r="17604" spans="2:2" x14ac:dyDescent="0.25">
      <c r="B17604" s="11"/>
    </row>
    <row r="17605" spans="2:2" x14ac:dyDescent="0.25">
      <c r="B17605" s="11"/>
    </row>
    <row r="17606" spans="2:2" x14ac:dyDescent="0.25">
      <c r="B17606" s="11"/>
    </row>
    <row r="17607" spans="2:2" x14ac:dyDescent="0.25">
      <c r="B17607" s="11"/>
    </row>
    <row r="17608" spans="2:2" x14ac:dyDescent="0.25">
      <c r="B17608" s="11"/>
    </row>
    <row r="17609" spans="2:2" x14ac:dyDescent="0.25">
      <c r="B17609" s="11"/>
    </row>
    <row r="17610" spans="2:2" x14ac:dyDescent="0.25">
      <c r="B17610" s="11"/>
    </row>
    <row r="17611" spans="2:2" x14ac:dyDescent="0.25">
      <c r="B17611" s="11"/>
    </row>
    <row r="17612" spans="2:2" x14ac:dyDescent="0.25">
      <c r="B17612" s="11"/>
    </row>
    <row r="17613" spans="2:2" x14ac:dyDescent="0.25">
      <c r="B17613" s="11"/>
    </row>
    <row r="17614" spans="2:2" x14ac:dyDescent="0.25">
      <c r="B17614" s="11"/>
    </row>
    <row r="17615" spans="2:2" x14ac:dyDescent="0.25">
      <c r="B17615" s="11"/>
    </row>
    <row r="17616" spans="2:2" x14ac:dyDescent="0.25">
      <c r="B17616" s="11"/>
    </row>
    <row r="17617" spans="2:2" x14ac:dyDescent="0.25">
      <c r="B17617" s="11"/>
    </row>
    <row r="17618" spans="2:2" x14ac:dyDescent="0.25">
      <c r="B17618" s="11"/>
    </row>
    <row r="17619" spans="2:2" x14ac:dyDescent="0.25">
      <c r="B17619" s="11"/>
    </row>
    <row r="17620" spans="2:2" x14ac:dyDescent="0.25">
      <c r="B17620" s="11"/>
    </row>
    <row r="17621" spans="2:2" x14ac:dyDescent="0.25">
      <c r="B17621" s="11"/>
    </row>
    <row r="17622" spans="2:2" x14ac:dyDescent="0.25">
      <c r="B17622" s="11"/>
    </row>
    <row r="17623" spans="2:2" x14ac:dyDescent="0.25">
      <c r="B17623" s="11"/>
    </row>
    <row r="17624" spans="2:2" x14ac:dyDescent="0.25">
      <c r="B17624" s="11"/>
    </row>
    <row r="17625" spans="2:2" x14ac:dyDescent="0.25">
      <c r="B17625" s="11"/>
    </row>
    <row r="17626" spans="2:2" x14ac:dyDescent="0.25">
      <c r="B17626" s="11"/>
    </row>
    <row r="17627" spans="2:2" x14ac:dyDescent="0.25">
      <c r="B17627" s="11"/>
    </row>
    <row r="17628" spans="2:2" x14ac:dyDescent="0.25">
      <c r="B17628" s="11"/>
    </row>
    <row r="17629" spans="2:2" x14ac:dyDescent="0.25">
      <c r="B17629" s="11"/>
    </row>
    <row r="17630" spans="2:2" x14ac:dyDescent="0.25">
      <c r="B17630" s="11"/>
    </row>
    <row r="17631" spans="2:2" x14ac:dyDescent="0.25">
      <c r="B17631" s="11"/>
    </row>
    <row r="17632" spans="2:2" x14ac:dyDescent="0.25">
      <c r="B17632" s="11"/>
    </row>
    <row r="17633" spans="2:2" x14ac:dyDescent="0.25">
      <c r="B17633" s="11"/>
    </row>
    <row r="17634" spans="2:2" x14ac:dyDescent="0.25">
      <c r="B17634" s="11"/>
    </row>
    <row r="17635" spans="2:2" x14ac:dyDescent="0.25">
      <c r="B17635" s="11"/>
    </row>
    <row r="17636" spans="2:2" x14ac:dyDescent="0.25">
      <c r="B17636" s="11"/>
    </row>
    <row r="17637" spans="2:2" x14ac:dyDescent="0.25">
      <c r="B17637" s="11"/>
    </row>
    <row r="17638" spans="2:2" x14ac:dyDescent="0.25">
      <c r="B17638" s="11"/>
    </row>
    <row r="17639" spans="2:2" x14ac:dyDescent="0.25">
      <c r="B17639" s="11"/>
    </row>
    <row r="17640" spans="2:2" x14ac:dyDescent="0.25">
      <c r="B17640" s="11"/>
    </row>
    <row r="17641" spans="2:2" x14ac:dyDescent="0.25">
      <c r="B17641" s="11"/>
    </row>
    <row r="17642" spans="2:2" x14ac:dyDescent="0.25">
      <c r="B17642" s="11"/>
    </row>
    <row r="17643" spans="2:2" x14ac:dyDescent="0.25">
      <c r="B17643" s="11"/>
    </row>
    <row r="17644" spans="2:2" x14ac:dyDescent="0.25">
      <c r="B17644" s="11"/>
    </row>
    <row r="17645" spans="2:2" x14ac:dyDescent="0.25">
      <c r="B17645" s="11"/>
    </row>
    <row r="17646" spans="2:2" x14ac:dyDescent="0.25">
      <c r="B17646" s="11"/>
    </row>
    <row r="17647" spans="2:2" x14ac:dyDescent="0.25">
      <c r="B17647" s="11"/>
    </row>
    <row r="17648" spans="2:2" x14ac:dyDescent="0.25">
      <c r="B17648" s="11"/>
    </row>
    <row r="17649" spans="2:2" x14ac:dyDescent="0.25">
      <c r="B17649" s="11"/>
    </row>
    <row r="17650" spans="2:2" x14ac:dyDescent="0.25">
      <c r="B17650" s="11"/>
    </row>
    <row r="17651" spans="2:2" x14ac:dyDescent="0.25">
      <c r="B17651" s="11"/>
    </row>
    <row r="17652" spans="2:2" x14ac:dyDescent="0.25">
      <c r="B17652" s="11"/>
    </row>
    <row r="17653" spans="2:2" x14ac:dyDescent="0.25">
      <c r="B17653" s="11"/>
    </row>
    <row r="17654" spans="2:2" x14ac:dyDescent="0.25">
      <c r="B17654" s="11"/>
    </row>
    <row r="17655" spans="2:2" x14ac:dyDescent="0.25">
      <c r="B17655" s="11"/>
    </row>
    <row r="17656" spans="2:2" x14ac:dyDescent="0.25">
      <c r="B17656" s="11"/>
    </row>
    <row r="17657" spans="2:2" x14ac:dyDescent="0.25">
      <c r="B17657" s="11"/>
    </row>
    <row r="17658" spans="2:2" x14ac:dyDescent="0.25">
      <c r="B17658" s="11"/>
    </row>
    <row r="17659" spans="2:2" x14ac:dyDescent="0.25">
      <c r="B17659" s="11"/>
    </row>
    <row r="17660" spans="2:2" x14ac:dyDescent="0.25">
      <c r="B17660" s="11"/>
    </row>
    <row r="17661" spans="2:2" x14ac:dyDescent="0.25">
      <c r="B17661" s="11"/>
    </row>
    <row r="17662" spans="2:2" x14ac:dyDescent="0.25">
      <c r="B17662" s="11"/>
    </row>
    <row r="17663" spans="2:2" x14ac:dyDescent="0.25">
      <c r="B17663" s="11"/>
    </row>
    <row r="17664" spans="2:2" x14ac:dyDescent="0.25">
      <c r="B17664" s="11"/>
    </row>
    <row r="17665" spans="2:2" x14ac:dyDescent="0.25">
      <c r="B17665" s="11"/>
    </row>
    <row r="17666" spans="2:2" x14ac:dyDescent="0.25">
      <c r="B17666" s="11"/>
    </row>
    <row r="17667" spans="2:2" x14ac:dyDescent="0.25">
      <c r="B17667" s="11"/>
    </row>
    <row r="17668" spans="2:2" x14ac:dyDescent="0.25">
      <c r="B17668" s="11"/>
    </row>
    <row r="17669" spans="2:2" x14ac:dyDescent="0.25">
      <c r="B17669" s="11"/>
    </row>
    <row r="17670" spans="2:2" x14ac:dyDescent="0.25">
      <c r="B17670" s="11"/>
    </row>
    <row r="17671" spans="2:2" x14ac:dyDescent="0.25">
      <c r="B17671" s="11"/>
    </row>
    <row r="17672" spans="2:2" x14ac:dyDescent="0.25">
      <c r="B17672" s="11"/>
    </row>
    <row r="17673" spans="2:2" x14ac:dyDescent="0.25">
      <c r="B17673" s="11"/>
    </row>
    <row r="17674" spans="2:2" x14ac:dyDescent="0.25">
      <c r="B17674" s="11"/>
    </row>
    <row r="17675" spans="2:2" x14ac:dyDescent="0.25">
      <c r="B17675" s="11"/>
    </row>
    <row r="17676" spans="2:2" x14ac:dyDescent="0.25">
      <c r="B17676" s="11"/>
    </row>
    <row r="17677" spans="2:2" x14ac:dyDescent="0.25">
      <c r="B17677" s="11"/>
    </row>
    <row r="17678" spans="2:2" x14ac:dyDescent="0.25">
      <c r="B17678" s="11"/>
    </row>
    <row r="17679" spans="2:2" x14ac:dyDescent="0.25">
      <c r="B17679" s="11"/>
    </row>
    <row r="17680" spans="2:2" x14ac:dyDescent="0.25">
      <c r="B17680" s="11"/>
    </row>
    <row r="17681" spans="2:2" x14ac:dyDescent="0.25">
      <c r="B17681" s="11"/>
    </row>
    <row r="17682" spans="2:2" x14ac:dyDescent="0.25">
      <c r="B17682" s="11"/>
    </row>
    <row r="17683" spans="2:2" x14ac:dyDescent="0.25">
      <c r="B17683" s="11"/>
    </row>
    <row r="17684" spans="2:2" x14ac:dyDescent="0.25">
      <c r="B17684" s="11"/>
    </row>
    <row r="17685" spans="2:2" x14ac:dyDescent="0.25">
      <c r="B17685" s="11"/>
    </row>
    <row r="17686" spans="2:2" x14ac:dyDescent="0.25">
      <c r="B17686" s="11"/>
    </row>
    <row r="17687" spans="2:2" x14ac:dyDescent="0.25">
      <c r="B17687" s="11"/>
    </row>
    <row r="17688" spans="2:2" x14ac:dyDescent="0.25">
      <c r="B17688" s="11"/>
    </row>
    <row r="17689" spans="2:2" x14ac:dyDescent="0.25">
      <c r="B17689" s="11"/>
    </row>
    <row r="17690" spans="2:2" x14ac:dyDescent="0.25">
      <c r="B17690" s="11"/>
    </row>
    <row r="17691" spans="2:2" x14ac:dyDescent="0.25">
      <c r="B17691" s="11"/>
    </row>
    <row r="17692" spans="2:2" x14ac:dyDescent="0.25">
      <c r="B17692" s="11"/>
    </row>
    <row r="17693" spans="2:2" x14ac:dyDescent="0.25">
      <c r="B17693" s="11"/>
    </row>
    <row r="17694" spans="2:2" x14ac:dyDescent="0.25">
      <c r="B17694" s="11"/>
    </row>
    <row r="17695" spans="2:2" x14ac:dyDescent="0.25">
      <c r="B17695" s="11"/>
    </row>
    <row r="17696" spans="2:2" x14ac:dyDescent="0.25">
      <c r="B17696" s="11"/>
    </row>
    <row r="17697" spans="2:2" x14ac:dyDescent="0.25">
      <c r="B17697" s="11"/>
    </row>
    <row r="17698" spans="2:2" x14ac:dyDescent="0.25">
      <c r="B17698" s="11"/>
    </row>
    <row r="17699" spans="2:2" x14ac:dyDescent="0.25">
      <c r="B17699" s="11"/>
    </row>
    <row r="17700" spans="2:2" x14ac:dyDescent="0.25">
      <c r="B17700" s="11"/>
    </row>
    <row r="17701" spans="2:2" x14ac:dyDescent="0.25">
      <c r="B17701" s="11"/>
    </row>
    <row r="17702" spans="2:2" x14ac:dyDescent="0.25">
      <c r="B17702" s="11"/>
    </row>
    <row r="17703" spans="2:2" x14ac:dyDescent="0.25">
      <c r="B17703" s="11"/>
    </row>
    <row r="17704" spans="2:2" x14ac:dyDescent="0.25">
      <c r="B17704" s="11"/>
    </row>
    <row r="17705" spans="2:2" x14ac:dyDescent="0.25">
      <c r="B17705" s="11"/>
    </row>
    <row r="17706" spans="2:2" x14ac:dyDescent="0.25">
      <c r="B17706" s="11"/>
    </row>
    <row r="17707" spans="2:2" x14ac:dyDescent="0.25">
      <c r="B17707" s="11"/>
    </row>
    <row r="17708" spans="2:2" x14ac:dyDescent="0.25">
      <c r="B17708" s="11"/>
    </row>
    <row r="17709" spans="2:2" x14ac:dyDescent="0.25">
      <c r="B17709" s="11"/>
    </row>
    <row r="17710" spans="2:2" x14ac:dyDescent="0.25">
      <c r="B17710" s="11"/>
    </row>
    <row r="17711" spans="2:2" x14ac:dyDescent="0.25">
      <c r="B17711" s="11"/>
    </row>
    <row r="17712" spans="2:2" x14ac:dyDescent="0.25">
      <c r="B17712" s="11"/>
    </row>
    <row r="17713" spans="2:2" x14ac:dyDescent="0.25">
      <c r="B17713" s="11"/>
    </row>
    <row r="17714" spans="2:2" x14ac:dyDescent="0.25">
      <c r="B17714" s="11"/>
    </row>
    <row r="17715" spans="2:2" x14ac:dyDescent="0.25">
      <c r="B17715" s="11"/>
    </row>
    <row r="17716" spans="2:2" x14ac:dyDescent="0.25">
      <c r="B17716" s="11"/>
    </row>
    <row r="17717" spans="2:2" x14ac:dyDescent="0.25">
      <c r="B17717" s="11"/>
    </row>
    <row r="17718" spans="2:2" x14ac:dyDescent="0.25">
      <c r="B17718" s="11"/>
    </row>
    <row r="17719" spans="2:2" x14ac:dyDescent="0.25">
      <c r="B17719" s="11"/>
    </row>
    <row r="17720" spans="2:2" x14ac:dyDescent="0.25">
      <c r="B17720" s="11"/>
    </row>
    <row r="17721" spans="2:2" x14ac:dyDescent="0.25">
      <c r="B17721" s="11"/>
    </row>
    <row r="17722" spans="2:2" x14ac:dyDescent="0.25">
      <c r="B17722" s="11"/>
    </row>
    <row r="17723" spans="2:2" x14ac:dyDescent="0.25">
      <c r="B17723" s="11"/>
    </row>
    <row r="17724" spans="2:2" x14ac:dyDescent="0.25">
      <c r="B17724" s="11"/>
    </row>
    <row r="17725" spans="2:2" x14ac:dyDescent="0.25">
      <c r="B17725" s="11"/>
    </row>
    <row r="17726" spans="2:2" x14ac:dyDescent="0.25">
      <c r="B17726" s="11"/>
    </row>
    <row r="17727" spans="2:2" x14ac:dyDescent="0.25">
      <c r="B17727" s="11"/>
    </row>
    <row r="17728" spans="2:2" x14ac:dyDescent="0.25">
      <c r="B17728" s="11"/>
    </row>
    <row r="17729" spans="2:2" x14ac:dyDescent="0.25">
      <c r="B17729" s="11"/>
    </row>
    <row r="17730" spans="2:2" x14ac:dyDescent="0.25">
      <c r="B17730" s="11"/>
    </row>
    <row r="17731" spans="2:2" x14ac:dyDescent="0.25">
      <c r="B17731" s="11"/>
    </row>
    <row r="17732" spans="2:2" x14ac:dyDescent="0.25">
      <c r="B17732" s="11"/>
    </row>
    <row r="17733" spans="2:2" x14ac:dyDescent="0.25">
      <c r="B17733" s="11"/>
    </row>
    <row r="17734" spans="2:2" x14ac:dyDescent="0.25">
      <c r="B17734" s="11"/>
    </row>
    <row r="17735" spans="2:2" x14ac:dyDescent="0.25">
      <c r="B17735" s="11"/>
    </row>
    <row r="17736" spans="2:2" x14ac:dyDescent="0.25">
      <c r="B17736" s="11"/>
    </row>
    <row r="17737" spans="2:2" x14ac:dyDescent="0.25">
      <c r="B17737" s="11"/>
    </row>
    <row r="17738" spans="2:2" x14ac:dyDescent="0.25">
      <c r="B17738" s="11"/>
    </row>
    <row r="17739" spans="2:2" x14ac:dyDescent="0.25">
      <c r="B17739" s="11"/>
    </row>
    <row r="17740" spans="2:2" x14ac:dyDescent="0.25">
      <c r="B17740" s="11"/>
    </row>
    <row r="17741" spans="2:2" x14ac:dyDescent="0.25">
      <c r="B17741" s="11"/>
    </row>
    <row r="17742" spans="2:2" x14ac:dyDescent="0.25">
      <c r="B17742" s="11"/>
    </row>
    <row r="17743" spans="2:2" x14ac:dyDescent="0.25">
      <c r="B17743" s="11"/>
    </row>
    <row r="17744" spans="2:2" x14ac:dyDescent="0.25">
      <c r="B17744" s="11"/>
    </row>
    <row r="17745" spans="2:2" x14ac:dyDescent="0.25">
      <c r="B17745" s="11"/>
    </row>
    <row r="17746" spans="2:2" x14ac:dyDescent="0.25">
      <c r="B17746" s="11"/>
    </row>
    <row r="17747" spans="2:2" x14ac:dyDescent="0.25">
      <c r="B17747" s="11"/>
    </row>
    <row r="17748" spans="2:2" x14ac:dyDescent="0.25">
      <c r="B17748" s="11"/>
    </row>
    <row r="17749" spans="2:2" x14ac:dyDescent="0.25">
      <c r="B17749" s="11"/>
    </row>
    <row r="17750" spans="2:2" x14ac:dyDescent="0.25">
      <c r="B17750" s="11"/>
    </row>
    <row r="17751" spans="2:2" x14ac:dyDescent="0.25">
      <c r="B17751" s="11"/>
    </row>
    <row r="17752" spans="2:2" x14ac:dyDescent="0.25">
      <c r="B17752" s="11"/>
    </row>
    <row r="17753" spans="2:2" x14ac:dyDescent="0.25">
      <c r="B17753" s="11"/>
    </row>
    <row r="17754" spans="2:2" x14ac:dyDescent="0.25">
      <c r="B17754" s="11"/>
    </row>
    <row r="17755" spans="2:2" x14ac:dyDescent="0.25">
      <c r="B17755" s="11"/>
    </row>
    <row r="17756" spans="2:2" x14ac:dyDescent="0.25">
      <c r="B17756" s="11"/>
    </row>
    <row r="17757" spans="2:2" x14ac:dyDescent="0.25">
      <c r="B17757" s="11"/>
    </row>
    <row r="17758" spans="2:2" x14ac:dyDescent="0.25">
      <c r="B17758" s="11"/>
    </row>
    <row r="17759" spans="2:2" x14ac:dyDescent="0.25">
      <c r="B17759" s="11"/>
    </row>
    <row r="17760" spans="2:2" x14ac:dyDescent="0.25">
      <c r="B17760" s="11"/>
    </row>
    <row r="17761" spans="2:2" x14ac:dyDescent="0.25">
      <c r="B17761" s="11"/>
    </row>
    <row r="17762" spans="2:2" x14ac:dyDescent="0.25">
      <c r="B17762" s="11"/>
    </row>
    <row r="17763" spans="2:2" x14ac:dyDescent="0.25">
      <c r="B17763" s="11"/>
    </row>
    <row r="17764" spans="2:2" x14ac:dyDescent="0.25">
      <c r="B17764" s="11"/>
    </row>
    <row r="17765" spans="2:2" x14ac:dyDescent="0.25">
      <c r="B17765" s="11"/>
    </row>
    <row r="17766" spans="2:2" x14ac:dyDescent="0.25">
      <c r="B17766" s="11"/>
    </row>
    <row r="17767" spans="2:2" x14ac:dyDescent="0.25">
      <c r="B17767" s="11"/>
    </row>
    <row r="17768" spans="2:2" x14ac:dyDescent="0.25">
      <c r="B17768" s="11"/>
    </row>
    <row r="17769" spans="2:2" x14ac:dyDescent="0.25">
      <c r="B17769" s="11"/>
    </row>
    <row r="17770" spans="2:2" x14ac:dyDescent="0.25">
      <c r="B17770" s="11"/>
    </row>
    <row r="17771" spans="2:2" x14ac:dyDescent="0.25">
      <c r="B17771" s="11"/>
    </row>
    <row r="17772" spans="2:2" x14ac:dyDescent="0.25">
      <c r="B17772" s="11"/>
    </row>
    <row r="17773" spans="2:2" x14ac:dyDescent="0.25">
      <c r="B17773" s="11"/>
    </row>
    <row r="17774" spans="2:2" x14ac:dyDescent="0.25">
      <c r="B17774" s="11"/>
    </row>
    <row r="17775" spans="2:2" x14ac:dyDescent="0.25">
      <c r="B17775" s="11"/>
    </row>
    <row r="17776" spans="2:2" x14ac:dyDescent="0.25">
      <c r="B17776" s="11"/>
    </row>
    <row r="17777" spans="2:2" x14ac:dyDescent="0.25">
      <c r="B17777" s="11"/>
    </row>
    <row r="17778" spans="2:2" x14ac:dyDescent="0.25">
      <c r="B17778" s="11"/>
    </row>
    <row r="17779" spans="2:2" x14ac:dyDescent="0.25">
      <c r="B17779" s="11"/>
    </row>
    <row r="17780" spans="2:2" x14ac:dyDescent="0.25">
      <c r="B17780" s="11"/>
    </row>
    <row r="17781" spans="2:2" x14ac:dyDescent="0.25">
      <c r="B17781" s="11"/>
    </row>
    <row r="17782" spans="2:2" x14ac:dyDescent="0.25">
      <c r="B17782" s="11"/>
    </row>
    <row r="17783" spans="2:2" x14ac:dyDescent="0.25">
      <c r="B17783" s="11"/>
    </row>
    <row r="17784" spans="2:2" x14ac:dyDescent="0.25">
      <c r="B17784" s="11"/>
    </row>
    <row r="17785" spans="2:2" x14ac:dyDescent="0.25">
      <c r="B17785" s="11"/>
    </row>
    <row r="17786" spans="2:2" x14ac:dyDescent="0.25">
      <c r="B17786" s="11"/>
    </row>
    <row r="17787" spans="2:2" x14ac:dyDescent="0.25">
      <c r="B17787" s="11"/>
    </row>
    <row r="17788" spans="2:2" x14ac:dyDescent="0.25">
      <c r="B17788" s="11"/>
    </row>
    <row r="17789" spans="2:2" x14ac:dyDescent="0.25">
      <c r="B17789" s="11"/>
    </row>
    <row r="17790" spans="2:2" x14ac:dyDescent="0.25">
      <c r="B17790" s="11"/>
    </row>
    <row r="17791" spans="2:2" x14ac:dyDescent="0.25">
      <c r="B17791" s="11"/>
    </row>
    <row r="17792" spans="2:2" x14ac:dyDescent="0.25">
      <c r="B17792" s="11"/>
    </row>
    <row r="17793" spans="2:2" x14ac:dyDescent="0.25">
      <c r="B17793" s="11"/>
    </row>
    <row r="17794" spans="2:2" x14ac:dyDescent="0.25">
      <c r="B17794" s="11"/>
    </row>
    <row r="17795" spans="2:2" x14ac:dyDescent="0.25">
      <c r="B17795" s="11"/>
    </row>
    <row r="17796" spans="2:2" x14ac:dyDescent="0.25">
      <c r="B17796" s="11"/>
    </row>
    <row r="17797" spans="2:2" x14ac:dyDescent="0.25">
      <c r="B17797" s="11"/>
    </row>
    <row r="17798" spans="2:2" x14ac:dyDescent="0.25">
      <c r="B17798" s="11"/>
    </row>
    <row r="17799" spans="2:2" x14ac:dyDescent="0.25">
      <c r="B17799" s="11"/>
    </row>
    <row r="17800" spans="2:2" x14ac:dyDescent="0.25">
      <c r="B17800" s="11"/>
    </row>
    <row r="17801" spans="2:2" x14ac:dyDescent="0.25">
      <c r="B17801" s="11"/>
    </row>
    <row r="17802" spans="2:2" x14ac:dyDescent="0.25">
      <c r="B17802" s="11"/>
    </row>
    <row r="17803" spans="2:2" x14ac:dyDescent="0.25">
      <c r="B17803" s="11"/>
    </row>
    <row r="17804" spans="2:2" x14ac:dyDescent="0.25">
      <c r="B17804" s="11"/>
    </row>
    <row r="17805" spans="2:2" x14ac:dyDescent="0.25">
      <c r="B17805" s="11"/>
    </row>
    <row r="17806" spans="2:2" x14ac:dyDescent="0.25">
      <c r="B17806" s="11"/>
    </row>
    <row r="17807" spans="2:2" x14ac:dyDescent="0.25">
      <c r="B17807" s="11"/>
    </row>
    <row r="17808" spans="2:2" x14ac:dyDescent="0.25">
      <c r="B17808" s="11"/>
    </row>
    <row r="17809" spans="2:2" x14ac:dyDescent="0.25">
      <c r="B17809" s="11"/>
    </row>
    <row r="17810" spans="2:2" x14ac:dyDescent="0.25">
      <c r="B17810" s="11"/>
    </row>
    <row r="17811" spans="2:2" x14ac:dyDescent="0.25">
      <c r="B17811" s="11"/>
    </row>
    <row r="17812" spans="2:2" x14ac:dyDescent="0.25">
      <c r="B17812" s="11"/>
    </row>
    <row r="17813" spans="2:2" x14ac:dyDescent="0.25">
      <c r="B17813" s="11"/>
    </row>
    <row r="17814" spans="2:2" x14ac:dyDescent="0.25">
      <c r="B17814" s="11"/>
    </row>
    <row r="17815" spans="2:2" x14ac:dyDescent="0.25">
      <c r="B17815" s="11"/>
    </row>
    <row r="17816" spans="2:2" x14ac:dyDescent="0.25">
      <c r="B17816" s="11"/>
    </row>
    <row r="17817" spans="2:2" x14ac:dyDescent="0.25">
      <c r="B17817" s="11"/>
    </row>
    <row r="17818" spans="2:2" x14ac:dyDescent="0.25">
      <c r="B17818" s="11"/>
    </row>
    <row r="17819" spans="2:2" x14ac:dyDescent="0.25">
      <c r="B17819" s="11"/>
    </row>
    <row r="17820" spans="2:2" x14ac:dyDescent="0.25">
      <c r="B17820" s="11"/>
    </row>
    <row r="17821" spans="2:2" x14ac:dyDescent="0.25">
      <c r="B17821" s="11"/>
    </row>
    <row r="17822" spans="2:2" x14ac:dyDescent="0.25">
      <c r="B17822" s="11"/>
    </row>
    <row r="17823" spans="2:2" x14ac:dyDescent="0.25">
      <c r="B17823" s="11"/>
    </row>
    <row r="17824" spans="2:2" x14ac:dyDescent="0.25">
      <c r="B17824" s="11"/>
    </row>
    <row r="17825" spans="2:2" x14ac:dyDescent="0.25">
      <c r="B17825" s="11"/>
    </row>
    <row r="17826" spans="2:2" x14ac:dyDescent="0.25">
      <c r="B17826" s="11"/>
    </row>
    <row r="17827" spans="2:2" x14ac:dyDescent="0.25">
      <c r="B17827" s="11"/>
    </row>
    <row r="17828" spans="2:2" x14ac:dyDescent="0.25">
      <c r="B17828" s="11"/>
    </row>
    <row r="17829" spans="2:2" x14ac:dyDescent="0.25">
      <c r="B17829" s="11"/>
    </row>
    <row r="17830" spans="2:2" x14ac:dyDescent="0.25">
      <c r="B17830" s="11"/>
    </row>
    <row r="17831" spans="2:2" x14ac:dyDescent="0.25">
      <c r="B17831" s="11"/>
    </row>
    <row r="17832" spans="2:2" x14ac:dyDescent="0.25">
      <c r="B17832" s="11"/>
    </row>
    <row r="17833" spans="2:2" x14ac:dyDescent="0.25">
      <c r="B17833" s="11"/>
    </row>
    <row r="17834" spans="2:2" x14ac:dyDescent="0.25">
      <c r="B17834" s="11"/>
    </row>
    <row r="17835" spans="2:2" x14ac:dyDescent="0.25">
      <c r="B17835" s="11"/>
    </row>
    <row r="17836" spans="2:2" x14ac:dyDescent="0.25">
      <c r="B17836" s="11"/>
    </row>
    <row r="17837" spans="2:2" x14ac:dyDescent="0.25">
      <c r="B17837" s="11"/>
    </row>
    <row r="17838" spans="2:2" x14ac:dyDescent="0.25">
      <c r="B17838" s="11"/>
    </row>
    <row r="17839" spans="2:2" x14ac:dyDescent="0.25">
      <c r="B17839" s="11"/>
    </row>
    <row r="17840" spans="2:2" x14ac:dyDescent="0.25">
      <c r="B17840" s="11"/>
    </row>
    <row r="17841" spans="2:2" x14ac:dyDescent="0.25">
      <c r="B17841" s="11"/>
    </row>
    <row r="17842" spans="2:2" x14ac:dyDescent="0.25">
      <c r="B17842" s="11"/>
    </row>
    <row r="17843" spans="2:2" x14ac:dyDescent="0.25">
      <c r="B17843" s="11"/>
    </row>
    <row r="17844" spans="2:2" x14ac:dyDescent="0.25">
      <c r="B17844" s="11"/>
    </row>
    <row r="17845" spans="2:2" x14ac:dyDescent="0.25">
      <c r="B17845" s="11"/>
    </row>
    <row r="17846" spans="2:2" x14ac:dyDescent="0.25">
      <c r="B17846" s="11"/>
    </row>
    <row r="17847" spans="2:2" x14ac:dyDescent="0.25">
      <c r="B17847" s="11"/>
    </row>
    <row r="17848" spans="2:2" x14ac:dyDescent="0.25">
      <c r="B17848" s="11"/>
    </row>
    <row r="17849" spans="2:2" x14ac:dyDescent="0.25">
      <c r="B17849" s="11"/>
    </row>
    <row r="17850" spans="2:2" x14ac:dyDescent="0.25">
      <c r="B17850" s="11"/>
    </row>
    <row r="17851" spans="2:2" x14ac:dyDescent="0.25">
      <c r="B17851" s="11"/>
    </row>
    <row r="17852" spans="2:2" x14ac:dyDescent="0.25">
      <c r="B17852" s="11"/>
    </row>
    <row r="17853" spans="2:2" x14ac:dyDescent="0.25">
      <c r="B17853" s="11"/>
    </row>
    <row r="17854" spans="2:2" x14ac:dyDescent="0.25">
      <c r="B17854" s="11"/>
    </row>
    <row r="17855" spans="2:2" x14ac:dyDescent="0.25">
      <c r="B17855" s="11"/>
    </row>
    <row r="17856" spans="2:2" x14ac:dyDescent="0.25">
      <c r="B17856" s="11"/>
    </row>
    <row r="17857" spans="2:2" x14ac:dyDescent="0.25">
      <c r="B17857" s="11"/>
    </row>
    <row r="17858" spans="2:2" x14ac:dyDescent="0.25">
      <c r="B17858" s="11"/>
    </row>
    <row r="17859" spans="2:2" x14ac:dyDescent="0.25">
      <c r="B17859" s="11"/>
    </row>
    <row r="17860" spans="2:2" x14ac:dyDescent="0.25">
      <c r="B17860" s="11"/>
    </row>
    <row r="17861" spans="2:2" x14ac:dyDescent="0.25">
      <c r="B17861" s="11"/>
    </row>
    <row r="17862" spans="2:2" x14ac:dyDescent="0.25">
      <c r="B17862" s="11"/>
    </row>
    <row r="17863" spans="2:2" x14ac:dyDescent="0.25">
      <c r="B17863" s="11"/>
    </row>
    <row r="17864" spans="2:2" x14ac:dyDescent="0.25">
      <c r="B17864" s="11"/>
    </row>
    <row r="17865" spans="2:2" x14ac:dyDescent="0.25">
      <c r="B17865" s="11"/>
    </row>
    <row r="17866" spans="2:2" x14ac:dyDescent="0.25">
      <c r="B17866" s="11"/>
    </row>
    <row r="17867" spans="2:2" x14ac:dyDescent="0.25">
      <c r="B17867" s="11"/>
    </row>
    <row r="17868" spans="2:2" x14ac:dyDescent="0.25">
      <c r="B17868" s="11"/>
    </row>
    <row r="17869" spans="2:2" x14ac:dyDescent="0.25">
      <c r="B17869" s="11"/>
    </row>
    <row r="17870" spans="2:2" x14ac:dyDescent="0.25">
      <c r="B17870" s="11"/>
    </row>
    <row r="17871" spans="2:2" x14ac:dyDescent="0.25">
      <c r="B17871" s="11"/>
    </row>
    <row r="17872" spans="2:2" x14ac:dyDescent="0.25">
      <c r="B17872" s="11"/>
    </row>
    <row r="17873" spans="2:2" x14ac:dyDescent="0.25">
      <c r="B17873" s="11"/>
    </row>
    <row r="17874" spans="2:2" x14ac:dyDescent="0.25">
      <c r="B17874" s="11"/>
    </row>
    <row r="17875" spans="2:2" x14ac:dyDescent="0.25">
      <c r="B17875" s="11"/>
    </row>
    <row r="17876" spans="2:2" x14ac:dyDescent="0.25">
      <c r="B17876" s="11"/>
    </row>
    <row r="17877" spans="2:2" x14ac:dyDescent="0.25">
      <c r="B17877" s="11"/>
    </row>
    <row r="17878" spans="2:2" x14ac:dyDescent="0.25">
      <c r="B17878" s="11"/>
    </row>
    <row r="17879" spans="2:2" x14ac:dyDescent="0.25">
      <c r="B17879" s="11"/>
    </row>
    <row r="17880" spans="2:2" x14ac:dyDescent="0.25">
      <c r="B17880" s="11"/>
    </row>
    <row r="17881" spans="2:2" x14ac:dyDescent="0.25">
      <c r="B17881" s="11"/>
    </row>
    <row r="17882" spans="2:2" x14ac:dyDescent="0.25">
      <c r="B17882" s="11"/>
    </row>
    <row r="17883" spans="2:2" x14ac:dyDescent="0.25">
      <c r="B17883" s="11"/>
    </row>
    <row r="17884" spans="2:2" x14ac:dyDescent="0.25">
      <c r="B17884" s="11"/>
    </row>
    <row r="17885" spans="2:2" x14ac:dyDescent="0.25">
      <c r="B17885" s="11"/>
    </row>
    <row r="17886" spans="2:2" x14ac:dyDescent="0.25">
      <c r="B17886" s="11"/>
    </row>
    <row r="17887" spans="2:2" x14ac:dyDescent="0.25">
      <c r="B17887" s="11"/>
    </row>
    <row r="17888" spans="2:2" x14ac:dyDescent="0.25">
      <c r="B17888" s="11"/>
    </row>
    <row r="17889" spans="2:2" x14ac:dyDescent="0.25">
      <c r="B17889" s="11"/>
    </row>
    <row r="17890" spans="2:2" x14ac:dyDescent="0.25">
      <c r="B17890" s="11"/>
    </row>
    <row r="17891" spans="2:2" x14ac:dyDescent="0.25">
      <c r="B17891" s="11"/>
    </row>
    <row r="17892" spans="2:2" x14ac:dyDescent="0.25">
      <c r="B17892" s="11"/>
    </row>
    <row r="17893" spans="2:2" x14ac:dyDescent="0.25">
      <c r="B17893" s="11"/>
    </row>
    <row r="17894" spans="2:2" x14ac:dyDescent="0.25">
      <c r="B17894" s="11"/>
    </row>
    <row r="17895" spans="2:2" x14ac:dyDescent="0.25">
      <c r="B17895" s="11"/>
    </row>
    <row r="17896" spans="2:2" x14ac:dyDescent="0.25">
      <c r="B17896" s="11"/>
    </row>
    <row r="17897" spans="2:2" x14ac:dyDescent="0.25">
      <c r="B17897" s="11"/>
    </row>
    <row r="17898" spans="2:2" x14ac:dyDescent="0.25">
      <c r="B17898" s="11"/>
    </row>
    <row r="17899" spans="2:2" x14ac:dyDescent="0.25">
      <c r="B17899" s="11"/>
    </row>
    <row r="17900" spans="2:2" x14ac:dyDescent="0.25">
      <c r="B17900" s="11"/>
    </row>
    <row r="17901" spans="2:2" x14ac:dyDescent="0.25">
      <c r="B17901" s="11"/>
    </row>
    <row r="17902" spans="2:2" x14ac:dyDescent="0.25">
      <c r="B17902" s="11"/>
    </row>
    <row r="17903" spans="2:2" x14ac:dyDescent="0.25">
      <c r="B17903" s="11"/>
    </row>
    <row r="17904" spans="2:2" x14ac:dyDescent="0.25">
      <c r="B17904" s="11"/>
    </row>
    <row r="17905" spans="2:2" x14ac:dyDescent="0.25">
      <c r="B17905" s="11"/>
    </row>
    <row r="17906" spans="2:2" x14ac:dyDescent="0.25">
      <c r="B17906" s="11"/>
    </row>
    <row r="17907" spans="2:2" x14ac:dyDescent="0.25">
      <c r="B17907" s="11"/>
    </row>
    <row r="17908" spans="2:2" x14ac:dyDescent="0.25">
      <c r="B17908" s="11"/>
    </row>
    <row r="17909" spans="2:2" x14ac:dyDescent="0.25">
      <c r="B17909" s="11"/>
    </row>
    <row r="17910" spans="2:2" x14ac:dyDescent="0.25">
      <c r="B17910" s="11"/>
    </row>
    <row r="17911" spans="2:2" x14ac:dyDescent="0.25">
      <c r="B17911" s="11"/>
    </row>
    <row r="17912" spans="2:2" x14ac:dyDescent="0.25">
      <c r="B17912" s="11"/>
    </row>
    <row r="17913" spans="2:2" x14ac:dyDescent="0.25">
      <c r="B17913" s="11"/>
    </row>
    <row r="17914" spans="2:2" x14ac:dyDescent="0.25">
      <c r="B17914" s="11"/>
    </row>
    <row r="17915" spans="2:2" x14ac:dyDescent="0.25">
      <c r="B17915" s="11"/>
    </row>
    <row r="17916" spans="2:2" x14ac:dyDescent="0.25">
      <c r="B17916" s="11"/>
    </row>
    <row r="17917" spans="2:2" x14ac:dyDescent="0.25">
      <c r="B17917" s="11"/>
    </row>
    <row r="17918" spans="2:2" x14ac:dyDescent="0.25">
      <c r="B17918" s="11"/>
    </row>
    <row r="17919" spans="2:2" x14ac:dyDescent="0.25">
      <c r="B17919" s="11"/>
    </row>
    <row r="17920" spans="2:2" x14ac:dyDescent="0.25">
      <c r="B17920" s="11"/>
    </row>
    <row r="17921" spans="2:2" x14ac:dyDescent="0.25">
      <c r="B17921" s="11"/>
    </row>
    <row r="17922" spans="2:2" x14ac:dyDescent="0.25">
      <c r="B17922" s="11"/>
    </row>
    <row r="17923" spans="2:2" x14ac:dyDescent="0.25">
      <c r="B17923" s="11"/>
    </row>
    <row r="17924" spans="2:2" x14ac:dyDescent="0.25">
      <c r="B17924" s="11"/>
    </row>
    <row r="17925" spans="2:2" x14ac:dyDescent="0.25">
      <c r="B17925" s="11"/>
    </row>
    <row r="17926" spans="2:2" x14ac:dyDescent="0.25">
      <c r="B17926" s="11"/>
    </row>
    <row r="17927" spans="2:2" x14ac:dyDescent="0.25">
      <c r="B17927" s="11"/>
    </row>
    <row r="17928" spans="2:2" x14ac:dyDescent="0.25">
      <c r="B17928" s="11"/>
    </row>
    <row r="17929" spans="2:2" x14ac:dyDescent="0.25">
      <c r="B17929" s="11"/>
    </row>
    <row r="17930" spans="2:2" x14ac:dyDescent="0.25">
      <c r="B17930" s="11"/>
    </row>
    <row r="17931" spans="2:2" x14ac:dyDescent="0.25">
      <c r="B17931" s="11"/>
    </row>
    <row r="17932" spans="2:2" x14ac:dyDescent="0.25">
      <c r="B17932" s="11"/>
    </row>
    <row r="17933" spans="2:2" x14ac:dyDescent="0.25">
      <c r="B17933" s="11"/>
    </row>
    <row r="17934" spans="2:2" x14ac:dyDescent="0.25">
      <c r="B17934" s="11"/>
    </row>
    <row r="17935" spans="2:2" x14ac:dyDescent="0.25">
      <c r="B17935" s="11"/>
    </row>
    <row r="17936" spans="2:2" x14ac:dyDescent="0.25">
      <c r="B17936" s="11"/>
    </row>
    <row r="17937" spans="2:2" x14ac:dyDescent="0.25">
      <c r="B17937" s="11"/>
    </row>
    <row r="17938" spans="2:2" x14ac:dyDescent="0.25">
      <c r="B17938" s="11"/>
    </row>
    <row r="17939" spans="2:2" x14ac:dyDescent="0.25">
      <c r="B17939" s="11"/>
    </row>
    <row r="17940" spans="2:2" x14ac:dyDescent="0.25">
      <c r="B17940" s="11"/>
    </row>
    <row r="17941" spans="2:2" x14ac:dyDescent="0.25">
      <c r="B17941" s="11"/>
    </row>
    <row r="17942" spans="2:2" x14ac:dyDescent="0.25">
      <c r="B17942" s="11"/>
    </row>
    <row r="17943" spans="2:2" x14ac:dyDescent="0.25">
      <c r="B17943" s="11"/>
    </row>
    <row r="17944" spans="2:2" x14ac:dyDescent="0.25">
      <c r="B17944" s="11"/>
    </row>
    <row r="17945" spans="2:2" x14ac:dyDescent="0.25">
      <c r="B17945" s="11"/>
    </row>
    <row r="17946" spans="2:2" x14ac:dyDescent="0.25">
      <c r="B17946" s="11"/>
    </row>
    <row r="17947" spans="2:2" x14ac:dyDescent="0.25">
      <c r="B17947" s="11"/>
    </row>
    <row r="17948" spans="2:2" x14ac:dyDescent="0.25">
      <c r="B17948" s="11"/>
    </row>
    <row r="17949" spans="2:2" x14ac:dyDescent="0.25">
      <c r="B17949" s="11"/>
    </row>
    <row r="17950" spans="2:2" x14ac:dyDescent="0.25">
      <c r="B17950" s="11"/>
    </row>
    <row r="17951" spans="2:2" x14ac:dyDescent="0.25">
      <c r="B17951" s="11"/>
    </row>
    <row r="17952" spans="2:2" x14ac:dyDescent="0.25">
      <c r="B17952" s="11"/>
    </row>
    <row r="17953" spans="2:2" x14ac:dyDescent="0.25">
      <c r="B17953" s="11"/>
    </row>
    <row r="17954" spans="2:2" x14ac:dyDescent="0.25">
      <c r="B17954" s="11"/>
    </row>
    <row r="17955" spans="2:2" x14ac:dyDescent="0.25">
      <c r="B17955" s="11"/>
    </row>
    <row r="17956" spans="2:2" x14ac:dyDescent="0.25">
      <c r="B17956" s="11"/>
    </row>
    <row r="17957" spans="2:2" x14ac:dyDescent="0.25">
      <c r="B17957" s="11"/>
    </row>
    <row r="17958" spans="2:2" x14ac:dyDescent="0.25">
      <c r="B17958" s="11"/>
    </row>
    <row r="17959" spans="2:2" x14ac:dyDescent="0.25">
      <c r="B17959" s="11"/>
    </row>
    <row r="17960" spans="2:2" x14ac:dyDescent="0.25">
      <c r="B17960" s="11"/>
    </row>
    <row r="17961" spans="2:2" x14ac:dyDescent="0.25">
      <c r="B17961" s="11"/>
    </row>
    <row r="17962" spans="2:2" x14ac:dyDescent="0.25">
      <c r="B17962" s="11"/>
    </row>
    <row r="17963" spans="2:2" x14ac:dyDescent="0.25">
      <c r="B17963" s="11"/>
    </row>
    <row r="17964" spans="2:2" x14ac:dyDescent="0.25">
      <c r="B17964" s="11"/>
    </row>
    <row r="17965" spans="2:2" x14ac:dyDescent="0.25">
      <c r="B17965" s="11"/>
    </row>
    <row r="17966" spans="2:2" x14ac:dyDescent="0.25">
      <c r="B17966" s="11"/>
    </row>
    <row r="17967" spans="2:2" x14ac:dyDescent="0.25">
      <c r="B17967" s="11"/>
    </row>
    <row r="17968" spans="2:2" x14ac:dyDescent="0.25">
      <c r="B17968" s="11"/>
    </row>
    <row r="17969" spans="2:2" x14ac:dyDescent="0.25">
      <c r="B17969" s="11"/>
    </row>
    <row r="17970" spans="2:2" x14ac:dyDescent="0.25">
      <c r="B17970" s="11"/>
    </row>
    <row r="17971" spans="2:2" x14ac:dyDescent="0.25">
      <c r="B17971" s="11"/>
    </row>
    <row r="17972" spans="2:2" x14ac:dyDescent="0.25">
      <c r="B17972" s="11"/>
    </row>
    <row r="17973" spans="2:2" x14ac:dyDescent="0.25">
      <c r="B17973" s="11"/>
    </row>
    <row r="17974" spans="2:2" x14ac:dyDescent="0.25">
      <c r="B17974" s="11"/>
    </row>
    <row r="17975" spans="2:2" x14ac:dyDescent="0.25">
      <c r="B17975" s="11"/>
    </row>
    <row r="17976" spans="2:2" x14ac:dyDescent="0.25">
      <c r="B17976" s="11"/>
    </row>
    <row r="17977" spans="2:2" x14ac:dyDescent="0.25">
      <c r="B17977" s="11"/>
    </row>
    <row r="17978" spans="2:2" x14ac:dyDescent="0.25">
      <c r="B17978" s="11"/>
    </row>
    <row r="17979" spans="2:2" x14ac:dyDescent="0.25">
      <c r="B17979" s="11"/>
    </row>
    <row r="17980" spans="2:2" x14ac:dyDescent="0.25">
      <c r="B17980" s="11"/>
    </row>
    <row r="17981" spans="2:2" x14ac:dyDescent="0.25">
      <c r="B17981" s="11"/>
    </row>
    <row r="17982" spans="2:2" x14ac:dyDescent="0.25">
      <c r="B17982" s="11"/>
    </row>
    <row r="17983" spans="2:2" x14ac:dyDescent="0.25">
      <c r="B17983" s="11"/>
    </row>
    <row r="17984" spans="2:2" x14ac:dyDescent="0.25">
      <c r="B17984" s="11"/>
    </row>
    <row r="17985" spans="2:2" x14ac:dyDescent="0.25">
      <c r="B17985" s="11"/>
    </row>
    <row r="17986" spans="2:2" x14ac:dyDescent="0.25">
      <c r="B17986" s="11"/>
    </row>
    <row r="17987" spans="2:2" x14ac:dyDescent="0.25">
      <c r="B17987" s="11"/>
    </row>
    <row r="17988" spans="2:2" x14ac:dyDescent="0.25">
      <c r="B17988" s="11"/>
    </row>
    <row r="17989" spans="2:2" x14ac:dyDescent="0.25">
      <c r="B17989" s="11"/>
    </row>
    <row r="17990" spans="2:2" x14ac:dyDescent="0.25">
      <c r="B17990" s="11"/>
    </row>
    <row r="17991" spans="2:2" x14ac:dyDescent="0.25">
      <c r="B17991" s="11"/>
    </row>
    <row r="17992" spans="2:2" x14ac:dyDescent="0.25">
      <c r="B17992" s="11"/>
    </row>
    <row r="17993" spans="2:2" x14ac:dyDescent="0.25">
      <c r="B17993" s="11"/>
    </row>
    <row r="17994" spans="2:2" x14ac:dyDescent="0.25">
      <c r="B17994" s="11"/>
    </row>
    <row r="17995" spans="2:2" x14ac:dyDescent="0.25">
      <c r="B17995" s="11"/>
    </row>
    <row r="17996" spans="2:2" x14ac:dyDescent="0.25">
      <c r="B17996" s="11"/>
    </row>
    <row r="17997" spans="2:2" x14ac:dyDescent="0.25">
      <c r="B17997" s="11"/>
    </row>
    <row r="17998" spans="2:2" x14ac:dyDescent="0.25">
      <c r="B17998" s="11"/>
    </row>
    <row r="17999" spans="2:2" x14ac:dyDescent="0.25">
      <c r="B17999" s="11"/>
    </row>
    <row r="18000" spans="2:2" x14ac:dyDescent="0.25">
      <c r="B18000" s="11"/>
    </row>
    <row r="18001" spans="2:2" x14ac:dyDescent="0.25">
      <c r="B18001" s="11"/>
    </row>
    <row r="18002" spans="2:2" x14ac:dyDescent="0.25">
      <c r="B18002" s="11"/>
    </row>
    <row r="18003" spans="2:2" x14ac:dyDescent="0.25">
      <c r="B18003" s="11"/>
    </row>
    <row r="18004" spans="2:2" x14ac:dyDescent="0.25">
      <c r="B18004" s="11"/>
    </row>
    <row r="18005" spans="2:2" x14ac:dyDescent="0.25">
      <c r="B18005" s="11"/>
    </row>
    <row r="18006" spans="2:2" x14ac:dyDescent="0.25">
      <c r="B18006" s="11"/>
    </row>
    <row r="18007" spans="2:2" x14ac:dyDescent="0.25">
      <c r="B18007" s="11"/>
    </row>
    <row r="18008" spans="2:2" x14ac:dyDescent="0.25">
      <c r="B18008" s="11"/>
    </row>
    <row r="18009" spans="2:2" x14ac:dyDescent="0.25">
      <c r="B18009" s="11"/>
    </row>
    <row r="18010" spans="2:2" x14ac:dyDescent="0.25">
      <c r="B18010" s="11"/>
    </row>
    <row r="18011" spans="2:2" x14ac:dyDescent="0.25">
      <c r="B18011" s="11"/>
    </row>
    <row r="18012" spans="2:2" x14ac:dyDescent="0.25">
      <c r="B18012" s="11"/>
    </row>
    <row r="18013" spans="2:2" x14ac:dyDescent="0.25">
      <c r="B18013" s="11"/>
    </row>
    <row r="18014" spans="2:2" x14ac:dyDescent="0.25">
      <c r="B18014" s="11"/>
    </row>
    <row r="18015" spans="2:2" x14ac:dyDescent="0.25">
      <c r="B18015" s="11"/>
    </row>
    <row r="18016" spans="2:2" x14ac:dyDescent="0.25">
      <c r="B18016" s="11"/>
    </row>
    <row r="18017" spans="2:2" x14ac:dyDescent="0.25">
      <c r="B18017" s="11"/>
    </row>
    <row r="18018" spans="2:2" x14ac:dyDescent="0.25">
      <c r="B18018" s="11"/>
    </row>
    <row r="18019" spans="2:2" x14ac:dyDescent="0.25">
      <c r="B18019" s="11"/>
    </row>
    <row r="18020" spans="2:2" x14ac:dyDescent="0.25">
      <c r="B18020" s="11"/>
    </row>
    <row r="18021" spans="2:2" x14ac:dyDescent="0.25">
      <c r="B18021" s="11"/>
    </row>
    <row r="18022" spans="2:2" x14ac:dyDescent="0.25">
      <c r="B18022" s="11"/>
    </row>
    <row r="18023" spans="2:2" x14ac:dyDescent="0.25">
      <c r="B18023" s="11"/>
    </row>
    <row r="18024" spans="2:2" x14ac:dyDescent="0.25">
      <c r="B18024" s="11"/>
    </row>
    <row r="18025" spans="2:2" x14ac:dyDescent="0.25">
      <c r="B18025" s="11"/>
    </row>
    <row r="18026" spans="2:2" x14ac:dyDescent="0.25">
      <c r="B18026" s="11"/>
    </row>
    <row r="18027" spans="2:2" x14ac:dyDescent="0.25">
      <c r="B18027" s="11"/>
    </row>
    <row r="18028" spans="2:2" x14ac:dyDescent="0.25">
      <c r="B18028" s="11"/>
    </row>
    <row r="18029" spans="2:2" x14ac:dyDescent="0.25">
      <c r="B18029" s="11"/>
    </row>
    <row r="18030" spans="2:2" x14ac:dyDescent="0.25">
      <c r="B18030" s="11"/>
    </row>
    <row r="18031" spans="2:2" x14ac:dyDescent="0.25">
      <c r="B18031" s="11"/>
    </row>
    <row r="18032" spans="2:2" x14ac:dyDescent="0.25">
      <c r="B18032" s="11"/>
    </row>
    <row r="18033" spans="2:2" x14ac:dyDescent="0.25">
      <c r="B18033" s="11"/>
    </row>
    <row r="18034" spans="2:2" x14ac:dyDescent="0.25">
      <c r="B18034" s="11"/>
    </row>
    <row r="18035" spans="2:2" x14ac:dyDescent="0.25">
      <c r="B18035" s="11"/>
    </row>
    <row r="18036" spans="2:2" x14ac:dyDescent="0.25">
      <c r="B18036" s="11"/>
    </row>
    <row r="18037" spans="2:2" x14ac:dyDescent="0.25">
      <c r="B18037" s="11"/>
    </row>
    <row r="18038" spans="2:2" x14ac:dyDescent="0.25">
      <c r="B18038" s="11"/>
    </row>
    <row r="18039" spans="2:2" x14ac:dyDescent="0.25">
      <c r="B18039" s="11"/>
    </row>
    <row r="18040" spans="2:2" x14ac:dyDescent="0.25">
      <c r="B18040" s="11"/>
    </row>
    <row r="18041" spans="2:2" x14ac:dyDescent="0.25">
      <c r="B18041" s="11"/>
    </row>
    <row r="18042" spans="2:2" x14ac:dyDescent="0.25">
      <c r="B18042" s="11"/>
    </row>
    <row r="18043" spans="2:2" x14ac:dyDescent="0.25">
      <c r="B18043" s="11"/>
    </row>
    <row r="18044" spans="2:2" x14ac:dyDescent="0.25">
      <c r="B18044" s="11"/>
    </row>
    <row r="18045" spans="2:2" x14ac:dyDescent="0.25">
      <c r="B18045" s="11"/>
    </row>
    <row r="18046" spans="2:2" x14ac:dyDescent="0.25">
      <c r="B18046" s="11"/>
    </row>
    <row r="18047" spans="2:2" x14ac:dyDescent="0.25">
      <c r="B18047" s="11"/>
    </row>
    <row r="18048" spans="2:2" x14ac:dyDescent="0.25">
      <c r="B18048" s="11"/>
    </row>
    <row r="18049" spans="2:2" x14ac:dyDescent="0.25">
      <c r="B18049" s="11"/>
    </row>
    <row r="18050" spans="2:2" x14ac:dyDescent="0.25">
      <c r="B18050" s="11"/>
    </row>
    <row r="18051" spans="2:2" x14ac:dyDescent="0.25">
      <c r="B18051" s="11"/>
    </row>
    <row r="18052" spans="2:2" x14ac:dyDescent="0.25">
      <c r="B18052" s="11"/>
    </row>
    <row r="18053" spans="2:2" x14ac:dyDescent="0.25">
      <c r="B18053" s="11"/>
    </row>
    <row r="18054" spans="2:2" x14ac:dyDescent="0.25">
      <c r="B18054" s="11"/>
    </row>
    <row r="18055" spans="2:2" x14ac:dyDescent="0.25">
      <c r="B18055" s="11"/>
    </row>
    <row r="18056" spans="2:2" x14ac:dyDescent="0.25">
      <c r="B18056" s="11"/>
    </row>
    <row r="18057" spans="2:2" x14ac:dyDescent="0.25">
      <c r="B18057" s="11"/>
    </row>
    <row r="18058" spans="2:2" x14ac:dyDescent="0.25">
      <c r="B18058" s="11"/>
    </row>
    <row r="18059" spans="2:2" x14ac:dyDescent="0.25">
      <c r="B18059" s="11"/>
    </row>
    <row r="18060" spans="2:2" x14ac:dyDescent="0.25">
      <c r="B18060" s="11"/>
    </row>
    <row r="18061" spans="2:2" x14ac:dyDescent="0.25">
      <c r="B18061" s="11"/>
    </row>
    <row r="18062" spans="2:2" x14ac:dyDescent="0.25">
      <c r="B18062" s="11"/>
    </row>
    <row r="18063" spans="2:2" x14ac:dyDescent="0.25">
      <c r="B18063" s="11"/>
    </row>
    <row r="18064" spans="2:2" x14ac:dyDescent="0.25">
      <c r="B18064" s="11"/>
    </row>
    <row r="18065" spans="2:2" x14ac:dyDescent="0.25">
      <c r="B18065" s="11"/>
    </row>
    <row r="18066" spans="2:2" x14ac:dyDescent="0.25">
      <c r="B18066" s="11"/>
    </row>
    <row r="18067" spans="2:2" x14ac:dyDescent="0.25">
      <c r="B18067" s="11"/>
    </row>
    <row r="18068" spans="2:2" x14ac:dyDescent="0.25">
      <c r="B18068" s="11"/>
    </row>
    <row r="18069" spans="2:2" x14ac:dyDescent="0.25">
      <c r="B18069" s="11"/>
    </row>
    <row r="18070" spans="2:2" x14ac:dyDescent="0.25">
      <c r="B18070" s="11"/>
    </row>
    <row r="18071" spans="2:2" x14ac:dyDescent="0.25">
      <c r="B18071" s="11"/>
    </row>
    <row r="18072" spans="2:2" x14ac:dyDescent="0.25">
      <c r="B18072" s="11"/>
    </row>
    <row r="18073" spans="2:2" x14ac:dyDescent="0.25">
      <c r="B18073" s="11"/>
    </row>
    <row r="18074" spans="2:2" x14ac:dyDescent="0.25">
      <c r="B18074" s="11"/>
    </row>
    <row r="18075" spans="2:2" x14ac:dyDescent="0.25">
      <c r="B18075" s="11"/>
    </row>
    <row r="18076" spans="2:2" x14ac:dyDescent="0.25">
      <c r="B18076" s="11"/>
    </row>
    <row r="18077" spans="2:2" x14ac:dyDescent="0.25">
      <c r="B18077" s="11"/>
    </row>
    <row r="18078" spans="2:2" x14ac:dyDescent="0.25">
      <c r="B18078" s="11"/>
    </row>
    <row r="18079" spans="2:2" x14ac:dyDescent="0.25">
      <c r="B18079" s="11"/>
    </row>
    <row r="18080" spans="2:2" x14ac:dyDescent="0.25">
      <c r="B18080" s="11"/>
    </row>
    <row r="18081" spans="2:2" x14ac:dyDescent="0.25">
      <c r="B18081" s="11"/>
    </row>
    <row r="18082" spans="2:2" x14ac:dyDescent="0.25">
      <c r="B18082" s="11"/>
    </row>
    <row r="18083" spans="2:2" x14ac:dyDescent="0.25">
      <c r="B18083" s="11"/>
    </row>
    <row r="18084" spans="2:2" x14ac:dyDescent="0.25">
      <c r="B18084" s="11"/>
    </row>
    <row r="18085" spans="2:2" x14ac:dyDescent="0.25">
      <c r="B18085" s="11"/>
    </row>
    <row r="18086" spans="2:2" x14ac:dyDescent="0.25">
      <c r="B18086" s="11"/>
    </row>
    <row r="18087" spans="2:2" x14ac:dyDescent="0.25">
      <c r="B18087" s="11"/>
    </row>
    <row r="18088" spans="2:2" x14ac:dyDescent="0.25">
      <c r="B18088" s="11"/>
    </row>
    <row r="18089" spans="2:2" x14ac:dyDescent="0.25">
      <c r="B18089" s="11"/>
    </row>
    <row r="18090" spans="2:2" x14ac:dyDescent="0.25">
      <c r="B18090" s="11"/>
    </row>
    <row r="18091" spans="2:2" x14ac:dyDescent="0.25">
      <c r="B18091" s="11"/>
    </row>
    <row r="18092" spans="2:2" x14ac:dyDescent="0.25">
      <c r="B18092" s="11"/>
    </row>
    <row r="18093" spans="2:2" x14ac:dyDescent="0.25">
      <c r="B18093" s="11"/>
    </row>
    <row r="18094" spans="2:2" x14ac:dyDescent="0.25">
      <c r="B18094" s="11"/>
    </row>
    <row r="18095" spans="2:2" x14ac:dyDescent="0.25">
      <c r="B18095" s="11"/>
    </row>
    <row r="18096" spans="2:2" x14ac:dyDescent="0.25">
      <c r="B18096" s="11"/>
    </row>
    <row r="18097" spans="2:2" x14ac:dyDescent="0.25">
      <c r="B18097" s="11"/>
    </row>
    <row r="18098" spans="2:2" x14ac:dyDescent="0.25">
      <c r="B18098" s="11"/>
    </row>
    <row r="18099" spans="2:2" x14ac:dyDescent="0.25">
      <c r="B18099" s="11"/>
    </row>
    <row r="18100" spans="2:2" x14ac:dyDescent="0.25">
      <c r="B18100" s="11"/>
    </row>
    <row r="18101" spans="2:2" x14ac:dyDescent="0.25">
      <c r="B18101" s="11"/>
    </row>
    <row r="18102" spans="2:2" x14ac:dyDescent="0.25">
      <c r="B18102" s="11"/>
    </row>
    <row r="18103" spans="2:2" x14ac:dyDescent="0.25">
      <c r="B18103" s="11"/>
    </row>
    <row r="18104" spans="2:2" x14ac:dyDescent="0.25">
      <c r="B18104" s="11"/>
    </row>
    <row r="18105" spans="2:2" x14ac:dyDescent="0.25">
      <c r="B18105" s="11"/>
    </row>
    <row r="18106" spans="2:2" x14ac:dyDescent="0.25">
      <c r="B18106" s="11"/>
    </row>
    <row r="18107" spans="2:2" x14ac:dyDescent="0.25">
      <c r="B18107" s="11"/>
    </row>
    <row r="18108" spans="2:2" x14ac:dyDescent="0.25">
      <c r="B18108" s="11"/>
    </row>
    <row r="18109" spans="2:2" x14ac:dyDescent="0.25">
      <c r="B18109" s="11"/>
    </row>
    <row r="18110" spans="2:2" x14ac:dyDescent="0.25">
      <c r="B18110" s="11"/>
    </row>
    <row r="18111" spans="2:2" x14ac:dyDescent="0.25">
      <c r="B18111" s="11"/>
    </row>
    <row r="18112" spans="2:2" x14ac:dyDescent="0.25">
      <c r="B18112" s="11"/>
    </row>
    <row r="18113" spans="2:2" x14ac:dyDescent="0.25">
      <c r="B18113" s="11"/>
    </row>
    <row r="18114" spans="2:2" x14ac:dyDescent="0.25">
      <c r="B18114" s="11"/>
    </row>
    <row r="18115" spans="2:2" x14ac:dyDescent="0.25">
      <c r="B18115" s="11"/>
    </row>
    <row r="18116" spans="2:2" x14ac:dyDescent="0.25">
      <c r="B18116" s="11"/>
    </row>
    <row r="18117" spans="2:2" x14ac:dyDescent="0.25">
      <c r="B18117" s="11"/>
    </row>
    <row r="18118" spans="2:2" x14ac:dyDescent="0.25">
      <c r="B18118" s="11"/>
    </row>
    <row r="18119" spans="2:2" x14ac:dyDescent="0.25">
      <c r="B18119" s="11"/>
    </row>
    <row r="18120" spans="2:2" x14ac:dyDescent="0.25">
      <c r="B18120" s="11"/>
    </row>
    <row r="18121" spans="2:2" x14ac:dyDescent="0.25">
      <c r="B18121" s="11"/>
    </row>
    <row r="18122" spans="2:2" x14ac:dyDescent="0.25">
      <c r="B18122" s="11"/>
    </row>
    <row r="18123" spans="2:2" x14ac:dyDescent="0.25">
      <c r="B18123" s="11"/>
    </row>
    <row r="18124" spans="2:2" x14ac:dyDescent="0.25">
      <c r="B18124" s="11"/>
    </row>
    <row r="18125" spans="2:2" x14ac:dyDescent="0.25">
      <c r="B18125" s="11"/>
    </row>
    <row r="18126" spans="2:2" x14ac:dyDescent="0.25">
      <c r="B18126" s="11"/>
    </row>
    <row r="18127" spans="2:2" x14ac:dyDescent="0.25">
      <c r="B18127" s="11"/>
    </row>
    <row r="18128" spans="2:2" x14ac:dyDescent="0.25">
      <c r="B18128" s="11"/>
    </row>
    <row r="18129" spans="2:2" x14ac:dyDescent="0.25">
      <c r="B18129" s="11"/>
    </row>
    <row r="18130" spans="2:2" x14ac:dyDescent="0.25">
      <c r="B18130" s="11"/>
    </row>
    <row r="18131" spans="2:2" x14ac:dyDescent="0.25">
      <c r="B18131" s="11"/>
    </row>
    <row r="18132" spans="2:2" x14ac:dyDescent="0.25">
      <c r="B18132" s="11"/>
    </row>
    <row r="18133" spans="2:2" x14ac:dyDescent="0.25">
      <c r="B18133" s="11"/>
    </row>
    <row r="18134" spans="2:2" x14ac:dyDescent="0.25">
      <c r="B18134" s="11"/>
    </row>
    <row r="18135" spans="2:2" x14ac:dyDescent="0.25">
      <c r="B18135" s="11"/>
    </row>
    <row r="18136" spans="2:2" x14ac:dyDescent="0.25">
      <c r="B18136" s="11"/>
    </row>
    <row r="18137" spans="2:2" x14ac:dyDescent="0.25">
      <c r="B18137" s="11"/>
    </row>
    <row r="18138" spans="2:2" x14ac:dyDescent="0.25">
      <c r="B18138" s="11"/>
    </row>
    <row r="18139" spans="2:2" x14ac:dyDescent="0.25">
      <c r="B18139" s="11"/>
    </row>
    <row r="18140" spans="2:2" x14ac:dyDescent="0.25">
      <c r="B18140" s="11"/>
    </row>
    <row r="18141" spans="2:2" x14ac:dyDescent="0.25">
      <c r="B18141" s="11"/>
    </row>
    <row r="18142" spans="2:2" x14ac:dyDescent="0.25">
      <c r="B18142" s="11"/>
    </row>
    <row r="18143" spans="2:2" x14ac:dyDescent="0.25">
      <c r="B18143" s="11"/>
    </row>
    <row r="18144" spans="2:2" x14ac:dyDescent="0.25">
      <c r="B18144" s="11"/>
    </row>
    <row r="18145" spans="2:2" x14ac:dyDescent="0.25">
      <c r="B18145" s="11"/>
    </row>
    <row r="18146" spans="2:2" x14ac:dyDescent="0.25">
      <c r="B18146" s="11"/>
    </row>
    <row r="18147" spans="2:2" x14ac:dyDescent="0.25">
      <c r="B18147" s="11"/>
    </row>
    <row r="18148" spans="2:2" x14ac:dyDescent="0.25">
      <c r="B18148" s="11"/>
    </row>
    <row r="18149" spans="2:2" x14ac:dyDescent="0.25">
      <c r="B18149" s="11"/>
    </row>
    <row r="18150" spans="2:2" x14ac:dyDescent="0.25">
      <c r="B18150" s="11"/>
    </row>
    <row r="18151" spans="2:2" x14ac:dyDescent="0.25">
      <c r="B18151" s="11"/>
    </row>
    <row r="18152" spans="2:2" x14ac:dyDescent="0.25">
      <c r="B18152" s="11"/>
    </row>
    <row r="18153" spans="2:2" x14ac:dyDescent="0.25">
      <c r="B18153" s="11"/>
    </row>
    <row r="18154" spans="2:2" x14ac:dyDescent="0.25">
      <c r="B18154" s="11"/>
    </row>
    <row r="18155" spans="2:2" x14ac:dyDescent="0.25">
      <c r="B18155" s="11"/>
    </row>
    <row r="18156" spans="2:2" x14ac:dyDescent="0.25">
      <c r="B18156" s="11"/>
    </row>
    <row r="18157" spans="2:2" x14ac:dyDescent="0.25">
      <c r="B18157" s="11"/>
    </row>
    <row r="18158" spans="2:2" x14ac:dyDescent="0.25">
      <c r="B18158" s="11"/>
    </row>
    <row r="18159" spans="2:2" x14ac:dyDescent="0.25">
      <c r="B18159" s="11"/>
    </row>
    <row r="18160" spans="2:2" x14ac:dyDescent="0.25">
      <c r="B18160" s="11"/>
    </row>
    <row r="18161" spans="2:2" x14ac:dyDescent="0.25">
      <c r="B18161" s="11"/>
    </row>
    <row r="18162" spans="2:2" x14ac:dyDescent="0.25">
      <c r="B18162" s="11"/>
    </row>
    <row r="18163" spans="2:2" x14ac:dyDescent="0.25">
      <c r="B18163" s="11"/>
    </row>
    <row r="18164" spans="2:2" x14ac:dyDescent="0.25">
      <c r="B18164" s="11"/>
    </row>
    <row r="18165" spans="2:2" x14ac:dyDescent="0.25">
      <c r="B18165" s="11"/>
    </row>
    <row r="18166" spans="2:2" x14ac:dyDescent="0.25">
      <c r="B18166" s="11"/>
    </row>
    <row r="18167" spans="2:2" x14ac:dyDescent="0.25">
      <c r="B18167" s="11"/>
    </row>
    <row r="18168" spans="2:2" x14ac:dyDescent="0.25">
      <c r="B18168" s="11"/>
    </row>
    <row r="18169" spans="2:2" x14ac:dyDescent="0.25">
      <c r="B18169" s="11"/>
    </row>
    <row r="18170" spans="2:2" x14ac:dyDescent="0.25">
      <c r="B18170" s="11"/>
    </row>
    <row r="18171" spans="2:2" x14ac:dyDescent="0.25">
      <c r="B18171" s="11"/>
    </row>
    <row r="18172" spans="2:2" x14ac:dyDescent="0.25">
      <c r="B18172" s="11"/>
    </row>
    <row r="18173" spans="2:2" x14ac:dyDescent="0.25">
      <c r="B18173" s="11"/>
    </row>
    <row r="18174" spans="2:2" x14ac:dyDescent="0.25">
      <c r="B18174" s="11"/>
    </row>
    <row r="18175" spans="2:2" x14ac:dyDescent="0.25">
      <c r="B18175" s="11"/>
    </row>
    <row r="18176" spans="2:2" x14ac:dyDescent="0.25">
      <c r="B18176" s="11"/>
    </row>
    <row r="18177" spans="2:2" x14ac:dyDescent="0.25">
      <c r="B18177" s="11"/>
    </row>
    <row r="18178" spans="2:2" x14ac:dyDescent="0.25">
      <c r="B18178" s="11"/>
    </row>
    <row r="18179" spans="2:2" x14ac:dyDescent="0.25">
      <c r="B18179" s="11"/>
    </row>
    <row r="18180" spans="2:2" x14ac:dyDescent="0.25">
      <c r="B18180" s="11"/>
    </row>
    <row r="18181" spans="2:2" x14ac:dyDescent="0.25">
      <c r="B18181" s="11"/>
    </row>
    <row r="18182" spans="2:2" x14ac:dyDescent="0.25">
      <c r="B18182" s="11"/>
    </row>
    <row r="18183" spans="2:2" x14ac:dyDescent="0.25">
      <c r="B18183" s="11"/>
    </row>
    <row r="18184" spans="2:2" x14ac:dyDescent="0.25">
      <c r="B18184" s="11"/>
    </row>
    <row r="18185" spans="2:2" x14ac:dyDescent="0.25">
      <c r="B18185" s="11"/>
    </row>
    <row r="18186" spans="2:2" x14ac:dyDescent="0.25">
      <c r="B18186" s="11"/>
    </row>
    <row r="18187" spans="2:2" x14ac:dyDescent="0.25">
      <c r="B18187" s="11"/>
    </row>
    <row r="18188" spans="2:2" x14ac:dyDescent="0.25">
      <c r="B18188" s="11"/>
    </row>
    <row r="18189" spans="2:2" x14ac:dyDescent="0.25">
      <c r="B18189" s="11"/>
    </row>
    <row r="18190" spans="2:2" x14ac:dyDescent="0.25">
      <c r="B18190" s="11"/>
    </row>
    <row r="18191" spans="2:2" x14ac:dyDescent="0.25">
      <c r="B18191" s="11"/>
    </row>
    <row r="18192" spans="2:2" x14ac:dyDescent="0.25">
      <c r="B18192" s="11"/>
    </row>
    <row r="18193" spans="2:2" x14ac:dyDescent="0.25">
      <c r="B18193" s="11"/>
    </row>
    <row r="18194" spans="2:2" x14ac:dyDescent="0.25">
      <c r="B18194" s="11"/>
    </row>
    <row r="18195" spans="2:2" x14ac:dyDescent="0.25">
      <c r="B18195" s="11"/>
    </row>
    <row r="18196" spans="2:2" x14ac:dyDescent="0.25">
      <c r="B18196" s="11"/>
    </row>
    <row r="18197" spans="2:2" x14ac:dyDescent="0.25">
      <c r="B18197" s="11"/>
    </row>
    <row r="18198" spans="2:2" x14ac:dyDescent="0.25">
      <c r="B18198" s="11"/>
    </row>
    <row r="18199" spans="2:2" x14ac:dyDescent="0.25">
      <c r="B18199" s="11"/>
    </row>
    <row r="18200" spans="2:2" x14ac:dyDescent="0.25">
      <c r="B18200" s="11"/>
    </row>
    <row r="18201" spans="2:2" x14ac:dyDescent="0.25">
      <c r="B18201" s="11"/>
    </row>
    <row r="18202" spans="2:2" x14ac:dyDescent="0.25">
      <c r="B18202" s="11"/>
    </row>
    <row r="18203" spans="2:2" x14ac:dyDescent="0.25">
      <c r="B18203" s="11"/>
    </row>
    <row r="18204" spans="2:2" x14ac:dyDescent="0.25">
      <c r="B18204" s="11"/>
    </row>
    <row r="18205" spans="2:2" x14ac:dyDescent="0.25">
      <c r="B18205" s="11"/>
    </row>
    <row r="18206" spans="2:2" x14ac:dyDescent="0.25">
      <c r="B18206" s="11"/>
    </row>
    <row r="18207" spans="2:2" x14ac:dyDescent="0.25">
      <c r="B18207" s="11"/>
    </row>
    <row r="18208" spans="2:2" x14ac:dyDescent="0.25">
      <c r="B18208" s="11"/>
    </row>
    <row r="18209" spans="2:2" x14ac:dyDescent="0.25">
      <c r="B18209" s="11"/>
    </row>
    <row r="18210" spans="2:2" x14ac:dyDescent="0.25">
      <c r="B18210" s="11"/>
    </row>
    <row r="18211" spans="2:2" x14ac:dyDescent="0.25">
      <c r="B18211" s="11"/>
    </row>
    <row r="18212" spans="2:2" x14ac:dyDescent="0.25">
      <c r="B18212" s="11"/>
    </row>
    <row r="18213" spans="2:2" x14ac:dyDescent="0.25">
      <c r="B18213" s="11"/>
    </row>
    <row r="18214" spans="2:2" x14ac:dyDescent="0.25">
      <c r="B18214" s="11"/>
    </row>
    <row r="18215" spans="2:2" x14ac:dyDescent="0.25">
      <c r="B18215" s="11"/>
    </row>
    <row r="18216" spans="2:2" x14ac:dyDescent="0.25">
      <c r="B18216" s="11"/>
    </row>
    <row r="18217" spans="2:2" x14ac:dyDescent="0.25">
      <c r="B18217" s="11"/>
    </row>
    <row r="18218" spans="2:2" x14ac:dyDescent="0.25">
      <c r="B18218" s="11"/>
    </row>
    <row r="18219" spans="2:2" x14ac:dyDescent="0.25">
      <c r="B18219" s="11"/>
    </row>
    <row r="18220" spans="2:2" x14ac:dyDescent="0.25">
      <c r="B18220" s="11"/>
    </row>
    <row r="18221" spans="2:2" x14ac:dyDescent="0.25">
      <c r="B18221" s="11"/>
    </row>
    <row r="18222" spans="2:2" x14ac:dyDescent="0.25">
      <c r="B18222" s="11"/>
    </row>
    <row r="18223" spans="2:2" x14ac:dyDescent="0.25">
      <c r="B18223" s="11"/>
    </row>
    <row r="18224" spans="2:2" x14ac:dyDescent="0.25">
      <c r="B18224" s="11"/>
    </row>
    <row r="18225" spans="2:2" x14ac:dyDescent="0.25">
      <c r="B18225" s="11"/>
    </row>
    <row r="18226" spans="2:2" x14ac:dyDescent="0.25">
      <c r="B18226" s="11"/>
    </row>
    <row r="18227" spans="2:2" x14ac:dyDescent="0.25">
      <c r="B18227" s="11"/>
    </row>
    <row r="18228" spans="2:2" x14ac:dyDescent="0.25">
      <c r="B18228" s="11"/>
    </row>
    <row r="18229" spans="2:2" x14ac:dyDescent="0.25">
      <c r="B18229" s="11"/>
    </row>
    <row r="18230" spans="2:2" x14ac:dyDescent="0.25">
      <c r="B18230" s="11"/>
    </row>
    <row r="18231" spans="2:2" x14ac:dyDescent="0.25">
      <c r="B18231" s="11"/>
    </row>
    <row r="18232" spans="2:2" x14ac:dyDescent="0.25">
      <c r="B18232" s="11"/>
    </row>
    <row r="18233" spans="2:2" x14ac:dyDescent="0.25">
      <c r="B18233" s="11"/>
    </row>
    <row r="18234" spans="2:2" x14ac:dyDescent="0.25">
      <c r="B18234" s="11"/>
    </row>
    <row r="18235" spans="2:2" x14ac:dyDescent="0.25">
      <c r="B18235" s="11"/>
    </row>
    <row r="18236" spans="2:2" x14ac:dyDescent="0.25">
      <c r="B18236" s="11"/>
    </row>
    <row r="18237" spans="2:2" x14ac:dyDescent="0.25">
      <c r="B18237" s="11"/>
    </row>
    <row r="18238" spans="2:2" x14ac:dyDescent="0.25">
      <c r="B18238" s="11"/>
    </row>
    <row r="18239" spans="2:2" x14ac:dyDescent="0.25">
      <c r="B18239" s="11"/>
    </row>
    <row r="18240" spans="2:2" x14ac:dyDescent="0.25">
      <c r="B18240" s="11"/>
    </row>
    <row r="18241" spans="2:2" x14ac:dyDescent="0.25">
      <c r="B18241" s="11"/>
    </row>
    <row r="18242" spans="2:2" x14ac:dyDescent="0.25">
      <c r="B18242" s="11"/>
    </row>
    <row r="18243" spans="2:2" x14ac:dyDescent="0.25">
      <c r="B18243" s="11"/>
    </row>
    <row r="18244" spans="2:2" x14ac:dyDescent="0.25">
      <c r="B18244" s="11"/>
    </row>
    <row r="18245" spans="2:2" x14ac:dyDescent="0.25">
      <c r="B18245" s="11"/>
    </row>
    <row r="18246" spans="2:2" x14ac:dyDescent="0.25">
      <c r="B18246" s="11"/>
    </row>
    <row r="18247" spans="2:2" x14ac:dyDescent="0.25">
      <c r="B18247" s="11"/>
    </row>
    <row r="18248" spans="2:2" x14ac:dyDescent="0.25">
      <c r="B18248" s="11"/>
    </row>
    <row r="18249" spans="2:2" x14ac:dyDescent="0.25">
      <c r="B18249" s="11"/>
    </row>
    <row r="18250" spans="2:2" x14ac:dyDescent="0.25">
      <c r="B18250" s="11"/>
    </row>
    <row r="18251" spans="2:2" x14ac:dyDescent="0.25">
      <c r="B18251" s="11"/>
    </row>
    <row r="18252" spans="2:2" x14ac:dyDescent="0.25">
      <c r="B18252" s="11"/>
    </row>
    <row r="18253" spans="2:2" x14ac:dyDescent="0.25">
      <c r="B18253" s="11"/>
    </row>
    <row r="18254" spans="2:2" x14ac:dyDescent="0.25">
      <c r="B18254" s="11"/>
    </row>
    <row r="18255" spans="2:2" x14ac:dyDescent="0.25">
      <c r="B18255" s="11"/>
    </row>
    <row r="18256" spans="2:2" x14ac:dyDescent="0.25">
      <c r="B18256" s="11"/>
    </row>
    <row r="18257" spans="2:2" x14ac:dyDescent="0.25">
      <c r="B18257" s="11"/>
    </row>
    <row r="18258" spans="2:2" x14ac:dyDescent="0.25">
      <c r="B18258" s="11"/>
    </row>
    <row r="18259" spans="2:2" x14ac:dyDescent="0.25">
      <c r="B18259" s="11"/>
    </row>
    <row r="18260" spans="2:2" x14ac:dyDescent="0.25">
      <c r="B18260" s="11"/>
    </row>
    <row r="18261" spans="2:2" x14ac:dyDescent="0.25">
      <c r="B18261" s="11"/>
    </row>
    <row r="18262" spans="2:2" x14ac:dyDescent="0.25">
      <c r="B18262" s="11"/>
    </row>
    <row r="18263" spans="2:2" x14ac:dyDescent="0.25">
      <c r="B18263" s="11"/>
    </row>
    <row r="18264" spans="2:2" x14ac:dyDescent="0.25">
      <c r="B18264" s="11"/>
    </row>
    <row r="18265" spans="2:2" x14ac:dyDescent="0.25">
      <c r="B18265" s="11"/>
    </row>
    <row r="18266" spans="2:2" x14ac:dyDescent="0.25">
      <c r="B18266" s="11"/>
    </row>
    <row r="18267" spans="2:2" x14ac:dyDescent="0.25">
      <c r="B18267" s="11"/>
    </row>
    <row r="18268" spans="2:2" x14ac:dyDescent="0.25">
      <c r="B18268" s="11"/>
    </row>
    <row r="18269" spans="2:2" x14ac:dyDescent="0.25">
      <c r="B18269" s="11"/>
    </row>
    <row r="18270" spans="2:2" x14ac:dyDescent="0.25">
      <c r="B18270" s="11"/>
    </row>
    <row r="18271" spans="2:2" x14ac:dyDescent="0.25">
      <c r="B18271" s="11"/>
    </row>
    <row r="18272" spans="2:2" x14ac:dyDescent="0.25">
      <c r="B18272" s="11"/>
    </row>
    <row r="18273" spans="2:2" x14ac:dyDescent="0.25">
      <c r="B18273" s="11"/>
    </row>
    <row r="18274" spans="2:2" x14ac:dyDescent="0.25">
      <c r="B18274" s="11"/>
    </row>
    <row r="18275" spans="2:2" x14ac:dyDescent="0.25">
      <c r="B18275" s="11"/>
    </row>
    <row r="18276" spans="2:2" x14ac:dyDescent="0.25">
      <c r="B18276" s="11"/>
    </row>
    <row r="18277" spans="2:2" x14ac:dyDescent="0.25">
      <c r="B18277" s="11"/>
    </row>
    <row r="18278" spans="2:2" x14ac:dyDescent="0.25">
      <c r="B18278" s="11"/>
    </row>
    <row r="18279" spans="2:2" x14ac:dyDescent="0.25">
      <c r="B18279" s="11"/>
    </row>
    <row r="18280" spans="2:2" x14ac:dyDescent="0.25">
      <c r="B18280" s="11"/>
    </row>
    <row r="18281" spans="2:2" x14ac:dyDescent="0.25">
      <c r="B18281" s="11"/>
    </row>
    <row r="18282" spans="2:2" x14ac:dyDescent="0.25">
      <c r="B18282" s="11"/>
    </row>
    <row r="18283" spans="2:2" x14ac:dyDescent="0.25">
      <c r="B18283" s="11"/>
    </row>
    <row r="18284" spans="2:2" x14ac:dyDescent="0.25">
      <c r="B18284" s="11"/>
    </row>
    <row r="18285" spans="2:2" x14ac:dyDescent="0.25">
      <c r="B18285" s="11"/>
    </row>
    <row r="18286" spans="2:2" x14ac:dyDescent="0.25">
      <c r="B18286" s="11"/>
    </row>
    <row r="18287" spans="2:2" x14ac:dyDescent="0.25">
      <c r="B18287" s="11"/>
    </row>
    <row r="18288" spans="2:2" x14ac:dyDescent="0.25">
      <c r="B18288" s="11"/>
    </row>
    <row r="18289" spans="2:2" x14ac:dyDescent="0.25">
      <c r="B18289" s="11"/>
    </row>
    <row r="18290" spans="2:2" x14ac:dyDescent="0.25">
      <c r="B18290" s="11"/>
    </row>
    <row r="18291" spans="2:2" x14ac:dyDescent="0.25">
      <c r="B18291" s="11"/>
    </row>
    <row r="18292" spans="2:2" x14ac:dyDescent="0.25">
      <c r="B18292" s="11"/>
    </row>
    <row r="18293" spans="2:2" x14ac:dyDescent="0.25">
      <c r="B18293" s="11"/>
    </row>
    <row r="18294" spans="2:2" x14ac:dyDescent="0.25">
      <c r="B18294" s="11"/>
    </row>
    <row r="18295" spans="2:2" x14ac:dyDescent="0.25">
      <c r="B18295" s="11"/>
    </row>
    <row r="18296" spans="2:2" x14ac:dyDescent="0.25">
      <c r="B18296" s="11"/>
    </row>
    <row r="18297" spans="2:2" x14ac:dyDescent="0.25">
      <c r="B18297" s="11"/>
    </row>
    <row r="18298" spans="2:2" x14ac:dyDescent="0.25">
      <c r="B18298" s="11"/>
    </row>
    <row r="18299" spans="2:2" x14ac:dyDescent="0.25">
      <c r="B18299" s="11"/>
    </row>
    <row r="18300" spans="2:2" x14ac:dyDescent="0.25">
      <c r="B18300" s="11"/>
    </row>
    <row r="18301" spans="2:2" x14ac:dyDescent="0.25">
      <c r="B18301" s="11"/>
    </row>
    <row r="18302" spans="2:2" x14ac:dyDescent="0.25">
      <c r="B18302" s="11"/>
    </row>
    <row r="18303" spans="2:2" x14ac:dyDescent="0.25">
      <c r="B18303" s="11"/>
    </row>
    <row r="18304" spans="2:2" x14ac:dyDescent="0.25">
      <c r="B18304" s="11"/>
    </row>
    <row r="18305" spans="2:2" x14ac:dyDescent="0.25">
      <c r="B18305" s="11"/>
    </row>
    <row r="18306" spans="2:2" x14ac:dyDescent="0.25">
      <c r="B18306" s="11"/>
    </row>
    <row r="18307" spans="2:2" x14ac:dyDescent="0.25">
      <c r="B18307" s="11"/>
    </row>
    <row r="18308" spans="2:2" x14ac:dyDescent="0.25">
      <c r="B18308" s="11"/>
    </row>
    <row r="18309" spans="2:2" x14ac:dyDescent="0.25">
      <c r="B18309" s="11"/>
    </row>
    <row r="18310" spans="2:2" x14ac:dyDescent="0.25">
      <c r="B18310" s="11"/>
    </row>
    <row r="18311" spans="2:2" x14ac:dyDescent="0.25">
      <c r="B18311" s="11"/>
    </row>
    <row r="18312" spans="2:2" x14ac:dyDescent="0.25">
      <c r="B18312" s="11"/>
    </row>
    <row r="18313" spans="2:2" x14ac:dyDescent="0.25">
      <c r="B18313" s="11"/>
    </row>
    <row r="18314" spans="2:2" x14ac:dyDescent="0.25">
      <c r="B18314" s="11"/>
    </row>
    <row r="18315" spans="2:2" x14ac:dyDescent="0.25">
      <c r="B18315" s="11"/>
    </row>
    <row r="18316" spans="2:2" x14ac:dyDescent="0.25">
      <c r="B18316" s="11"/>
    </row>
    <row r="18317" spans="2:2" x14ac:dyDescent="0.25">
      <c r="B18317" s="11"/>
    </row>
    <row r="18318" spans="2:2" x14ac:dyDescent="0.25">
      <c r="B18318" s="11"/>
    </row>
    <row r="18319" spans="2:2" x14ac:dyDescent="0.25">
      <c r="B18319" s="11"/>
    </row>
    <row r="18320" spans="2:2" x14ac:dyDescent="0.25">
      <c r="B18320" s="11"/>
    </row>
    <row r="18321" spans="2:2" x14ac:dyDescent="0.25">
      <c r="B18321" s="11"/>
    </row>
    <row r="18322" spans="2:2" x14ac:dyDescent="0.25">
      <c r="B18322" s="11"/>
    </row>
    <row r="18323" spans="2:2" x14ac:dyDescent="0.25">
      <c r="B18323" s="11"/>
    </row>
    <row r="18324" spans="2:2" x14ac:dyDescent="0.25">
      <c r="B18324" s="11"/>
    </row>
    <row r="18325" spans="2:2" x14ac:dyDescent="0.25">
      <c r="B18325" s="11"/>
    </row>
    <row r="18326" spans="2:2" x14ac:dyDescent="0.25">
      <c r="B18326" s="11"/>
    </row>
    <row r="18327" spans="2:2" x14ac:dyDescent="0.25">
      <c r="B18327" s="11"/>
    </row>
    <row r="18328" spans="2:2" x14ac:dyDescent="0.25">
      <c r="B18328" s="11"/>
    </row>
    <row r="18329" spans="2:2" x14ac:dyDescent="0.25">
      <c r="B18329" s="11"/>
    </row>
    <row r="18330" spans="2:2" x14ac:dyDescent="0.25">
      <c r="B18330" s="11"/>
    </row>
    <row r="18331" spans="2:2" x14ac:dyDescent="0.25">
      <c r="B18331" s="11"/>
    </row>
    <row r="18332" spans="2:2" x14ac:dyDescent="0.25">
      <c r="B18332" s="11"/>
    </row>
    <row r="18333" spans="2:2" x14ac:dyDescent="0.25">
      <c r="B18333" s="11"/>
    </row>
    <row r="18334" spans="2:2" x14ac:dyDescent="0.25">
      <c r="B18334" s="11"/>
    </row>
    <row r="18335" spans="2:2" x14ac:dyDescent="0.25">
      <c r="B18335" s="11"/>
    </row>
    <row r="18336" spans="2:2" x14ac:dyDescent="0.25">
      <c r="B18336" s="11"/>
    </row>
    <row r="18337" spans="2:2" x14ac:dyDescent="0.25">
      <c r="B18337" s="11"/>
    </row>
    <row r="18338" spans="2:2" x14ac:dyDescent="0.25">
      <c r="B18338" s="11"/>
    </row>
    <row r="18339" spans="2:2" x14ac:dyDescent="0.25">
      <c r="B18339" s="11"/>
    </row>
    <row r="18340" spans="2:2" x14ac:dyDescent="0.25">
      <c r="B18340" s="11"/>
    </row>
    <row r="18341" spans="2:2" x14ac:dyDescent="0.25">
      <c r="B18341" s="11"/>
    </row>
    <row r="18342" spans="2:2" x14ac:dyDescent="0.25">
      <c r="B18342" s="11"/>
    </row>
    <row r="18343" spans="2:2" x14ac:dyDescent="0.25">
      <c r="B18343" s="11"/>
    </row>
    <row r="18344" spans="2:2" x14ac:dyDescent="0.25">
      <c r="B18344" s="11"/>
    </row>
    <row r="18345" spans="2:2" x14ac:dyDescent="0.25">
      <c r="B18345" s="11"/>
    </row>
    <row r="18346" spans="2:2" x14ac:dyDescent="0.25">
      <c r="B18346" s="11"/>
    </row>
    <row r="18347" spans="2:2" x14ac:dyDescent="0.25">
      <c r="B18347" s="11"/>
    </row>
    <row r="18348" spans="2:2" x14ac:dyDescent="0.25">
      <c r="B18348" s="11"/>
    </row>
    <row r="18349" spans="2:2" x14ac:dyDescent="0.25">
      <c r="B18349" s="11"/>
    </row>
    <row r="18350" spans="2:2" x14ac:dyDescent="0.25">
      <c r="B18350" s="11"/>
    </row>
    <row r="18351" spans="2:2" x14ac:dyDescent="0.25">
      <c r="B18351" s="11"/>
    </row>
    <row r="18352" spans="2:2" x14ac:dyDescent="0.25">
      <c r="B18352" s="11"/>
    </row>
    <row r="18353" spans="2:2" x14ac:dyDescent="0.25">
      <c r="B18353" s="11"/>
    </row>
    <row r="18354" spans="2:2" x14ac:dyDescent="0.25">
      <c r="B18354" s="11"/>
    </row>
    <row r="18355" spans="2:2" x14ac:dyDescent="0.25">
      <c r="B18355" s="11"/>
    </row>
    <row r="18356" spans="2:2" x14ac:dyDescent="0.25">
      <c r="B18356" s="11"/>
    </row>
    <row r="18357" spans="2:2" x14ac:dyDescent="0.25">
      <c r="B18357" s="11"/>
    </row>
    <row r="18358" spans="2:2" x14ac:dyDescent="0.25">
      <c r="B18358" s="11"/>
    </row>
    <row r="18359" spans="2:2" x14ac:dyDescent="0.25">
      <c r="B18359" s="11"/>
    </row>
    <row r="18360" spans="2:2" x14ac:dyDescent="0.25">
      <c r="B18360" s="11"/>
    </row>
    <row r="18361" spans="2:2" x14ac:dyDescent="0.25">
      <c r="B18361" s="11"/>
    </row>
    <row r="18362" spans="2:2" x14ac:dyDescent="0.25">
      <c r="B18362" s="11"/>
    </row>
    <row r="18363" spans="2:2" x14ac:dyDescent="0.25">
      <c r="B18363" s="11"/>
    </row>
    <row r="18364" spans="2:2" x14ac:dyDescent="0.25">
      <c r="B18364" s="11"/>
    </row>
    <row r="18365" spans="2:2" x14ac:dyDescent="0.25">
      <c r="B18365" s="11"/>
    </row>
    <row r="18366" spans="2:2" x14ac:dyDescent="0.25">
      <c r="B18366" s="11"/>
    </row>
    <row r="18367" spans="2:2" x14ac:dyDescent="0.25">
      <c r="B18367" s="11"/>
    </row>
    <row r="18368" spans="2:2" x14ac:dyDescent="0.25">
      <c r="B18368" s="11"/>
    </row>
    <row r="18369" spans="2:2" x14ac:dyDescent="0.25">
      <c r="B18369" s="11"/>
    </row>
    <row r="18370" spans="2:2" x14ac:dyDescent="0.25">
      <c r="B18370" s="11"/>
    </row>
    <row r="18371" spans="2:2" x14ac:dyDescent="0.25">
      <c r="B18371" s="11"/>
    </row>
    <row r="18372" spans="2:2" x14ac:dyDescent="0.25">
      <c r="B18372" s="11"/>
    </row>
    <row r="18373" spans="2:2" x14ac:dyDescent="0.25">
      <c r="B18373" s="11"/>
    </row>
    <row r="18374" spans="2:2" x14ac:dyDescent="0.25">
      <c r="B18374" s="11"/>
    </row>
    <row r="18375" spans="2:2" x14ac:dyDescent="0.25">
      <c r="B18375" s="11"/>
    </row>
    <row r="18376" spans="2:2" x14ac:dyDescent="0.25">
      <c r="B18376" s="11"/>
    </row>
    <row r="18377" spans="2:2" x14ac:dyDescent="0.25">
      <c r="B18377" s="11"/>
    </row>
    <row r="18378" spans="2:2" x14ac:dyDescent="0.25">
      <c r="B18378" s="11"/>
    </row>
    <row r="18379" spans="2:2" x14ac:dyDescent="0.25">
      <c r="B18379" s="11"/>
    </row>
    <row r="18380" spans="2:2" x14ac:dyDescent="0.25">
      <c r="B18380" s="11"/>
    </row>
    <row r="18381" spans="2:2" x14ac:dyDescent="0.25">
      <c r="B18381" s="11"/>
    </row>
    <row r="18382" spans="2:2" x14ac:dyDescent="0.25">
      <c r="B18382" s="11"/>
    </row>
    <row r="18383" spans="2:2" x14ac:dyDescent="0.25">
      <c r="B18383" s="11"/>
    </row>
    <row r="18384" spans="2:2" x14ac:dyDescent="0.25">
      <c r="B18384" s="11"/>
    </row>
    <row r="18385" spans="2:2" x14ac:dyDescent="0.25">
      <c r="B18385" s="11"/>
    </row>
    <row r="18386" spans="2:2" x14ac:dyDescent="0.25">
      <c r="B18386" s="11"/>
    </row>
    <row r="18387" spans="2:2" x14ac:dyDescent="0.25">
      <c r="B18387" s="11"/>
    </row>
    <row r="18388" spans="2:2" x14ac:dyDescent="0.25">
      <c r="B18388" s="11"/>
    </row>
    <row r="18389" spans="2:2" x14ac:dyDescent="0.25">
      <c r="B18389" s="11"/>
    </row>
    <row r="18390" spans="2:2" x14ac:dyDescent="0.25">
      <c r="B18390" s="11"/>
    </row>
    <row r="18391" spans="2:2" x14ac:dyDescent="0.25">
      <c r="B18391" s="11"/>
    </row>
    <row r="18392" spans="2:2" x14ac:dyDescent="0.25">
      <c r="B18392" s="11"/>
    </row>
    <row r="18393" spans="2:2" x14ac:dyDescent="0.25">
      <c r="B18393" s="11"/>
    </row>
    <row r="18394" spans="2:2" x14ac:dyDescent="0.25">
      <c r="B18394" s="11"/>
    </row>
    <row r="18395" spans="2:2" x14ac:dyDescent="0.25">
      <c r="B18395" s="11"/>
    </row>
    <row r="18396" spans="2:2" x14ac:dyDescent="0.25">
      <c r="B18396" s="11"/>
    </row>
    <row r="18397" spans="2:2" x14ac:dyDescent="0.25">
      <c r="B18397" s="11"/>
    </row>
    <row r="18398" spans="2:2" x14ac:dyDescent="0.25">
      <c r="B18398" s="11"/>
    </row>
    <row r="18399" spans="2:2" x14ac:dyDescent="0.25">
      <c r="B18399" s="11"/>
    </row>
    <row r="18400" spans="2:2" x14ac:dyDescent="0.25">
      <c r="B18400" s="11"/>
    </row>
    <row r="18401" spans="2:2" x14ac:dyDescent="0.25">
      <c r="B18401" s="11"/>
    </row>
    <row r="18402" spans="2:2" x14ac:dyDescent="0.25">
      <c r="B18402" s="11"/>
    </row>
    <row r="18403" spans="2:2" x14ac:dyDescent="0.25">
      <c r="B18403" s="11"/>
    </row>
    <row r="18404" spans="2:2" x14ac:dyDescent="0.25">
      <c r="B18404" s="11"/>
    </row>
    <row r="18405" spans="2:2" x14ac:dyDescent="0.25">
      <c r="B18405" s="11"/>
    </row>
    <row r="18406" spans="2:2" x14ac:dyDescent="0.25">
      <c r="B18406" s="11"/>
    </row>
    <row r="18407" spans="2:2" x14ac:dyDescent="0.25">
      <c r="B18407" s="11"/>
    </row>
    <row r="18408" spans="2:2" x14ac:dyDescent="0.25">
      <c r="B18408" s="11"/>
    </row>
    <row r="18409" spans="2:2" x14ac:dyDescent="0.25">
      <c r="B18409" s="11"/>
    </row>
    <row r="18410" spans="2:2" x14ac:dyDescent="0.25">
      <c r="B18410" s="11"/>
    </row>
    <row r="18411" spans="2:2" x14ac:dyDescent="0.25">
      <c r="B18411" s="11"/>
    </row>
    <row r="18412" spans="2:2" x14ac:dyDescent="0.25">
      <c r="B18412" s="11"/>
    </row>
    <row r="18413" spans="2:2" x14ac:dyDescent="0.25">
      <c r="B18413" s="11"/>
    </row>
    <row r="18414" spans="2:2" x14ac:dyDescent="0.25">
      <c r="B18414" s="11"/>
    </row>
    <row r="18415" spans="2:2" x14ac:dyDescent="0.25">
      <c r="B18415" s="11"/>
    </row>
    <row r="18416" spans="2:2" x14ac:dyDescent="0.25">
      <c r="B18416" s="11"/>
    </row>
    <row r="18417" spans="2:2" x14ac:dyDescent="0.25">
      <c r="B18417" s="11"/>
    </row>
    <row r="18418" spans="2:2" x14ac:dyDescent="0.25">
      <c r="B18418" s="11"/>
    </row>
    <row r="18419" spans="2:2" x14ac:dyDescent="0.25">
      <c r="B18419" s="11"/>
    </row>
    <row r="18420" spans="2:2" x14ac:dyDescent="0.25">
      <c r="B18420" s="11"/>
    </row>
    <row r="18421" spans="2:2" x14ac:dyDescent="0.25">
      <c r="B18421" s="11"/>
    </row>
    <row r="18422" spans="2:2" x14ac:dyDescent="0.25">
      <c r="B18422" s="11"/>
    </row>
    <row r="18423" spans="2:2" x14ac:dyDescent="0.25">
      <c r="B18423" s="11"/>
    </row>
    <row r="18424" spans="2:2" x14ac:dyDescent="0.25">
      <c r="B18424" s="11"/>
    </row>
    <row r="18425" spans="2:2" x14ac:dyDescent="0.25">
      <c r="B18425" s="11"/>
    </row>
    <row r="18426" spans="2:2" x14ac:dyDescent="0.25">
      <c r="B18426" s="11"/>
    </row>
    <row r="18427" spans="2:2" x14ac:dyDescent="0.25">
      <c r="B18427" s="11"/>
    </row>
    <row r="18428" spans="2:2" x14ac:dyDescent="0.25">
      <c r="B18428" s="11"/>
    </row>
    <row r="18429" spans="2:2" x14ac:dyDescent="0.25">
      <c r="B18429" s="11"/>
    </row>
    <row r="18430" spans="2:2" x14ac:dyDescent="0.25">
      <c r="B18430" s="11"/>
    </row>
    <row r="18431" spans="2:2" x14ac:dyDescent="0.25">
      <c r="B18431" s="11"/>
    </row>
    <row r="18432" spans="2:2" x14ac:dyDescent="0.25">
      <c r="B18432" s="11"/>
    </row>
    <row r="18433" spans="2:2" x14ac:dyDescent="0.25">
      <c r="B18433" s="11"/>
    </row>
    <row r="18434" spans="2:2" x14ac:dyDescent="0.25">
      <c r="B18434" s="11"/>
    </row>
    <row r="18435" spans="2:2" x14ac:dyDescent="0.25">
      <c r="B18435" s="11"/>
    </row>
    <row r="18436" spans="2:2" x14ac:dyDescent="0.25">
      <c r="B18436" s="11"/>
    </row>
    <row r="18437" spans="2:2" x14ac:dyDescent="0.25">
      <c r="B18437" s="11"/>
    </row>
    <row r="18438" spans="2:2" x14ac:dyDescent="0.25">
      <c r="B18438" s="11"/>
    </row>
    <row r="18439" spans="2:2" x14ac:dyDescent="0.25">
      <c r="B18439" s="11"/>
    </row>
    <row r="18440" spans="2:2" x14ac:dyDescent="0.25">
      <c r="B18440" s="11"/>
    </row>
    <row r="18441" spans="2:2" x14ac:dyDescent="0.25">
      <c r="B18441" s="11"/>
    </row>
    <row r="18442" spans="2:2" x14ac:dyDescent="0.25">
      <c r="B18442" s="11"/>
    </row>
    <row r="18443" spans="2:2" x14ac:dyDescent="0.25">
      <c r="B18443" s="11"/>
    </row>
    <row r="18444" spans="2:2" x14ac:dyDescent="0.25">
      <c r="B18444" s="11"/>
    </row>
    <row r="18445" spans="2:2" x14ac:dyDescent="0.25">
      <c r="B18445" s="11"/>
    </row>
    <row r="18446" spans="2:2" x14ac:dyDescent="0.25">
      <c r="B18446" s="11"/>
    </row>
    <row r="18447" spans="2:2" x14ac:dyDescent="0.25">
      <c r="B18447" s="11"/>
    </row>
    <row r="18448" spans="2:2" x14ac:dyDescent="0.25">
      <c r="B18448" s="11"/>
    </row>
    <row r="18449" spans="2:2" x14ac:dyDescent="0.25">
      <c r="B18449" s="11"/>
    </row>
    <row r="18450" spans="2:2" x14ac:dyDescent="0.25">
      <c r="B18450" s="11"/>
    </row>
    <row r="18451" spans="2:2" x14ac:dyDescent="0.25">
      <c r="B18451" s="11"/>
    </row>
    <row r="18452" spans="2:2" x14ac:dyDescent="0.25">
      <c r="B18452" s="11"/>
    </row>
    <row r="18453" spans="2:2" x14ac:dyDescent="0.25">
      <c r="B18453" s="11"/>
    </row>
    <row r="18454" spans="2:2" x14ac:dyDescent="0.25">
      <c r="B18454" s="11"/>
    </row>
    <row r="18455" spans="2:2" x14ac:dyDescent="0.25">
      <c r="B18455" s="11"/>
    </row>
    <row r="18456" spans="2:2" x14ac:dyDescent="0.25">
      <c r="B18456" s="11"/>
    </row>
    <row r="18457" spans="2:2" x14ac:dyDescent="0.25">
      <c r="B18457" s="11"/>
    </row>
    <row r="18458" spans="2:2" x14ac:dyDescent="0.25">
      <c r="B18458" s="11"/>
    </row>
    <row r="18459" spans="2:2" x14ac:dyDescent="0.25">
      <c r="B18459" s="11"/>
    </row>
    <row r="18460" spans="2:2" x14ac:dyDescent="0.25">
      <c r="B18460" s="11"/>
    </row>
    <row r="18461" spans="2:2" x14ac:dyDescent="0.25">
      <c r="B18461" s="11"/>
    </row>
    <row r="18462" spans="2:2" x14ac:dyDescent="0.25">
      <c r="B18462" s="11"/>
    </row>
    <row r="18463" spans="2:2" x14ac:dyDescent="0.25">
      <c r="B18463" s="11"/>
    </row>
    <row r="18464" spans="2:2" x14ac:dyDescent="0.25">
      <c r="B18464" s="11"/>
    </row>
    <row r="18465" spans="2:2" x14ac:dyDescent="0.25">
      <c r="B18465" s="11"/>
    </row>
    <row r="18466" spans="2:2" x14ac:dyDescent="0.25">
      <c r="B18466" s="11"/>
    </row>
    <row r="18467" spans="2:2" x14ac:dyDescent="0.25">
      <c r="B18467" s="11"/>
    </row>
    <row r="18468" spans="2:2" x14ac:dyDescent="0.25">
      <c r="B18468" s="11"/>
    </row>
    <row r="18469" spans="2:2" x14ac:dyDescent="0.25">
      <c r="B18469" s="11"/>
    </row>
    <row r="18470" spans="2:2" x14ac:dyDescent="0.25">
      <c r="B18470" s="11"/>
    </row>
    <row r="18471" spans="2:2" x14ac:dyDescent="0.25">
      <c r="B18471" s="11"/>
    </row>
    <row r="18472" spans="2:2" x14ac:dyDescent="0.25">
      <c r="B18472" s="11"/>
    </row>
    <row r="18473" spans="2:2" x14ac:dyDescent="0.25">
      <c r="B18473" s="11"/>
    </row>
    <row r="18474" spans="2:2" x14ac:dyDescent="0.25">
      <c r="B18474" s="11"/>
    </row>
    <row r="18475" spans="2:2" x14ac:dyDescent="0.25">
      <c r="B18475" s="11"/>
    </row>
    <row r="18476" spans="2:2" x14ac:dyDescent="0.25">
      <c r="B18476" s="11"/>
    </row>
    <row r="18477" spans="2:2" x14ac:dyDescent="0.25">
      <c r="B18477" s="11"/>
    </row>
    <row r="18478" spans="2:2" x14ac:dyDescent="0.25">
      <c r="B18478" s="11"/>
    </row>
    <row r="18479" spans="2:2" x14ac:dyDescent="0.25">
      <c r="B18479" s="11"/>
    </row>
    <row r="18480" spans="2:2" x14ac:dyDescent="0.25">
      <c r="B18480" s="11"/>
    </row>
    <row r="18481" spans="2:2" x14ac:dyDescent="0.25">
      <c r="B18481" s="11"/>
    </row>
    <row r="18482" spans="2:2" x14ac:dyDescent="0.25">
      <c r="B18482" s="11"/>
    </row>
    <row r="18483" spans="2:2" x14ac:dyDescent="0.25">
      <c r="B18483" s="11"/>
    </row>
    <row r="18484" spans="2:2" x14ac:dyDescent="0.25">
      <c r="B18484" s="11"/>
    </row>
    <row r="18485" spans="2:2" x14ac:dyDescent="0.25">
      <c r="B18485" s="11"/>
    </row>
    <row r="18486" spans="2:2" x14ac:dyDescent="0.25">
      <c r="B18486" s="11"/>
    </row>
    <row r="18487" spans="2:2" x14ac:dyDescent="0.25">
      <c r="B18487" s="11"/>
    </row>
    <row r="18488" spans="2:2" x14ac:dyDescent="0.25">
      <c r="B18488" s="11"/>
    </row>
    <row r="18489" spans="2:2" x14ac:dyDescent="0.25">
      <c r="B18489" s="11"/>
    </row>
    <row r="18490" spans="2:2" x14ac:dyDescent="0.25">
      <c r="B18490" s="11"/>
    </row>
    <row r="18491" spans="2:2" x14ac:dyDescent="0.25">
      <c r="B18491" s="11"/>
    </row>
    <row r="18492" spans="2:2" x14ac:dyDescent="0.25">
      <c r="B18492" s="11"/>
    </row>
    <row r="18493" spans="2:2" x14ac:dyDescent="0.25">
      <c r="B18493" s="11"/>
    </row>
    <row r="18494" spans="2:2" x14ac:dyDescent="0.25">
      <c r="B18494" s="11"/>
    </row>
    <row r="18495" spans="2:2" x14ac:dyDescent="0.25">
      <c r="B18495" s="11"/>
    </row>
    <row r="18496" spans="2:2" x14ac:dyDescent="0.25">
      <c r="B18496" s="11"/>
    </row>
    <row r="18497" spans="2:2" x14ac:dyDescent="0.25">
      <c r="B18497" s="11"/>
    </row>
    <row r="18498" spans="2:2" x14ac:dyDescent="0.25">
      <c r="B18498" s="11"/>
    </row>
    <row r="18499" spans="2:2" x14ac:dyDescent="0.25">
      <c r="B18499" s="11"/>
    </row>
    <row r="18500" spans="2:2" x14ac:dyDescent="0.25">
      <c r="B18500" s="11"/>
    </row>
    <row r="18501" spans="2:2" x14ac:dyDescent="0.25">
      <c r="B18501" s="11"/>
    </row>
    <row r="18502" spans="2:2" x14ac:dyDescent="0.25">
      <c r="B18502" s="11"/>
    </row>
    <row r="18503" spans="2:2" x14ac:dyDescent="0.25">
      <c r="B18503" s="11"/>
    </row>
    <row r="18504" spans="2:2" x14ac:dyDescent="0.25">
      <c r="B18504" s="11"/>
    </row>
    <row r="18505" spans="2:2" x14ac:dyDescent="0.25">
      <c r="B18505" s="11"/>
    </row>
    <row r="18506" spans="2:2" x14ac:dyDescent="0.25">
      <c r="B18506" s="11"/>
    </row>
    <row r="18507" spans="2:2" x14ac:dyDescent="0.25">
      <c r="B18507" s="11"/>
    </row>
    <row r="18508" spans="2:2" x14ac:dyDescent="0.25">
      <c r="B18508" s="11"/>
    </row>
    <row r="18509" spans="2:2" x14ac:dyDescent="0.25">
      <c r="B18509" s="11"/>
    </row>
    <row r="18510" spans="2:2" x14ac:dyDescent="0.25">
      <c r="B18510" s="11"/>
    </row>
    <row r="18511" spans="2:2" x14ac:dyDescent="0.25">
      <c r="B18511" s="11"/>
    </row>
    <row r="18512" spans="2:2" x14ac:dyDescent="0.25">
      <c r="B18512" s="11"/>
    </row>
    <row r="18513" spans="2:2" x14ac:dyDescent="0.25">
      <c r="B18513" s="11"/>
    </row>
    <row r="18514" spans="2:2" x14ac:dyDescent="0.25">
      <c r="B18514" s="11"/>
    </row>
    <row r="18515" spans="2:2" x14ac:dyDescent="0.25">
      <c r="B18515" s="11"/>
    </row>
    <row r="18516" spans="2:2" x14ac:dyDescent="0.25">
      <c r="B18516" s="11"/>
    </row>
    <row r="18517" spans="2:2" x14ac:dyDescent="0.25">
      <c r="B18517" s="11"/>
    </row>
    <row r="18518" spans="2:2" x14ac:dyDescent="0.25">
      <c r="B18518" s="11"/>
    </row>
    <row r="18519" spans="2:2" x14ac:dyDescent="0.25">
      <c r="B18519" s="11"/>
    </row>
    <row r="18520" spans="2:2" x14ac:dyDescent="0.25">
      <c r="B18520" s="11"/>
    </row>
    <row r="18521" spans="2:2" x14ac:dyDescent="0.25">
      <c r="B18521" s="11"/>
    </row>
    <row r="18522" spans="2:2" x14ac:dyDescent="0.25">
      <c r="B18522" s="11"/>
    </row>
    <row r="18523" spans="2:2" x14ac:dyDescent="0.25">
      <c r="B18523" s="11"/>
    </row>
    <row r="18524" spans="2:2" x14ac:dyDescent="0.25">
      <c r="B18524" s="11"/>
    </row>
    <row r="18525" spans="2:2" x14ac:dyDescent="0.25">
      <c r="B18525" s="11"/>
    </row>
    <row r="18526" spans="2:2" x14ac:dyDescent="0.25">
      <c r="B18526" s="11"/>
    </row>
    <row r="18527" spans="2:2" x14ac:dyDescent="0.25">
      <c r="B18527" s="11"/>
    </row>
    <row r="18528" spans="2:2" x14ac:dyDescent="0.25">
      <c r="B18528" s="11"/>
    </row>
    <row r="18529" spans="2:2" x14ac:dyDescent="0.25">
      <c r="B18529" s="11"/>
    </row>
    <row r="18530" spans="2:2" x14ac:dyDescent="0.25">
      <c r="B18530" s="11"/>
    </row>
    <row r="18531" spans="2:2" x14ac:dyDescent="0.25">
      <c r="B18531" s="11"/>
    </row>
    <row r="18532" spans="2:2" x14ac:dyDescent="0.25">
      <c r="B18532" s="11"/>
    </row>
    <row r="18533" spans="2:2" x14ac:dyDescent="0.25">
      <c r="B18533" s="11"/>
    </row>
    <row r="18534" spans="2:2" x14ac:dyDescent="0.25">
      <c r="B18534" s="11"/>
    </row>
    <row r="18535" spans="2:2" x14ac:dyDescent="0.25">
      <c r="B18535" s="11"/>
    </row>
    <row r="18536" spans="2:2" x14ac:dyDescent="0.25">
      <c r="B18536" s="11"/>
    </row>
    <row r="18537" spans="2:2" x14ac:dyDescent="0.25">
      <c r="B18537" s="11"/>
    </row>
    <row r="18538" spans="2:2" x14ac:dyDescent="0.25">
      <c r="B18538" s="11"/>
    </row>
    <row r="18539" spans="2:2" x14ac:dyDescent="0.25">
      <c r="B18539" s="11"/>
    </row>
    <row r="18540" spans="2:2" x14ac:dyDescent="0.25">
      <c r="B18540" s="11"/>
    </row>
    <row r="18541" spans="2:2" x14ac:dyDescent="0.25">
      <c r="B18541" s="11"/>
    </row>
    <row r="18542" spans="2:2" x14ac:dyDescent="0.25">
      <c r="B18542" s="11"/>
    </row>
    <row r="18543" spans="2:2" x14ac:dyDescent="0.25">
      <c r="B18543" s="11"/>
    </row>
    <row r="18544" spans="2:2" x14ac:dyDescent="0.25">
      <c r="B18544" s="11"/>
    </row>
    <row r="18545" spans="2:2" x14ac:dyDescent="0.25">
      <c r="B18545" s="11"/>
    </row>
    <row r="18546" spans="2:2" x14ac:dyDescent="0.25">
      <c r="B18546" s="11"/>
    </row>
    <row r="18547" spans="2:2" x14ac:dyDescent="0.25">
      <c r="B18547" s="11"/>
    </row>
    <row r="18548" spans="2:2" x14ac:dyDescent="0.25">
      <c r="B18548" s="11"/>
    </row>
    <row r="18549" spans="2:2" x14ac:dyDescent="0.25">
      <c r="B18549" s="11"/>
    </row>
    <row r="18550" spans="2:2" x14ac:dyDescent="0.25">
      <c r="B18550" s="11"/>
    </row>
    <row r="18551" spans="2:2" x14ac:dyDescent="0.25">
      <c r="B18551" s="11"/>
    </row>
    <row r="18552" spans="2:2" x14ac:dyDescent="0.25">
      <c r="B18552" s="11"/>
    </row>
    <row r="18553" spans="2:2" x14ac:dyDescent="0.25">
      <c r="B18553" s="11"/>
    </row>
    <row r="18554" spans="2:2" x14ac:dyDescent="0.25">
      <c r="B18554" s="11"/>
    </row>
    <row r="18555" spans="2:2" x14ac:dyDescent="0.25">
      <c r="B18555" s="11"/>
    </row>
    <row r="18556" spans="2:2" x14ac:dyDescent="0.25">
      <c r="B18556" s="11"/>
    </row>
    <row r="18557" spans="2:2" x14ac:dyDescent="0.25">
      <c r="B18557" s="11"/>
    </row>
    <row r="18558" spans="2:2" x14ac:dyDescent="0.25">
      <c r="B18558" s="11"/>
    </row>
    <row r="18559" spans="2:2" x14ac:dyDescent="0.25">
      <c r="B18559" s="11"/>
    </row>
    <row r="18560" spans="2:2" x14ac:dyDescent="0.25">
      <c r="B18560" s="11"/>
    </row>
    <row r="18561" spans="2:2" x14ac:dyDescent="0.25">
      <c r="B18561" s="11"/>
    </row>
    <row r="18562" spans="2:2" x14ac:dyDescent="0.25">
      <c r="B18562" s="11"/>
    </row>
    <row r="18563" spans="2:2" x14ac:dyDescent="0.25">
      <c r="B18563" s="11"/>
    </row>
    <row r="18564" spans="2:2" x14ac:dyDescent="0.25">
      <c r="B18564" s="11"/>
    </row>
    <row r="18565" spans="2:2" x14ac:dyDescent="0.25">
      <c r="B18565" s="11"/>
    </row>
    <row r="18566" spans="2:2" x14ac:dyDescent="0.25">
      <c r="B18566" s="11"/>
    </row>
    <row r="18567" spans="2:2" x14ac:dyDescent="0.25">
      <c r="B18567" s="11"/>
    </row>
    <row r="18568" spans="2:2" x14ac:dyDescent="0.25">
      <c r="B18568" s="11"/>
    </row>
    <row r="18569" spans="2:2" x14ac:dyDescent="0.25">
      <c r="B18569" s="11"/>
    </row>
    <row r="18570" spans="2:2" x14ac:dyDescent="0.25">
      <c r="B18570" s="11"/>
    </row>
    <row r="18571" spans="2:2" x14ac:dyDescent="0.25">
      <c r="B18571" s="11"/>
    </row>
    <row r="18572" spans="2:2" x14ac:dyDescent="0.25">
      <c r="B18572" s="11"/>
    </row>
    <row r="18573" spans="2:2" x14ac:dyDescent="0.25">
      <c r="B18573" s="11"/>
    </row>
    <row r="18574" spans="2:2" x14ac:dyDescent="0.25">
      <c r="B18574" s="11"/>
    </row>
    <row r="18575" spans="2:2" x14ac:dyDescent="0.25">
      <c r="B18575" s="11"/>
    </row>
    <row r="18576" spans="2:2" x14ac:dyDescent="0.25">
      <c r="B18576" s="11"/>
    </row>
    <row r="18577" spans="2:2" x14ac:dyDescent="0.25">
      <c r="B18577" s="11"/>
    </row>
    <row r="18578" spans="2:2" x14ac:dyDescent="0.25">
      <c r="B18578" s="11"/>
    </row>
    <row r="18579" spans="2:2" x14ac:dyDescent="0.25">
      <c r="B18579" s="11"/>
    </row>
    <row r="18580" spans="2:2" x14ac:dyDescent="0.25">
      <c r="B18580" s="11"/>
    </row>
    <row r="18581" spans="2:2" x14ac:dyDescent="0.25">
      <c r="B18581" s="11"/>
    </row>
    <row r="18582" spans="2:2" x14ac:dyDescent="0.25">
      <c r="B18582" s="11"/>
    </row>
    <row r="18583" spans="2:2" x14ac:dyDescent="0.25">
      <c r="B18583" s="11"/>
    </row>
    <row r="18584" spans="2:2" x14ac:dyDescent="0.25">
      <c r="B18584" s="11"/>
    </row>
    <row r="18585" spans="2:2" x14ac:dyDescent="0.25">
      <c r="B18585" s="11"/>
    </row>
    <row r="18586" spans="2:2" x14ac:dyDescent="0.25">
      <c r="B18586" s="11"/>
    </row>
    <row r="18587" spans="2:2" x14ac:dyDescent="0.25">
      <c r="B18587" s="11"/>
    </row>
    <row r="18588" spans="2:2" x14ac:dyDescent="0.25">
      <c r="B18588" s="11"/>
    </row>
    <row r="18589" spans="2:2" x14ac:dyDescent="0.25">
      <c r="B18589" s="11"/>
    </row>
    <row r="18590" spans="2:2" x14ac:dyDescent="0.25">
      <c r="B18590" s="11"/>
    </row>
    <row r="18591" spans="2:2" x14ac:dyDescent="0.25">
      <c r="B18591" s="11"/>
    </row>
    <row r="18592" spans="2:2" x14ac:dyDescent="0.25">
      <c r="B18592" s="11"/>
    </row>
    <row r="18593" spans="2:2" x14ac:dyDescent="0.25">
      <c r="B18593" s="11"/>
    </row>
    <row r="18594" spans="2:2" x14ac:dyDescent="0.25">
      <c r="B18594" s="11"/>
    </row>
    <row r="18595" spans="2:2" x14ac:dyDescent="0.25">
      <c r="B18595" s="11"/>
    </row>
    <row r="18596" spans="2:2" x14ac:dyDescent="0.25">
      <c r="B18596" s="11"/>
    </row>
    <row r="18597" spans="2:2" x14ac:dyDescent="0.25">
      <c r="B18597" s="11"/>
    </row>
    <row r="18598" spans="2:2" x14ac:dyDescent="0.25">
      <c r="B18598" s="11"/>
    </row>
    <row r="18599" spans="2:2" x14ac:dyDescent="0.25">
      <c r="B18599" s="11"/>
    </row>
    <row r="18600" spans="2:2" x14ac:dyDescent="0.25">
      <c r="B18600" s="11"/>
    </row>
    <row r="18601" spans="2:2" x14ac:dyDescent="0.25">
      <c r="B18601" s="11"/>
    </row>
    <row r="18602" spans="2:2" x14ac:dyDescent="0.25">
      <c r="B18602" s="11"/>
    </row>
    <row r="18603" spans="2:2" x14ac:dyDescent="0.25">
      <c r="B18603" s="11"/>
    </row>
    <row r="18604" spans="2:2" x14ac:dyDescent="0.25">
      <c r="B18604" s="11"/>
    </row>
    <row r="18605" spans="2:2" x14ac:dyDescent="0.25">
      <c r="B18605" s="11"/>
    </row>
    <row r="18606" spans="2:2" x14ac:dyDescent="0.25">
      <c r="B18606" s="11"/>
    </row>
    <row r="18607" spans="2:2" x14ac:dyDescent="0.25">
      <c r="B18607" s="11"/>
    </row>
    <row r="18608" spans="2:2" x14ac:dyDescent="0.25">
      <c r="B18608" s="11"/>
    </row>
    <row r="18609" spans="2:2" x14ac:dyDescent="0.25">
      <c r="B18609" s="11"/>
    </row>
    <row r="18610" spans="2:2" x14ac:dyDescent="0.25">
      <c r="B18610" s="11"/>
    </row>
    <row r="18611" spans="2:2" x14ac:dyDescent="0.25">
      <c r="B18611" s="11"/>
    </row>
    <row r="18612" spans="2:2" x14ac:dyDescent="0.25">
      <c r="B18612" s="11"/>
    </row>
    <row r="18613" spans="2:2" x14ac:dyDescent="0.25">
      <c r="B18613" s="11"/>
    </row>
    <row r="18614" spans="2:2" x14ac:dyDescent="0.25">
      <c r="B18614" s="11"/>
    </row>
    <row r="18615" spans="2:2" x14ac:dyDescent="0.25">
      <c r="B18615" s="11"/>
    </row>
    <row r="18616" spans="2:2" x14ac:dyDescent="0.25">
      <c r="B18616" s="11"/>
    </row>
    <row r="18617" spans="2:2" x14ac:dyDescent="0.25">
      <c r="B18617" s="11"/>
    </row>
    <row r="18618" spans="2:2" x14ac:dyDescent="0.25">
      <c r="B18618" s="11"/>
    </row>
    <row r="18619" spans="2:2" x14ac:dyDescent="0.25">
      <c r="B18619" s="11"/>
    </row>
    <row r="18620" spans="2:2" x14ac:dyDescent="0.25">
      <c r="B18620" s="11"/>
    </row>
    <row r="18621" spans="2:2" x14ac:dyDescent="0.25">
      <c r="B18621" s="11"/>
    </row>
    <row r="18622" spans="2:2" x14ac:dyDescent="0.25">
      <c r="B18622" s="11"/>
    </row>
    <row r="18623" spans="2:2" x14ac:dyDescent="0.25">
      <c r="B18623" s="11"/>
    </row>
    <row r="18624" spans="2:2" x14ac:dyDescent="0.25">
      <c r="B18624" s="11"/>
    </row>
    <row r="18625" spans="2:2" x14ac:dyDescent="0.25">
      <c r="B18625" s="11"/>
    </row>
    <row r="18626" spans="2:2" x14ac:dyDescent="0.25">
      <c r="B18626" s="11"/>
    </row>
    <row r="18627" spans="2:2" x14ac:dyDescent="0.25">
      <c r="B18627" s="11"/>
    </row>
    <row r="18628" spans="2:2" x14ac:dyDescent="0.25">
      <c r="B18628" s="11"/>
    </row>
    <row r="18629" spans="2:2" x14ac:dyDescent="0.25">
      <c r="B18629" s="11"/>
    </row>
    <row r="18630" spans="2:2" x14ac:dyDescent="0.25">
      <c r="B18630" s="11"/>
    </row>
    <row r="18631" spans="2:2" x14ac:dyDescent="0.25">
      <c r="B18631" s="11"/>
    </row>
    <row r="18632" spans="2:2" x14ac:dyDescent="0.25">
      <c r="B18632" s="11"/>
    </row>
    <row r="18633" spans="2:2" x14ac:dyDescent="0.25">
      <c r="B18633" s="11"/>
    </row>
    <row r="18634" spans="2:2" x14ac:dyDescent="0.25">
      <c r="B18634" s="11"/>
    </row>
    <row r="18635" spans="2:2" x14ac:dyDescent="0.25">
      <c r="B18635" s="11"/>
    </row>
    <row r="18636" spans="2:2" x14ac:dyDescent="0.25">
      <c r="B18636" s="11"/>
    </row>
    <row r="18637" spans="2:2" x14ac:dyDescent="0.25">
      <c r="B18637" s="11"/>
    </row>
    <row r="18638" spans="2:2" x14ac:dyDescent="0.25">
      <c r="B18638" s="11"/>
    </row>
    <row r="18639" spans="2:2" x14ac:dyDescent="0.25">
      <c r="B18639" s="11"/>
    </row>
    <row r="18640" spans="2:2" x14ac:dyDescent="0.25">
      <c r="B18640" s="11"/>
    </row>
    <row r="18641" spans="2:2" x14ac:dyDescent="0.25">
      <c r="B18641" s="11"/>
    </row>
    <row r="18642" spans="2:2" x14ac:dyDescent="0.25">
      <c r="B18642" s="11"/>
    </row>
    <row r="18643" spans="2:2" x14ac:dyDescent="0.25">
      <c r="B18643" s="11"/>
    </row>
    <row r="18644" spans="2:2" x14ac:dyDescent="0.25">
      <c r="B18644" s="11"/>
    </row>
    <row r="18645" spans="2:2" x14ac:dyDescent="0.25">
      <c r="B18645" s="11"/>
    </row>
    <row r="18646" spans="2:2" x14ac:dyDescent="0.25">
      <c r="B18646" s="11"/>
    </row>
    <row r="18647" spans="2:2" x14ac:dyDescent="0.25">
      <c r="B18647" s="11"/>
    </row>
    <row r="18648" spans="2:2" x14ac:dyDescent="0.25">
      <c r="B18648" s="11"/>
    </row>
    <row r="18649" spans="2:2" x14ac:dyDescent="0.25">
      <c r="B18649" s="11"/>
    </row>
    <row r="18650" spans="2:2" x14ac:dyDescent="0.25">
      <c r="B18650" s="11"/>
    </row>
    <row r="18651" spans="2:2" x14ac:dyDescent="0.25">
      <c r="B18651" s="11"/>
    </row>
    <row r="18652" spans="2:2" x14ac:dyDescent="0.25">
      <c r="B18652" s="11"/>
    </row>
    <row r="18653" spans="2:2" x14ac:dyDescent="0.25">
      <c r="B18653" s="11"/>
    </row>
    <row r="18654" spans="2:2" x14ac:dyDescent="0.25">
      <c r="B18654" s="11"/>
    </row>
    <row r="18655" spans="2:2" x14ac:dyDescent="0.25">
      <c r="B18655" s="11"/>
    </row>
    <row r="18656" spans="2:2" x14ac:dyDescent="0.25">
      <c r="B18656" s="11"/>
    </row>
    <row r="18657" spans="2:2" x14ac:dyDescent="0.25">
      <c r="B18657" s="11"/>
    </row>
    <row r="18658" spans="2:2" x14ac:dyDescent="0.25">
      <c r="B18658" s="11"/>
    </row>
    <row r="18659" spans="2:2" x14ac:dyDescent="0.25">
      <c r="B18659" s="11"/>
    </row>
    <row r="18660" spans="2:2" x14ac:dyDescent="0.25">
      <c r="B18660" s="11"/>
    </row>
    <row r="18661" spans="2:2" x14ac:dyDescent="0.25">
      <c r="B18661" s="11"/>
    </row>
    <row r="18662" spans="2:2" x14ac:dyDescent="0.25">
      <c r="B18662" s="11"/>
    </row>
    <row r="18663" spans="2:2" x14ac:dyDescent="0.25">
      <c r="B18663" s="11"/>
    </row>
    <row r="18664" spans="2:2" x14ac:dyDescent="0.25">
      <c r="B18664" s="11"/>
    </row>
    <row r="18665" spans="2:2" x14ac:dyDescent="0.25">
      <c r="B18665" s="11"/>
    </row>
    <row r="18666" spans="2:2" x14ac:dyDescent="0.25">
      <c r="B18666" s="11"/>
    </row>
    <row r="18667" spans="2:2" x14ac:dyDescent="0.25">
      <c r="B18667" s="11"/>
    </row>
    <row r="18668" spans="2:2" x14ac:dyDescent="0.25">
      <c r="B18668" s="11"/>
    </row>
    <row r="18669" spans="2:2" x14ac:dyDescent="0.25">
      <c r="B18669" s="11"/>
    </row>
    <row r="18670" spans="2:2" x14ac:dyDescent="0.25">
      <c r="B18670" s="11"/>
    </row>
    <row r="18671" spans="2:2" x14ac:dyDescent="0.25">
      <c r="B18671" s="11"/>
    </row>
    <row r="18672" spans="2:2" x14ac:dyDescent="0.25">
      <c r="B18672" s="11"/>
    </row>
    <row r="18673" spans="2:2" x14ac:dyDescent="0.25">
      <c r="B18673" s="11"/>
    </row>
    <row r="18674" spans="2:2" x14ac:dyDescent="0.25">
      <c r="B18674" s="11"/>
    </row>
    <row r="18675" spans="2:2" x14ac:dyDescent="0.25">
      <c r="B18675" s="11"/>
    </row>
    <row r="18676" spans="2:2" x14ac:dyDescent="0.25">
      <c r="B18676" s="11"/>
    </row>
    <row r="18677" spans="2:2" x14ac:dyDescent="0.25">
      <c r="B18677" s="11"/>
    </row>
    <row r="18678" spans="2:2" x14ac:dyDescent="0.25">
      <c r="B18678" s="11"/>
    </row>
    <row r="18679" spans="2:2" x14ac:dyDescent="0.25">
      <c r="B18679" s="11"/>
    </row>
    <row r="18680" spans="2:2" x14ac:dyDescent="0.25">
      <c r="B18680" s="11"/>
    </row>
    <row r="18681" spans="2:2" x14ac:dyDescent="0.25">
      <c r="B18681" s="11"/>
    </row>
    <row r="18682" spans="2:2" x14ac:dyDescent="0.25">
      <c r="B18682" s="11"/>
    </row>
    <row r="18683" spans="2:2" x14ac:dyDescent="0.25">
      <c r="B18683" s="11"/>
    </row>
    <row r="18684" spans="2:2" x14ac:dyDescent="0.25">
      <c r="B18684" s="11"/>
    </row>
    <row r="18685" spans="2:2" x14ac:dyDescent="0.25">
      <c r="B18685" s="11"/>
    </row>
    <row r="18686" spans="2:2" x14ac:dyDescent="0.25">
      <c r="B18686" s="11"/>
    </row>
    <row r="18687" spans="2:2" x14ac:dyDescent="0.25">
      <c r="B18687" s="11"/>
    </row>
    <row r="18688" spans="2:2" x14ac:dyDescent="0.25">
      <c r="B18688" s="11"/>
    </row>
    <row r="18689" spans="2:2" x14ac:dyDescent="0.25">
      <c r="B18689" s="11"/>
    </row>
    <row r="18690" spans="2:2" x14ac:dyDescent="0.25">
      <c r="B18690" s="11"/>
    </row>
    <row r="18691" spans="2:2" x14ac:dyDescent="0.25">
      <c r="B18691" s="11"/>
    </row>
    <row r="18692" spans="2:2" x14ac:dyDescent="0.25">
      <c r="B18692" s="11"/>
    </row>
    <row r="18693" spans="2:2" x14ac:dyDescent="0.25">
      <c r="B18693" s="11"/>
    </row>
    <row r="18694" spans="2:2" x14ac:dyDescent="0.25">
      <c r="B18694" s="11"/>
    </row>
    <row r="18695" spans="2:2" x14ac:dyDescent="0.25">
      <c r="B18695" s="11"/>
    </row>
    <row r="18696" spans="2:2" x14ac:dyDescent="0.25">
      <c r="B18696" s="11"/>
    </row>
    <row r="18697" spans="2:2" x14ac:dyDescent="0.25">
      <c r="B18697" s="11"/>
    </row>
    <row r="18698" spans="2:2" x14ac:dyDescent="0.25">
      <c r="B18698" s="11"/>
    </row>
    <row r="18699" spans="2:2" x14ac:dyDescent="0.25">
      <c r="B18699" s="11"/>
    </row>
    <row r="18700" spans="2:2" x14ac:dyDescent="0.25">
      <c r="B18700" s="11"/>
    </row>
    <row r="18701" spans="2:2" x14ac:dyDescent="0.25">
      <c r="B18701" s="11"/>
    </row>
    <row r="18702" spans="2:2" x14ac:dyDescent="0.25">
      <c r="B18702" s="11"/>
    </row>
    <row r="18703" spans="2:2" x14ac:dyDescent="0.25">
      <c r="B18703" s="11"/>
    </row>
    <row r="18704" spans="2:2" x14ac:dyDescent="0.25">
      <c r="B18704" s="11"/>
    </row>
    <row r="18705" spans="2:2" x14ac:dyDescent="0.25">
      <c r="B18705" s="11"/>
    </row>
    <row r="18706" spans="2:2" x14ac:dyDescent="0.25">
      <c r="B18706" s="11"/>
    </row>
    <row r="18707" spans="2:2" x14ac:dyDescent="0.25">
      <c r="B18707" s="11"/>
    </row>
    <row r="18708" spans="2:2" x14ac:dyDescent="0.25">
      <c r="B18708" s="11"/>
    </row>
    <row r="18709" spans="2:2" x14ac:dyDescent="0.25">
      <c r="B18709" s="11"/>
    </row>
    <row r="18710" spans="2:2" x14ac:dyDescent="0.25">
      <c r="B18710" s="11"/>
    </row>
    <row r="18711" spans="2:2" x14ac:dyDescent="0.25">
      <c r="B18711" s="11"/>
    </row>
    <row r="18712" spans="2:2" x14ac:dyDescent="0.25">
      <c r="B18712" s="11"/>
    </row>
    <row r="18713" spans="2:2" x14ac:dyDescent="0.25">
      <c r="B18713" s="11"/>
    </row>
    <row r="18714" spans="2:2" x14ac:dyDescent="0.25">
      <c r="B18714" s="11"/>
    </row>
    <row r="18715" spans="2:2" x14ac:dyDescent="0.25">
      <c r="B18715" s="11"/>
    </row>
    <row r="18716" spans="2:2" x14ac:dyDescent="0.25">
      <c r="B18716" s="11"/>
    </row>
    <row r="18717" spans="2:2" x14ac:dyDescent="0.25">
      <c r="B18717" s="11"/>
    </row>
    <row r="18718" spans="2:2" x14ac:dyDescent="0.25">
      <c r="B18718" s="11"/>
    </row>
    <row r="18719" spans="2:2" x14ac:dyDescent="0.25">
      <c r="B18719" s="11"/>
    </row>
    <row r="18720" spans="2:2" x14ac:dyDescent="0.25">
      <c r="B18720" s="11"/>
    </row>
    <row r="18721" spans="2:2" x14ac:dyDescent="0.25">
      <c r="B18721" s="11"/>
    </row>
    <row r="18722" spans="2:2" x14ac:dyDescent="0.25">
      <c r="B18722" s="11"/>
    </row>
    <row r="18723" spans="2:2" x14ac:dyDescent="0.25">
      <c r="B18723" s="11"/>
    </row>
    <row r="18724" spans="2:2" x14ac:dyDescent="0.25">
      <c r="B18724" s="11"/>
    </row>
    <row r="18725" spans="2:2" x14ac:dyDescent="0.25">
      <c r="B18725" s="11"/>
    </row>
    <row r="18726" spans="2:2" x14ac:dyDescent="0.25">
      <c r="B18726" s="11"/>
    </row>
    <row r="18727" spans="2:2" x14ac:dyDescent="0.25">
      <c r="B18727" s="11"/>
    </row>
    <row r="18728" spans="2:2" x14ac:dyDescent="0.25">
      <c r="B18728" s="11"/>
    </row>
    <row r="18729" spans="2:2" x14ac:dyDescent="0.25">
      <c r="B18729" s="11"/>
    </row>
    <row r="18730" spans="2:2" x14ac:dyDescent="0.25">
      <c r="B18730" s="11"/>
    </row>
    <row r="18731" spans="2:2" x14ac:dyDescent="0.25">
      <c r="B18731" s="11"/>
    </row>
    <row r="18732" spans="2:2" x14ac:dyDescent="0.25">
      <c r="B18732" s="11"/>
    </row>
    <row r="18733" spans="2:2" x14ac:dyDescent="0.25">
      <c r="B18733" s="11"/>
    </row>
    <row r="18734" spans="2:2" x14ac:dyDescent="0.25">
      <c r="B18734" s="11"/>
    </row>
    <row r="18735" spans="2:2" x14ac:dyDescent="0.25">
      <c r="B18735" s="11"/>
    </row>
    <row r="18736" spans="2:2" x14ac:dyDescent="0.25">
      <c r="B18736" s="11"/>
    </row>
    <row r="18737" spans="2:2" x14ac:dyDescent="0.25">
      <c r="B18737" s="11"/>
    </row>
    <row r="18738" spans="2:2" x14ac:dyDescent="0.25">
      <c r="B18738" s="11"/>
    </row>
    <row r="18739" spans="2:2" x14ac:dyDescent="0.25">
      <c r="B18739" s="11"/>
    </row>
    <row r="18740" spans="2:2" x14ac:dyDescent="0.25">
      <c r="B18740" s="11"/>
    </row>
    <row r="18741" spans="2:2" x14ac:dyDescent="0.25">
      <c r="B18741" s="11"/>
    </row>
    <row r="18742" spans="2:2" x14ac:dyDescent="0.25">
      <c r="B18742" s="11"/>
    </row>
    <row r="18743" spans="2:2" x14ac:dyDescent="0.25">
      <c r="B18743" s="11"/>
    </row>
    <row r="18744" spans="2:2" x14ac:dyDescent="0.25">
      <c r="B18744" s="11"/>
    </row>
    <row r="18745" spans="2:2" x14ac:dyDescent="0.25">
      <c r="B18745" s="11"/>
    </row>
    <row r="18746" spans="2:2" x14ac:dyDescent="0.25">
      <c r="B18746" s="11"/>
    </row>
    <row r="18747" spans="2:2" x14ac:dyDescent="0.25">
      <c r="B18747" s="11"/>
    </row>
    <row r="18748" spans="2:2" x14ac:dyDescent="0.25">
      <c r="B18748" s="11"/>
    </row>
    <row r="18749" spans="2:2" x14ac:dyDescent="0.25">
      <c r="B18749" s="11"/>
    </row>
    <row r="18750" spans="2:2" x14ac:dyDescent="0.25">
      <c r="B18750" s="11"/>
    </row>
    <row r="18751" spans="2:2" x14ac:dyDescent="0.25">
      <c r="B18751" s="11"/>
    </row>
    <row r="18752" spans="2:2" x14ac:dyDescent="0.25">
      <c r="B18752" s="11"/>
    </row>
    <row r="18753" spans="2:2" x14ac:dyDescent="0.25">
      <c r="B18753" s="11"/>
    </row>
    <row r="18754" spans="2:2" x14ac:dyDescent="0.25">
      <c r="B18754" s="11"/>
    </row>
    <row r="18755" spans="2:2" x14ac:dyDescent="0.25">
      <c r="B18755" s="11"/>
    </row>
    <row r="18756" spans="2:2" x14ac:dyDescent="0.25">
      <c r="B18756" s="11"/>
    </row>
    <row r="18757" spans="2:2" x14ac:dyDescent="0.25">
      <c r="B18757" s="11"/>
    </row>
    <row r="18758" spans="2:2" x14ac:dyDescent="0.25">
      <c r="B18758" s="11"/>
    </row>
    <row r="18759" spans="2:2" x14ac:dyDescent="0.25">
      <c r="B18759" s="11"/>
    </row>
    <row r="18760" spans="2:2" x14ac:dyDescent="0.25">
      <c r="B18760" s="11"/>
    </row>
    <row r="18761" spans="2:2" x14ac:dyDescent="0.25">
      <c r="B18761" s="11"/>
    </row>
    <row r="18762" spans="2:2" x14ac:dyDescent="0.25">
      <c r="B18762" s="11"/>
    </row>
    <row r="18763" spans="2:2" x14ac:dyDescent="0.25">
      <c r="B18763" s="11"/>
    </row>
    <row r="18764" spans="2:2" x14ac:dyDescent="0.25">
      <c r="B18764" s="11"/>
    </row>
    <row r="18765" spans="2:2" x14ac:dyDescent="0.25">
      <c r="B18765" s="11"/>
    </row>
    <row r="18766" spans="2:2" x14ac:dyDescent="0.25">
      <c r="B18766" s="11"/>
    </row>
    <row r="18767" spans="2:2" x14ac:dyDescent="0.25">
      <c r="B18767" s="11"/>
    </row>
    <row r="18768" spans="2:2" x14ac:dyDescent="0.25">
      <c r="B18768" s="11"/>
    </row>
    <row r="18769" spans="2:2" x14ac:dyDescent="0.25">
      <c r="B18769" s="11"/>
    </row>
    <row r="18770" spans="2:2" x14ac:dyDescent="0.25">
      <c r="B18770" s="11"/>
    </row>
    <row r="18771" spans="2:2" x14ac:dyDescent="0.25">
      <c r="B18771" s="11"/>
    </row>
    <row r="18772" spans="2:2" x14ac:dyDescent="0.25">
      <c r="B18772" s="11"/>
    </row>
    <row r="18773" spans="2:2" x14ac:dyDescent="0.25">
      <c r="B18773" s="11"/>
    </row>
    <row r="18774" spans="2:2" x14ac:dyDescent="0.25">
      <c r="B18774" s="11"/>
    </row>
    <row r="18775" spans="2:2" x14ac:dyDescent="0.25">
      <c r="B18775" s="11"/>
    </row>
    <row r="18776" spans="2:2" x14ac:dyDescent="0.25">
      <c r="B18776" s="11"/>
    </row>
    <row r="18777" spans="2:2" x14ac:dyDescent="0.25">
      <c r="B18777" s="11"/>
    </row>
    <row r="18778" spans="2:2" x14ac:dyDescent="0.25">
      <c r="B18778" s="11"/>
    </row>
    <row r="18779" spans="2:2" x14ac:dyDescent="0.25">
      <c r="B18779" s="11"/>
    </row>
    <row r="18780" spans="2:2" x14ac:dyDescent="0.25">
      <c r="B18780" s="11"/>
    </row>
    <row r="18781" spans="2:2" x14ac:dyDescent="0.25">
      <c r="B18781" s="11"/>
    </row>
    <row r="18782" spans="2:2" x14ac:dyDescent="0.25">
      <c r="B18782" s="11"/>
    </row>
    <row r="18783" spans="2:2" x14ac:dyDescent="0.25">
      <c r="B18783" s="11"/>
    </row>
    <row r="18784" spans="2:2" x14ac:dyDescent="0.25">
      <c r="B18784" s="11"/>
    </row>
    <row r="18785" spans="2:2" x14ac:dyDescent="0.25">
      <c r="B18785" s="11"/>
    </row>
    <row r="18786" spans="2:2" x14ac:dyDescent="0.25">
      <c r="B18786" s="11"/>
    </row>
    <row r="18787" spans="2:2" x14ac:dyDescent="0.25">
      <c r="B18787" s="11"/>
    </row>
    <row r="18788" spans="2:2" x14ac:dyDescent="0.25">
      <c r="B18788" s="11"/>
    </row>
    <row r="18789" spans="2:2" x14ac:dyDescent="0.25">
      <c r="B18789" s="11"/>
    </row>
    <row r="18790" spans="2:2" x14ac:dyDescent="0.25">
      <c r="B18790" s="11"/>
    </row>
    <row r="18791" spans="2:2" x14ac:dyDescent="0.25">
      <c r="B18791" s="11"/>
    </row>
    <row r="18792" spans="2:2" x14ac:dyDescent="0.25">
      <c r="B18792" s="11"/>
    </row>
    <row r="18793" spans="2:2" x14ac:dyDescent="0.25">
      <c r="B18793" s="11"/>
    </row>
    <row r="18794" spans="2:2" x14ac:dyDescent="0.25">
      <c r="B18794" s="11"/>
    </row>
    <row r="18795" spans="2:2" x14ac:dyDescent="0.25">
      <c r="B18795" s="11"/>
    </row>
    <row r="18796" spans="2:2" x14ac:dyDescent="0.25">
      <c r="B18796" s="11"/>
    </row>
    <row r="18797" spans="2:2" x14ac:dyDescent="0.25">
      <c r="B18797" s="11"/>
    </row>
    <row r="18798" spans="2:2" x14ac:dyDescent="0.25">
      <c r="B18798" s="11"/>
    </row>
    <row r="18799" spans="2:2" x14ac:dyDescent="0.25">
      <c r="B18799" s="11"/>
    </row>
    <row r="18800" spans="2:2" x14ac:dyDescent="0.25">
      <c r="B18800" s="11"/>
    </row>
    <row r="18801" spans="2:2" x14ac:dyDescent="0.25">
      <c r="B18801" s="11"/>
    </row>
    <row r="18802" spans="2:2" x14ac:dyDescent="0.25">
      <c r="B18802" s="11"/>
    </row>
    <row r="18803" spans="2:2" x14ac:dyDescent="0.25">
      <c r="B18803" s="11"/>
    </row>
    <row r="18804" spans="2:2" x14ac:dyDescent="0.25">
      <c r="B18804" s="11"/>
    </row>
    <row r="18805" spans="2:2" x14ac:dyDescent="0.25">
      <c r="B18805" s="11"/>
    </row>
    <row r="18806" spans="2:2" x14ac:dyDescent="0.25">
      <c r="B18806" s="11"/>
    </row>
    <row r="18807" spans="2:2" x14ac:dyDescent="0.25">
      <c r="B18807" s="11"/>
    </row>
    <row r="18808" spans="2:2" x14ac:dyDescent="0.25">
      <c r="B18808" s="11"/>
    </row>
    <row r="18809" spans="2:2" x14ac:dyDescent="0.25">
      <c r="B18809" s="11"/>
    </row>
    <row r="18810" spans="2:2" x14ac:dyDescent="0.25">
      <c r="B18810" s="11"/>
    </row>
    <row r="18811" spans="2:2" x14ac:dyDescent="0.25">
      <c r="B18811" s="11"/>
    </row>
    <row r="18812" spans="2:2" x14ac:dyDescent="0.25">
      <c r="B18812" s="11"/>
    </row>
    <row r="18813" spans="2:2" x14ac:dyDescent="0.25">
      <c r="B18813" s="11"/>
    </row>
    <row r="18814" spans="2:2" x14ac:dyDescent="0.25">
      <c r="B18814" s="11"/>
    </row>
    <row r="18815" spans="2:2" x14ac:dyDescent="0.25">
      <c r="B18815" s="11"/>
    </row>
    <row r="18816" spans="2:2" x14ac:dyDescent="0.25">
      <c r="B18816" s="11"/>
    </row>
    <row r="18817" spans="2:2" x14ac:dyDescent="0.25">
      <c r="B18817" s="11"/>
    </row>
    <row r="18818" spans="2:2" x14ac:dyDescent="0.25">
      <c r="B18818" s="11"/>
    </row>
    <row r="18819" spans="2:2" x14ac:dyDescent="0.25">
      <c r="B18819" s="11"/>
    </row>
    <row r="18820" spans="2:2" x14ac:dyDescent="0.25">
      <c r="B18820" s="11"/>
    </row>
    <row r="18821" spans="2:2" x14ac:dyDescent="0.25">
      <c r="B18821" s="11"/>
    </row>
    <row r="18822" spans="2:2" x14ac:dyDescent="0.25">
      <c r="B18822" s="11"/>
    </row>
    <row r="18823" spans="2:2" x14ac:dyDescent="0.25">
      <c r="B18823" s="11"/>
    </row>
    <row r="18824" spans="2:2" x14ac:dyDescent="0.25">
      <c r="B18824" s="11"/>
    </row>
    <row r="18825" spans="2:2" x14ac:dyDescent="0.25">
      <c r="B18825" s="11"/>
    </row>
    <row r="18826" spans="2:2" x14ac:dyDescent="0.25">
      <c r="B18826" s="11"/>
    </row>
    <row r="18827" spans="2:2" x14ac:dyDescent="0.25">
      <c r="B18827" s="11"/>
    </row>
    <row r="18828" spans="2:2" x14ac:dyDescent="0.25">
      <c r="B18828" s="11"/>
    </row>
    <row r="18829" spans="2:2" x14ac:dyDescent="0.25">
      <c r="B18829" s="11"/>
    </row>
    <row r="18830" spans="2:2" x14ac:dyDescent="0.25">
      <c r="B18830" s="11"/>
    </row>
    <row r="18831" spans="2:2" x14ac:dyDescent="0.25">
      <c r="B18831" s="11"/>
    </row>
    <row r="18832" spans="2:2" x14ac:dyDescent="0.25">
      <c r="B18832" s="11"/>
    </row>
    <row r="18833" spans="2:2" x14ac:dyDescent="0.25">
      <c r="B18833" s="11"/>
    </row>
    <row r="18834" spans="2:2" x14ac:dyDescent="0.25">
      <c r="B18834" s="11"/>
    </row>
    <row r="18835" spans="2:2" x14ac:dyDescent="0.25">
      <c r="B18835" s="11"/>
    </row>
    <row r="18836" spans="2:2" x14ac:dyDescent="0.25">
      <c r="B18836" s="11"/>
    </row>
    <row r="18837" spans="2:2" x14ac:dyDescent="0.25">
      <c r="B18837" s="11"/>
    </row>
    <row r="18838" spans="2:2" x14ac:dyDescent="0.25">
      <c r="B18838" s="11"/>
    </row>
    <row r="18839" spans="2:2" x14ac:dyDescent="0.25">
      <c r="B18839" s="11"/>
    </row>
    <row r="18840" spans="2:2" x14ac:dyDescent="0.25">
      <c r="B18840" s="11"/>
    </row>
    <row r="18841" spans="2:2" x14ac:dyDescent="0.25">
      <c r="B18841" s="11"/>
    </row>
    <row r="18842" spans="2:2" x14ac:dyDescent="0.25">
      <c r="B18842" s="11"/>
    </row>
    <row r="18843" spans="2:2" x14ac:dyDescent="0.25">
      <c r="B18843" s="11"/>
    </row>
    <row r="18844" spans="2:2" x14ac:dyDescent="0.25">
      <c r="B18844" s="11"/>
    </row>
    <row r="18845" spans="2:2" x14ac:dyDescent="0.25">
      <c r="B18845" s="11"/>
    </row>
    <row r="18846" spans="2:2" x14ac:dyDescent="0.25">
      <c r="B18846" s="11"/>
    </row>
    <row r="18847" spans="2:2" x14ac:dyDescent="0.25">
      <c r="B18847" s="11"/>
    </row>
    <row r="18848" spans="2:2" x14ac:dyDescent="0.25">
      <c r="B18848" s="11"/>
    </row>
    <row r="18849" spans="2:2" x14ac:dyDescent="0.25">
      <c r="B18849" s="11"/>
    </row>
    <row r="18850" spans="2:2" x14ac:dyDescent="0.25">
      <c r="B18850" s="11"/>
    </row>
    <row r="18851" spans="2:2" x14ac:dyDescent="0.25">
      <c r="B18851" s="11"/>
    </row>
    <row r="18852" spans="2:2" x14ac:dyDescent="0.25">
      <c r="B18852" s="11"/>
    </row>
    <row r="18853" spans="2:2" x14ac:dyDescent="0.25">
      <c r="B18853" s="11"/>
    </row>
    <row r="18854" spans="2:2" x14ac:dyDescent="0.25">
      <c r="B18854" s="11"/>
    </row>
    <row r="18855" spans="2:2" x14ac:dyDescent="0.25">
      <c r="B18855" s="11"/>
    </row>
    <row r="18856" spans="2:2" x14ac:dyDescent="0.25">
      <c r="B18856" s="11"/>
    </row>
    <row r="18857" spans="2:2" x14ac:dyDescent="0.25">
      <c r="B18857" s="11"/>
    </row>
    <row r="18858" spans="2:2" x14ac:dyDescent="0.25">
      <c r="B18858" s="11"/>
    </row>
    <row r="18859" spans="2:2" x14ac:dyDescent="0.25">
      <c r="B18859" s="11"/>
    </row>
    <row r="18860" spans="2:2" x14ac:dyDescent="0.25">
      <c r="B18860" s="11"/>
    </row>
    <row r="18861" spans="2:2" x14ac:dyDescent="0.25">
      <c r="B18861" s="11"/>
    </row>
    <row r="18862" spans="2:2" x14ac:dyDescent="0.25">
      <c r="B18862" s="11"/>
    </row>
    <row r="18863" spans="2:2" x14ac:dyDescent="0.25">
      <c r="B18863" s="11"/>
    </row>
    <row r="18864" spans="2:2" x14ac:dyDescent="0.25">
      <c r="B18864" s="11"/>
    </row>
    <row r="18865" spans="2:2" x14ac:dyDescent="0.25">
      <c r="B18865" s="11"/>
    </row>
    <row r="18866" spans="2:2" x14ac:dyDescent="0.25">
      <c r="B18866" s="11"/>
    </row>
    <row r="18867" spans="2:2" x14ac:dyDescent="0.25">
      <c r="B18867" s="11"/>
    </row>
    <row r="18868" spans="2:2" x14ac:dyDescent="0.25">
      <c r="B18868" s="11"/>
    </row>
    <row r="18869" spans="2:2" x14ac:dyDescent="0.25">
      <c r="B18869" s="11"/>
    </row>
    <row r="18870" spans="2:2" x14ac:dyDescent="0.25">
      <c r="B18870" s="11"/>
    </row>
    <row r="18871" spans="2:2" x14ac:dyDescent="0.25">
      <c r="B18871" s="11"/>
    </row>
    <row r="18872" spans="2:2" x14ac:dyDescent="0.25">
      <c r="B18872" s="11"/>
    </row>
    <row r="18873" spans="2:2" x14ac:dyDescent="0.25">
      <c r="B18873" s="11"/>
    </row>
    <row r="18874" spans="2:2" x14ac:dyDescent="0.25">
      <c r="B18874" s="11"/>
    </row>
    <row r="18875" spans="2:2" x14ac:dyDescent="0.25">
      <c r="B18875" s="11"/>
    </row>
    <row r="18876" spans="2:2" x14ac:dyDescent="0.25">
      <c r="B18876" s="11"/>
    </row>
    <row r="18877" spans="2:2" x14ac:dyDescent="0.25">
      <c r="B18877" s="11"/>
    </row>
    <row r="18878" spans="2:2" x14ac:dyDescent="0.25">
      <c r="B18878" s="11"/>
    </row>
    <row r="18879" spans="2:2" x14ac:dyDescent="0.25">
      <c r="B18879" s="11"/>
    </row>
    <row r="18880" spans="2:2" x14ac:dyDescent="0.25">
      <c r="B18880" s="11"/>
    </row>
    <row r="18881" spans="2:2" x14ac:dyDescent="0.25">
      <c r="B18881" s="11"/>
    </row>
    <row r="18882" spans="2:2" x14ac:dyDescent="0.25">
      <c r="B18882" s="11"/>
    </row>
    <row r="18883" spans="2:2" x14ac:dyDescent="0.25">
      <c r="B18883" s="11"/>
    </row>
    <row r="18884" spans="2:2" x14ac:dyDescent="0.25">
      <c r="B18884" s="11"/>
    </row>
    <row r="18885" spans="2:2" x14ac:dyDescent="0.25">
      <c r="B18885" s="11"/>
    </row>
    <row r="18886" spans="2:2" x14ac:dyDescent="0.25">
      <c r="B18886" s="11"/>
    </row>
    <row r="18887" spans="2:2" x14ac:dyDescent="0.25">
      <c r="B18887" s="11"/>
    </row>
    <row r="18888" spans="2:2" x14ac:dyDescent="0.25">
      <c r="B18888" s="11"/>
    </row>
    <row r="18889" spans="2:2" x14ac:dyDescent="0.25">
      <c r="B18889" s="11"/>
    </row>
    <row r="18890" spans="2:2" x14ac:dyDescent="0.25">
      <c r="B18890" s="11"/>
    </row>
    <row r="18891" spans="2:2" x14ac:dyDescent="0.25">
      <c r="B18891" s="11"/>
    </row>
    <row r="18892" spans="2:2" x14ac:dyDescent="0.25">
      <c r="B18892" s="11"/>
    </row>
    <row r="18893" spans="2:2" x14ac:dyDescent="0.25">
      <c r="B18893" s="11"/>
    </row>
    <row r="18894" spans="2:2" x14ac:dyDescent="0.25">
      <c r="B18894" s="11"/>
    </row>
    <row r="18895" spans="2:2" x14ac:dyDescent="0.25">
      <c r="B18895" s="11"/>
    </row>
    <row r="18896" spans="2:2" x14ac:dyDescent="0.25">
      <c r="B18896" s="11"/>
    </row>
    <row r="18897" spans="2:2" x14ac:dyDescent="0.25">
      <c r="B18897" s="11"/>
    </row>
    <row r="18898" spans="2:2" x14ac:dyDescent="0.25">
      <c r="B18898" s="11"/>
    </row>
    <row r="18899" spans="2:2" x14ac:dyDescent="0.25">
      <c r="B18899" s="11"/>
    </row>
    <row r="18900" spans="2:2" x14ac:dyDescent="0.25">
      <c r="B18900" s="11"/>
    </row>
    <row r="18901" spans="2:2" x14ac:dyDescent="0.25">
      <c r="B18901" s="11"/>
    </row>
    <row r="18902" spans="2:2" x14ac:dyDescent="0.25">
      <c r="B18902" s="11"/>
    </row>
    <row r="18903" spans="2:2" x14ac:dyDescent="0.25">
      <c r="B18903" s="11"/>
    </row>
    <row r="18904" spans="2:2" x14ac:dyDescent="0.25">
      <c r="B18904" s="11"/>
    </row>
    <row r="18905" spans="2:2" x14ac:dyDescent="0.25">
      <c r="B18905" s="11"/>
    </row>
    <row r="18906" spans="2:2" x14ac:dyDescent="0.25">
      <c r="B18906" s="11"/>
    </row>
    <row r="18907" spans="2:2" x14ac:dyDescent="0.25">
      <c r="B18907" s="11"/>
    </row>
    <row r="18908" spans="2:2" x14ac:dyDescent="0.25">
      <c r="B18908" s="11"/>
    </row>
    <row r="18909" spans="2:2" x14ac:dyDescent="0.25">
      <c r="B18909" s="11"/>
    </row>
    <row r="18910" spans="2:2" x14ac:dyDescent="0.25">
      <c r="B18910" s="11"/>
    </row>
    <row r="18911" spans="2:2" x14ac:dyDescent="0.25">
      <c r="B18911" s="11"/>
    </row>
    <row r="18912" spans="2:2" x14ac:dyDescent="0.25">
      <c r="B18912" s="11"/>
    </row>
    <row r="18913" spans="2:2" x14ac:dyDescent="0.25">
      <c r="B18913" s="11"/>
    </row>
    <row r="18914" spans="2:2" x14ac:dyDescent="0.25">
      <c r="B18914" s="11"/>
    </row>
    <row r="18915" spans="2:2" x14ac:dyDescent="0.25">
      <c r="B18915" s="11"/>
    </row>
    <row r="18916" spans="2:2" x14ac:dyDescent="0.25">
      <c r="B18916" s="11"/>
    </row>
    <row r="18917" spans="2:2" x14ac:dyDescent="0.25">
      <c r="B18917" s="11"/>
    </row>
    <row r="18918" spans="2:2" x14ac:dyDescent="0.25">
      <c r="B18918" s="11"/>
    </row>
    <row r="18919" spans="2:2" x14ac:dyDescent="0.25">
      <c r="B18919" s="11"/>
    </row>
    <row r="18920" spans="2:2" x14ac:dyDescent="0.25">
      <c r="B18920" s="11"/>
    </row>
    <row r="18921" spans="2:2" x14ac:dyDescent="0.25">
      <c r="B18921" s="11"/>
    </row>
    <row r="18922" spans="2:2" x14ac:dyDescent="0.25">
      <c r="B18922" s="11"/>
    </row>
    <row r="18923" spans="2:2" x14ac:dyDescent="0.25">
      <c r="B18923" s="11"/>
    </row>
    <row r="18924" spans="2:2" x14ac:dyDescent="0.25">
      <c r="B18924" s="11"/>
    </row>
    <row r="18925" spans="2:2" x14ac:dyDescent="0.25">
      <c r="B18925" s="11"/>
    </row>
    <row r="18926" spans="2:2" x14ac:dyDescent="0.25">
      <c r="B18926" s="11"/>
    </row>
    <row r="18927" spans="2:2" x14ac:dyDescent="0.25">
      <c r="B18927" s="11"/>
    </row>
    <row r="18928" spans="2:2" x14ac:dyDescent="0.25">
      <c r="B18928" s="11"/>
    </row>
    <row r="18929" spans="2:2" x14ac:dyDescent="0.25">
      <c r="B18929" s="11"/>
    </row>
    <row r="18930" spans="2:2" x14ac:dyDescent="0.25">
      <c r="B18930" s="11"/>
    </row>
    <row r="18931" spans="2:2" x14ac:dyDescent="0.25">
      <c r="B18931" s="11"/>
    </row>
    <row r="18932" spans="2:2" x14ac:dyDescent="0.25">
      <c r="B18932" s="11"/>
    </row>
    <row r="18933" spans="2:2" x14ac:dyDescent="0.25">
      <c r="B18933" s="11"/>
    </row>
    <row r="18934" spans="2:2" x14ac:dyDescent="0.25">
      <c r="B18934" s="11"/>
    </row>
    <row r="18935" spans="2:2" x14ac:dyDescent="0.25">
      <c r="B18935" s="11"/>
    </row>
    <row r="18936" spans="2:2" x14ac:dyDescent="0.25">
      <c r="B18936" s="11"/>
    </row>
    <row r="18937" spans="2:2" x14ac:dyDescent="0.25">
      <c r="B18937" s="11"/>
    </row>
    <row r="18938" spans="2:2" x14ac:dyDescent="0.25">
      <c r="B18938" s="11"/>
    </row>
    <row r="18939" spans="2:2" x14ac:dyDescent="0.25">
      <c r="B18939" s="11"/>
    </row>
    <row r="18940" spans="2:2" x14ac:dyDescent="0.25">
      <c r="B18940" s="11"/>
    </row>
    <row r="18941" spans="2:2" x14ac:dyDescent="0.25">
      <c r="B18941" s="11"/>
    </row>
    <row r="18942" spans="2:2" x14ac:dyDescent="0.25">
      <c r="B18942" s="11"/>
    </row>
    <row r="18943" spans="2:2" x14ac:dyDescent="0.25">
      <c r="B18943" s="11"/>
    </row>
    <row r="18944" spans="2:2" x14ac:dyDescent="0.25">
      <c r="B18944" s="11"/>
    </row>
    <row r="18945" spans="2:2" x14ac:dyDescent="0.25">
      <c r="B18945" s="11"/>
    </row>
    <row r="18946" spans="2:2" x14ac:dyDescent="0.25">
      <c r="B18946" s="11"/>
    </row>
    <row r="18947" spans="2:2" x14ac:dyDescent="0.25">
      <c r="B18947" s="11"/>
    </row>
    <row r="18948" spans="2:2" x14ac:dyDescent="0.25">
      <c r="B18948" s="11"/>
    </row>
    <row r="18949" spans="2:2" x14ac:dyDescent="0.25">
      <c r="B18949" s="11"/>
    </row>
    <row r="18950" spans="2:2" x14ac:dyDescent="0.25">
      <c r="B18950" s="11"/>
    </row>
    <row r="18951" spans="2:2" x14ac:dyDescent="0.25">
      <c r="B18951" s="11"/>
    </row>
    <row r="18952" spans="2:2" x14ac:dyDescent="0.25">
      <c r="B18952" s="11"/>
    </row>
    <row r="18953" spans="2:2" x14ac:dyDescent="0.25">
      <c r="B18953" s="11"/>
    </row>
    <row r="18954" spans="2:2" x14ac:dyDescent="0.25">
      <c r="B18954" s="11"/>
    </row>
    <row r="18955" spans="2:2" x14ac:dyDescent="0.25">
      <c r="B18955" s="11"/>
    </row>
    <row r="18956" spans="2:2" x14ac:dyDescent="0.25">
      <c r="B18956" s="11"/>
    </row>
    <row r="18957" spans="2:2" x14ac:dyDescent="0.25">
      <c r="B18957" s="11"/>
    </row>
    <row r="18958" spans="2:2" x14ac:dyDescent="0.25">
      <c r="B18958" s="11"/>
    </row>
    <row r="18959" spans="2:2" x14ac:dyDescent="0.25">
      <c r="B18959" s="11"/>
    </row>
    <row r="18960" spans="2:2" x14ac:dyDescent="0.25">
      <c r="B18960" s="11"/>
    </row>
    <row r="18961" spans="2:2" x14ac:dyDescent="0.25">
      <c r="B18961" s="11"/>
    </row>
    <row r="18962" spans="2:2" x14ac:dyDescent="0.25">
      <c r="B18962" s="11"/>
    </row>
    <row r="18963" spans="2:2" x14ac:dyDescent="0.25">
      <c r="B18963" s="11"/>
    </row>
    <row r="18964" spans="2:2" x14ac:dyDescent="0.25">
      <c r="B18964" s="11"/>
    </row>
    <row r="18965" spans="2:2" x14ac:dyDescent="0.25">
      <c r="B18965" s="11"/>
    </row>
    <row r="18966" spans="2:2" x14ac:dyDescent="0.25">
      <c r="B18966" s="11"/>
    </row>
    <row r="18967" spans="2:2" x14ac:dyDescent="0.25">
      <c r="B18967" s="11"/>
    </row>
    <row r="18968" spans="2:2" x14ac:dyDescent="0.25">
      <c r="B18968" s="11"/>
    </row>
    <row r="18969" spans="2:2" x14ac:dyDescent="0.25">
      <c r="B18969" s="11"/>
    </row>
    <row r="18970" spans="2:2" x14ac:dyDescent="0.25">
      <c r="B18970" s="11"/>
    </row>
    <row r="18971" spans="2:2" x14ac:dyDescent="0.25">
      <c r="B18971" s="11"/>
    </row>
    <row r="18972" spans="2:2" x14ac:dyDescent="0.25">
      <c r="B18972" s="11"/>
    </row>
    <row r="18973" spans="2:2" x14ac:dyDescent="0.25">
      <c r="B18973" s="11"/>
    </row>
    <row r="18974" spans="2:2" x14ac:dyDescent="0.25">
      <c r="B18974" s="11"/>
    </row>
    <row r="18975" spans="2:2" x14ac:dyDescent="0.25">
      <c r="B18975" s="11"/>
    </row>
    <row r="18976" spans="2:2" x14ac:dyDescent="0.25">
      <c r="B18976" s="11"/>
    </row>
    <row r="18977" spans="2:2" x14ac:dyDescent="0.25">
      <c r="B18977" s="11"/>
    </row>
    <row r="18978" spans="2:2" x14ac:dyDescent="0.25">
      <c r="B18978" s="11"/>
    </row>
    <row r="18979" spans="2:2" x14ac:dyDescent="0.25">
      <c r="B18979" s="11"/>
    </row>
    <row r="18980" spans="2:2" x14ac:dyDescent="0.25">
      <c r="B18980" s="11"/>
    </row>
    <row r="18981" spans="2:2" x14ac:dyDescent="0.25">
      <c r="B18981" s="11"/>
    </row>
    <row r="18982" spans="2:2" x14ac:dyDescent="0.25">
      <c r="B18982" s="11"/>
    </row>
    <row r="18983" spans="2:2" x14ac:dyDescent="0.25">
      <c r="B18983" s="11"/>
    </row>
    <row r="18984" spans="2:2" x14ac:dyDescent="0.25">
      <c r="B18984" s="11"/>
    </row>
    <row r="18985" spans="2:2" x14ac:dyDescent="0.25">
      <c r="B18985" s="11"/>
    </row>
    <row r="18986" spans="2:2" x14ac:dyDescent="0.25">
      <c r="B18986" s="11"/>
    </row>
    <row r="18987" spans="2:2" x14ac:dyDescent="0.25">
      <c r="B18987" s="11"/>
    </row>
    <row r="18988" spans="2:2" x14ac:dyDescent="0.25">
      <c r="B18988" s="11"/>
    </row>
    <row r="18989" spans="2:2" x14ac:dyDescent="0.25">
      <c r="B18989" s="11"/>
    </row>
    <row r="18990" spans="2:2" x14ac:dyDescent="0.25">
      <c r="B18990" s="11"/>
    </row>
    <row r="18991" spans="2:2" x14ac:dyDescent="0.25">
      <c r="B18991" s="11"/>
    </row>
    <row r="18992" spans="2:2" x14ac:dyDescent="0.25">
      <c r="B18992" s="11"/>
    </row>
    <row r="18993" spans="2:2" x14ac:dyDescent="0.25">
      <c r="B18993" s="11"/>
    </row>
    <row r="18994" spans="2:2" x14ac:dyDescent="0.25">
      <c r="B18994" s="11"/>
    </row>
    <row r="18995" spans="2:2" x14ac:dyDescent="0.25">
      <c r="B18995" s="11"/>
    </row>
    <row r="18996" spans="2:2" x14ac:dyDescent="0.25">
      <c r="B18996" s="11"/>
    </row>
    <row r="18997" spans="2:2" x14ac:dyDescent="0.25">
      <c r="B18997" s="11"/>
    </row>
    <row r="18998" spans="2:2" x14ac:dyDescent="0.25">
      <c r="B18998" s="11"/>
    </row>
    <row r="18999" spans="2:2" x14ac:dyDescent="0.25">
      <c r="B18999" s="11"/>
    </row>
    <row r="19000" spans="2:2" x14ac:dyDescent="0.25">
      <c r="B19000" s="11"/>
    </row>
    <row r="19001" spans="2:2" x14ac:dyDescent="0.25">
      <c r="B19001" s="11"/>
    </row>
    <row r="19002" spans="2:2" x14ac:dyDescent="0.25">
      <c r="B19002" s="11"/>
    </row>
    <row r="19003" spans="2:2" x14ac:dyDescent="0.25">
      <c r="B19003" s="11"/>
    </row>
    <row r="19004" spans="2:2" x14ac:dyDescent="0.25">
      <c r="B19004" s="11"/>
    </row>
    <row r="19005" spans="2:2" x14ac:dyDescent="0.25">
      <c r="B19005" s="11"/>
    </row>
    <row r="19006" spans="2:2" x14ac:dyDescent="0.25">
      <c r="B19006" s="11"/>
    </row>
    <row r="19007" spans="2:2" x14ac:dyDescent="0.25">
      <c r="B19007" s="11"/>
    </row>
    <row r="19008" spans="2:2" x14ac:dyDescent="0.25">
      <c r="B19008" s="11"/>
    </row>
    <row r="19009" spans="2:2" x14ac:dyDescent="0.25">
      <c r="B19009" s="11"/>
    </row>
    <row r="19010" spans="2:2" x14ac:dyDescent="0.25">
      <c r="B19010" s="11"/>
    </row>
    <row r="19011" spans="2:2" x14ac:dyDescent="0.25">
      <c r="B19011" s="11"/>
    </row>
    <row r="19012" spans="2:2" x14ac:dyDescent="0.25">
      <c r="B19012" s="11"/>
    </row>
    <row r="19013" spans="2:2" x14ac:dyDescent="0.25">
      <c r="B19013" s="11"/>
    </row>
    <row r="19014" spans="2:2" x14ac:dyDescent="0.25">
      <c r="B19014" s="11"/>
    </row>
    <row r="19015" spans="2:2" x14ac:dyDescent="0.25">
      <c r="B19015" s="11"/>
    </row>
    <row r="19016" spans="2:2" x14ac:dyDescent="0.25">
      <c r="B19016" s="11"/>
    </row>
    <row r="19017" spans="2:2" x14ac:dyDescent="0.25">
      <c r="B19017" s="11"/>
    </row>
    <row r="19018" spans="2:2" x14ac:dyDescent="0.25">
      <c r="B19018" s="11"/>
    </row>
    <row r="19019" spans="2:2" x14ac:dyDescent="0.25">
      <c r="B19019" s="11"/>
    </row>
    <row r="19020" spans="2:2" x14ac:dyDescent="0.25">
      <c r="B19020" s="11"/>
    </row>
    <row r="19021" spans="2:2" x14ac:dyDescent="0.25">
      <c r="B19021" s="11"/>
    </row>
    <row r="19022" spans="2:2" x14ac:dyDescent="0.25">
      <c r="B19022" s="11"/>
    </row>
    <row r="19023" spans="2:2" x14ac:dyDescent="0.25">
      <c r="B19023" s="11"/>
    </row>
    <row r="19024" spans="2:2" x14ac:dyDescent="0.25">
      <c r="B19024" s="11"/>
    </row>
    <row r="19025" spans="2:2" x14ac:dyDescent="0.25">
      <c r="B19025" s="11"/>
    </row>
    <row r="19026" spans="2:2" x14ac:dyDescent="0.25">
      <c r="B19026" s="11"/>
    </row>
    <row r="19027" spans="2:2" x14ac:dyDescent="0.25">
      <c r="B19027" s="11"/>
    </row>
    <row r="19028" spans="2:2" x14ac:dyDescent="0.25">
      <c r="B19028" s="11"/>
    </row>
    <row r="19029" spans="2:2" x14ac:dyDescent="0.25">
      <c r="B19029" s="11"/>
    </row>
    <row r="19030" spans="2:2" x14ac:dyDescent="0.25">
      <c r="B19030" s="11"/>
    </row>
    <row r="19031" spans="2:2" x14ac:dyDescent="0.25">
      <c r="B19031" s="11"/>
    </row>
    <row r="19032" spans="2:2" x14ac:dyDescent="0.25">
      <c r="B19032" s="11"/>
    </row>
    <row r="19033" spans="2:2" x14ac:dyDescent="0.25">
      <c r="B19033" s="11"/>
    </row>
    <row r="19034" spans="2:2" x14ac:dyDescent="0.25">
      <c r="B19034" s="11"/>
    </row>
    <row r="19035" spans="2:2" x14ac:dyDescent="0.25">
      <c r="B19035" s="11"/>
    </row>
    <row r="19036" spans="2:2" x14ac:dyDescent="0.25">
      <c r="B19036" s="11"/>
    </row>
    <row r="19037" spans="2:2" x14ac:dyDescent="0.25">
      <c r="B19037" s="11"/>
    </row>
    <row r="19038" spans="2:2" x14ac:dyDescent="0.25">
      <c r="B19038" s="11"/>
    </row>
    <row r="19039" spans="2:2" x14ac:dyDescent="0.25">
      <c r="B19039" s="11"/>
    </row>
    <row r="19040" spans="2:2" x14ac:dyDescent="0.25">
      <c r="B19040" s="11"/>
    </row>
    <row r="19041" spans="2:2" x14ac:dyDescent="0.25">
      <c r="B19041" s="11"/>
    </row>
    <row r="19042" spans="2:2" x14ac:dyDescent="0.25">
      <c r="B19042" s="11"/>
    </row>
    <row r="19043" spans="2:2" x14ac:dyDescent="0.25">
      <c r="B19043" s="11"/>
    </row>
    <row r="19044" spans="2:2" x14ac:dyDescent="0.25">
      <c r="B19044" s="11"/>
    </row>
    <row r="19045" spans="2:2" x14ac:dyDescent="0.25">
      <c r="B19045" s="11"/>
    </row>
    <row r="19046" spans="2:2" x14ac:dyDescent="0.25">
      <c r="B19046" s="11"/>
    </row>
    <row r="19047" spans="2:2" x14ac:dyDescent="0.25">
      <c r="B19047" s="11"/>
    </row>
    <row r="19048" spans="2:2" x14ac:dyDescent="0.25">
      <c r="B19048" s="11"/>
    </row>
    <row r="19049" spans="2:2" x14ac:dyDescent="0.25">
      <c r="B19049" s="11"/>
    </row>
    <row r="19050" spans="2:2" x14ac:dyDescent="0.25">
      <c r="B19050" s="11"/>
    </row>
    <row r="19051" spans="2:2" x14ac:dyDescent="0.25">
      <c r="B19051" s="11"/>
    </row>
    <row r="19052" spans="2:2" x14ac:dyDescent="0.25">
      <c r="B19052" s="11"/>
    </row>
    <row r="19053" spans="2:2" x14ac:dyDescent="0.25">
      <c r="B19053" s="11"/>
    </row>
    <row r="19054" spans="2:2" x14ac:dyDescent="0.25">
      <c r="B19054" s="11"/>
    </row>
    <row r="19055" spans="2:2" x14ac:dyDescent="0.25">
      <c r="B19055" s="11"/>
    </row>
    <row r="19056" spans="2:2" x14ac:dyDescent="0.25">
      <c r="B19056" s="11"/>
    </row>
    <row r="19057" spans="2:2" x14ac:dyDescent="0.25">
      <c r="B19057" s="11"/>
    </row>
    <row r="19058" spans="2:2" x14ac:dyDescent="0.25">
      <c r="B19058" s="11"/>
    </row>
    <row r="19059" spans="2:2" x14ac:dyDescent="0.25">
      <c r="B19059" s="11"/>
    </row>
    <row r="19060" spans="2:2" x14ac:dyDescent="0.25">
      <c r="B19060" s="11"/>
    </row>
    <row r="19061" spans="2:2" x14ac:dyDescent="0.25">
      <c r="B19061" s="11"/>
    </row>
    <row r="19062" spans="2:2" x14ac:dyDescent="0.25">
      <c r="B19062" s="11"/>
    </row>
    <row r="19063" spans="2:2" x14ac:dyDescent="0.25">
      <c r="B19063" s="11"/>
    </row>
    <row r="19064" spans="2:2" x14ac:dyDescent="0.25">
      <c r="B19064" s="11"/>
    </row>
    <row r="19065" spans="2:2" x14ac:dyDescent="0.25">
      <c r="B19065" s="11"/>
    </row>
    <row r="19066" spans="2:2" x14ac:dyDescent="0.25">
      <c r="B19066" s="11"/>
    </row>
    <row r="19067" spans="2:2" x14ac:dyDescent="0.25">
      <c r="B19067" s="11"/>
    </row>
    <row r="19068" spans="2:2" x14ac:dyDescent="0.25">
      <c r="B19068" s="11"/>
    </row>
    <row r="19069" spans="2:2" x14ac:dyDescent="0.25">
      <c r="B19069" s="11"/>
    </row>
    <row r="19070" spans="2:2" x14ac:dyDescent="0.25">
      <c r="B19070" s="11"/>
    </row>
    <row r="19071" spans="2:2" x14ac:dyDescent="0.25">
      <c r="B19071" s="11"/>
    </row>
    <row r="19072" spans="2:2" x14ac:dyDescent="0.25">
      <c r="B19072" s="11"/>
    </row>
    <row r="19073" spans="2:2" x14ac:dyDescent="0.25">
      <c r="B19073" s="11"/>
    </row>
    <row r="19074" spans="2:2" x14ac:dyDescent="0.25">
      <c r="B19074" s="11"/>
    </row>
    <row r="19075" spans="2:2" x14ac:dyDescent="0.25">
      <c r="B19075" s="11"/>
    </row>
    <row r="19076" spans="2:2" x14ac:dyDescent="0.25">
      <c r="B19076" s="11"/>
    </row>
    <row r="19077" spans="2:2" x14ac:dyDescent="0.25">
      <c r="B19077" s="11"/>
    </row>
    <row r="19078" spans="2:2" x14ac:dyDescent="0.25">
      <c r="B19078" s="11"/>
    </row>
    <row r="19079" spans="2:2" x14ac:dyDescent="0.25">
      <c r="B19079" s="11"/>
    </row>
    <row r="19080" spans="2:2" x14ac:dyDescent="0.25">
      <c r="B19080" s="11"/>
    </row>
    <row r="19081" spans="2:2" x14ac:dyDescent="0.25">
      <c r="B19081" s="11"/>
    </row>
    <row r="19082" spans="2:2" x14ac:dyDescent="0.25">
      <c r="B19082" s="11"/>
    </row>
    <row r="19083" spans="2:2" x14ac:dyDescent="0.25">
      <c r="B19083" s="11"/>
    </row>
    <row r="19084" spans="2:2" x14ac:dyDescent="0.25">
      <c r="B19084" s="11"/>
    </row>
    <row r="19085" spans="2:2" x14ac:dyDescent="0.25">
      <c r="B19085" s="11"/>
    </row>
    <row r="19086" spans="2:2" x14ac:dyDescent="0.25">
      <c r="B19086" s="11"/>
    </row>
    <row r="19087" spans="2:2" x14ac:dyDescent="0.25">
      <c r="B19087" s="11"/>
    </row>
    <row r="19088" spans="2:2" x14ac:dyDescent="0.25">
      <c r="B19088" s="11"/>
    </row>
    <row r="19089" spans="2:2" x14ac:dyDescent="0.25">
      <c r="B19089" s="11"/>
    </row>
    <row r="19090" spans="2:2" x14ac:dyDescent="0.25">
      <c r="B19090" s="11"/>
    </row>
    <row r="19091" spans="2:2" x14ac:dyDescent="0.25">
      <c r="B19091" s="11"/>
    </row>
    <row r="19092" spans="2:2" x14ac:dyDescent="0.25">
      <c r="B19092" s="11"/>
    </row>
    <row r="19093" spans="2:2" x14ac:dyDescent="0.25">
      <c r="B19093" s="11"/>
    </row>
    <row r="19094" spans="2:2" x14ac:dyDescent="0.25">
      <c r="B19094" s="11"/>
    </row>
    <row r="19095" spans="2:2" x14ac:dyDescent="0.25">
      <c r="B19095" s="11"/>
    </row>
    <row r="19096" spans="2:2" x14ac:dyDescent="0.25">
      <c r="B19096" s="11"/>
    </row>
    <row r="19097" spans="2:2" x14ac:dyDescent="0.25">
      <c r="B19097" s="11"/>
    </row>
    <row r="19098" spans="2:2" x14ac:dyDescent="0.25">
      <c r="B19098" s="11"/>
    </row>
    <row r="19099" spans="2:2" x14ac:dyDescent="0.25">
      <c r="B19099" s="11"/>
    </row>
    <row r="19100" spans="2:2" x14ac:dyDescent="0.25">
      <c r="B19100" s="11"/>
    </row>
    <row r="19101" spans="2:2" x14ac:dyDescent="0.25">
      <c r="B19101" s="11"/>
    </row>
    <row r="19102" spans="2:2" x14ac:dyDescent="0.25">
      <c r="B19102" s="11"/>
    </row>
    <row r="19103" spans="2:2" x14ac:dyDescent="0.25">
      <c r="B19103" s="11"/>
    </row>
    <row r="19104" spans="2:2" x14ac:dyDescent="0.25">
      <c r="B19104" s="11"/>
    </row>
    <row r="19105" spans="2:2" x14ac:dyDescent="0.25">
      <c r="B19105" s="11"/>
    </row>
    <row r="19106" spans="2:2" x14ac:dyDescent="0.25">
      <c r="B19106" s="11"/>
    </row>
    <row r="19107" spans="2:2" x14ac:dyDescent="0.25">
      <c r="B19107" s="11"/>
    </row>
    <row r="19108" spans="2:2" x14ac:dyDescent="0.25">
      <c r="B19108" s="11"/>
    </row>
    <row r="19109" spans="2:2" x14ac:dyDescent="0.25">
      <c r="B19109" s="11"/>
    </row>
    <row r="19110" spans="2:2" x14ac:dyDescent="0.25">
      <c r="B19110" s="11"/>
    </row>
    <row r="19111" spans="2:2" x14ac:dyDescent="0.25">
      <c r="B19111" s="11"/>
    </row>
    <row r="19112" spans="2:2" x14ac:dyDescent="0.25">
      <c r="B19112" s="11"/>
    </row>
    <row r="19113" spans="2:2" x14ac:dyDescent="0.25">
      <c r="B19113" s="11"/>
    </row>
    <row r="19114" spans="2:2" x14ac:dyDescent="0.25">
      <c r="B19114" s="11"/>
    </row>
    <row r="19115" spans="2:2" x14ac:dyDescent="0.25">
      <c r="B19115" s="11"/>
    </row>
    <row r="19116" spans="2:2" x14ac:dyDescent="0.25">
      <c r="B19116" s="11"/>
    </row>
    <row r="19117" spans="2:2" x14ac:dyDescent="0.25">
      <c r="B19117" s="11"/>
    </row>
    <row r="19118" spans="2:2" x14ac:dyDescent="0.25">
      <c r="B19118" s="11"/>
    </row>
    <row r="19119" spans="2:2" x14ac:dyDescent="0.25">
      <c r="B19119" s="11"/>
    </row>
    <row r="19120" spans="2:2" x14ac:dyDescent="0.25">
      <c r="B19120" s="11"/>
    </row>
    <row r="19121" spans="2:2" x14ac:dyDescent="0.25">
      <c r="B19121" s="11"/>
    </row>
    <row r="19122" spans="2:2" x14ac:dyDescent="0.25">
      <c r="B19122" s="11"/>
    </row>
    <row r="19123" spans="2:2" x14ac:dyDescent="0.25">
      <c r="B19123" s="11"/>
    </row>
    <row r="19124" spans="2:2" x14ac:dyDescent="0.25">
      <c r="B19124" s="11"/>
    </row>
    <row r="19125" spans="2:2" x14ac:dyDescent="0.25">
      <c r="B19125" s="11"/>
    </row>
    <row r="19126" spans="2:2" x14ac:dyDescent="0.25">
      <c r="B19126" s="11"/>
    </row>
    <row r="19127" spans="2:2" x14ac:dyDescent="0.25">
      <c r="B19127" s="11"/>
    </row>
    <row r="19128" spans="2:2" x14ac:dyDescent="0.25">
      <c r="B19128" s="11"/>
    </row>
    <row r="19129" spans="2:2" x14ac:dyDescent="0.25">
      <c r="B19129" s="11"/>
    </row>
    <row r="19130" spans="2:2" x14ac:dyDescent="0.25">
      <c r="B19130" s="11"/>
    </row>
    <row r="19131" spans="2:2" x14ac:dyDescent="0.25">
      <c r="B19131" s="11"/>
    </row>
    <row r="19132" spans="2:2" x14ac:dyDescent="0.25">
      <c r="B19132" s="11"/>
    </row>
    <row r="19133" spans="2:2" x14ac:dyDescent="0.25">
      <c r="B19133" s="11"/>
    </row>
    <row r="19134" spans="2:2" x14ac:dyDescent="0.25">
      <c r="B19134" s="11"/>
    </row>
    <row r="19135" spans="2:2" x14ac:dyDescent="0.25">
      <c r="B19135" s="11"/>
    </row>
    <row r="19136" spans="2:2" x14ac:dyDescent="0.25">
      <c r="B19136" s="11"/>
    </row>
    <row r="19137" spans="2:2" x14ac:dyDescent="0.25">
      <c r="B19137" s="11"/>
    </row>
    <row r="19138" spans="2:2" x14ac:dyDescent="0.25">
      <c r="B19138" s="11"/>
    </row>
    <row r="19139" spans="2:2" x14ac:dyDescent="0.25">
      <c r="B19139" s="11"/>
    </row>
    <row r="19140" spans="2:2" x14ac:dyDescent="0.25">
      <c r="B19140" s="11"/>
    </row>
    <row r="19141" spans="2:2" x14ac:dyDescent="0.25">
      <c r="B19141" s="11"/>
    </row>
    <row r="19142" spans="2:2" x14ac:dyDescent="0.25">
      <c r="B19142" s="11"/>
    </row>
    <row r="19143" spans="2:2" x14ac:dyDescent="0.25">
      <c r="B19143" s="11"/>
    </row>
    <row r="19144" spans="2:2" x14ac:dyDescent="0.25">
      <c r="B19144" s="11"/>
    </row>
    <row r="19145" spans="2:2" x14ac:dyDescent="0.25">
      <c r="B19145" s="11"/>
    </row>
    <row r="19146" spans="2:2" x14ac:dyDescent="0.25">
      <c r="B19146" s="11"/>
    </row>
    <row r="19147" spans="2:2" x14ac:dyDescent="0.25">
      <c r="B19147" s="11"/>
    </row>
    <row r="19148" spans="2:2" x14ac:dyDescent="0.25">
      <c r="B19148" s="11"/>
    </row>
    <row r="19149" spans="2:2" x14ac:dyDescent="0.25">
      <c r="B19149" s="11"/>
    </row>
    <row r="19150" spans="2:2" x14ac:dyDescent="0.25">
      <c r="B19150" s="11"/>
    </row>
    <row r="19151" spans="2:2" x14ac:dyDescent="0.25">
      <c r="B19151" s="11"/>
    </row>
    <row r="19152" spans="2:2" x14ac:dyDescent="0.25">
      <c r="B19152" s="11"/>
    </row>
    <row r="19153" spans="2:2" x14ac:dyDescent="0.25">
      <c r="B19153" s="11"/>
    </row>
    <row r="19154" spans="2:2" x14ac:dyDescent="0.25">
      <c r="B19154" s="11"/>
    </row>
    <row r="19155" spans="2:2" x14ac:dyDescent="0.25">
      <c r="B19155" s="11"/>
    </row>
    <row r="19156" spans="2:2" x14ac:dyDescent="0.25">
      <c r="B19156" s="11"/>
    </row>
    <row r="19157" spans="2:2" x14ac:dyDescent="0.25">
      <c r="B19157" s="11"/>
    </row>
    <row r="19158" spans="2:2" x14ac:dyDescent="0.25">
      <c r="B19158" s="11"/>
    </row>
    <row r="19159" spans="2:2" x14ac:dyDescent="0.25">
      <c r="B19159" s="11"/>
    </row>
    <row r="19160" spans="2:2" x14ac:dyDescent="0.25">
      <c r="B19160" s="11"/>
    </row>
    <row r="19161" spans="2:2" x14ac:dyDescent="0.25">
      <c r="B19161" s="11"/>
    </row>
    <row r="19162" spans="2:2" x14ac:dyDescent="0.25">
      <c r="B19162" s="11"/>
    </row>
    <row r="19163" spans="2:2" x14ac:dyDescent="0.25">
      <c r="B19163" s="11"/>
    </row>
    <row r="19164" spans="2:2" x14ac:dyDescent="0.25">
      <c r="B19164" s="11"/>
    </row>
    <row r="19165" spans="2:2" x14ac:dyDescent="0.25">
      <c r="B19165" s="11"/>
    </row>
    <row r="19166" spans="2:2" x14ac:dyDescent="0.25">
      <c r="B19166" s="11"/>
    </row>
    <row r="19167" spans="2:2" x14ac:dyDescent="0.25">
      <c r="B19167" s="11"/>
    </row>
    <row r="19168" spans="2:2" x14ac:dyDescent="0.25">
      <c r="B19168" s="11"/>
    </row>
    <row r="19169" spans="2:2" x14ac:dyDescent="0.25">
      <c r="B19169" s="11"/>
    </row>
    <row r="19170" spans="2:2" x14ac:dyDescent="0.25">
      <c r="B19170" s="11"/>
    </row>
    <row r="19171" spans="2:2" x14ac:dyDescent="0.25">
      <c r="B19171" s="11"/>
    </row>
    <row r="19172" spans="2:2" x14ac:dyDescent="0.25">
      <c r="B19172" s="11"/>
    </row>
    <row r="19173" spans="2:2" x14ac:dyDescent="0.25">
      <c r="B19173" s="11"/>
    </row>
    <row r="19174" spans="2:2" x14ac:dyDescent="0.25">
      <c r="B19174" s="11"/>
    </row>
    <row r="19175" spans="2:2" x14ac:dyDescent="0.25">
      <c r="B19175" s="11"/>
    </row>
    <row r="19176" spans="2:2" x14ac:dyDescent="0.25">
      <c r="B19176" s="11"/>
    </row>
    <row r="19177" spans="2:2" x14ac:dyDescent="0.25">
      <c r="B19177" s="11"/>
    </row>
    <row r="19178" spans="2:2" x14ac:dyDescent="0.25">
      <c r="B19178" s="11"/>
    </row>
    <row r="19179" spans="2:2" x14ac:dyDescent="0.25">
      <c r="B19179" s="11"/>
    </row>
    <row r="19180" spans="2:2" x14ac:dyDescent="0.25">
      <c r="B19180" s="11"/>
    </row>
    <row r="19181" spans="2:2" x14ac:dyDescent="0.25">
      <c r="B19181" s="11"/>
    </row>
    <row r="19182" spans="2:2" x14ac:dyDescent="0.25">
      <c r="B19182" s="11"/>
    </row>
    <row r="19183" spans="2:2" x14ac:dyDescent="0.25">
      <c r="B19183" s="11"/>
    </row>
    <row r="19184" spans="2:2" x14ac:dyDescent="0.25">
      <c r="B19184" s="11"/>
    </row>
    <row r="19185" spans="2:2" x14ac:dyDescent="0.25">
      <c r="B19185" s="11"/>
    </row>
    <row r="19186" spans="2:2" x14ac:dyDescent="0.25">
      <c r="B19186" s="11"/>
    </row>
    <row r="19187" spans="2:2" x14ac:dyDescent="0.25">
      <c r="B19187" s="11"/>
    </row>
    <row r="19188" spans="2:2" x14ac:dyDescent="0.25">
      <c r="B19188" s="11"/>
    </row>
    <row r="19189" spans="2:2" x14ac:dyDescent="0.25">
      <c r="B19189" s="11"/>
    </row>
    <row r="19190" spans="2:2" x14ac:dyDescent="0.25">
      <c r="B19190" s="11"/>
    </row>
    <row r="19191" spans="2:2" x14ac:dyDescent="0.25">
      <c r="B19191" s="11"/>
    </row>
    <row r="19192" spans="2:2" x14ac:dyDescent="0.25">
      <c r="B19192" s="11"/>
    </row>
    <row r="19193" spans="2:2" x14ac:dyDescent="0.25">
      <c r="B19193" s="11"/>
    </row>
    <row r="19194" spans="2:2" x14ac:dyDescent="0.25">
      <c r="B19194" s="11"/>
    </row>
    <row r="19195" spans="2:2" x14ac:dyDescent="0.25">
      <c r="B19195" s="11"/>
    </row>
    <row r="19196" spans="2:2" x14ac:dyDescent="0.25">
      <c r="B19196" s="11"/>
    </row>
    <row r="19197" spans="2:2" x14ac:dyDescent="0.25">
      <c r="B19197" s="11"/>
    </row>
    <row r="19198" spans="2:2" x14ac:dyDescent="0.25">
      <c r="B19198" s="11"/>
    </row>
    <row r="19199" spans="2:2" x14ac:dyDescent="0.25">
      <c r="B19199" s="11"/>
    </row>
    <row r="19200" spans="2:2" x14ac:dyDescent="0.25">
      <c r="B19200" s="11"/>
    </row>
    <row r="19201" spans="2:2" x14ac:dyDescent="0.25">
      <c r="B19201" s="11"/>
    </row>
    <row r="19202" spans="2:2" x14ac:dyDescent="0.25">
      <c r="B19202" s="11"/>
    </row>
    <row r="19203" spans="2:2" x14ac:dyDescent="0.25">
      <c r="B19203" s="11"/>
    </row>
    <row r="19204" spans="2:2" x14ac:dyDescent="0.25">
      <c r="B19204" s="11"/>
    </row>
    <row r="19205" spans="2:2" x14ac:dyDescent="0.25">
      <c r="B19205" s="11"/>
    </row>
    <row r="19206" spans="2:2" x14ac:dyDescent="0.25">
      <c r="B19206" s="11"/>
    </row>
    <row r="19207" spans="2:2" x14ac:dyDescent="0.25">
      <c r="B19207" s="11"/>
    </row>
    <row r="19208" spans="2:2" x14ac:dyDescent="0.25">
      <c r="B19208" s="11"/>
    </row>
    <row r="19209" spans="2:2" x14ac:dyDescent="0.25">
      <c r="B19209" s="11"/>
    </row>
    <row r="19210" spans="2:2" x14ac:dyDescent="0.25">
      <c r="B19210" s="11"/>
    </row>
    <row r="19211" spans="2:2" x14ac:dyDescent="0.25">
      <c r="B19211" s="11"/>
    </row>
    <row r="19212" spans="2:2" x14ac:dyDescent="0.25">
      <c r="B19212" s="11"/>
    </row>
    <row r="19213" spans="2:2" x14ac:dyDescent="0.25">
      <c r="B19213" s="11"/>
    </row>
    <row r="19214" spans="2:2" x14ac:dyDescent="0.25">
      <c r="B19214" s="11"/>
    </row>
    <row r="19215" spans="2:2" x14ac:dyDescent="0.25">
      <c r="B19215" s="11"/>
    </row>
    <row r="19216" spans="2:2" x14ac:dyDescent="0.25">
      <c r="B19216" s="11"/>
    </row>
    <row r="19217" spans="2:2" x14ac:dyDescent="0.25">
      <c r="B19217" s="11"/>
    </row>
    <row r="19218" spans="2:2" x14ac:dyDescent="0.25">
      <c r="B19218" s="11"/>
    </row>
    <row r="19219" spans="2:2" x14ac:dyDescent="0.25">
      <c r="B19219" s="11"/>
    </row>
    <row r="19220" spans="2:2" x14ac:dyDescent="0.25">
      <c r="B19220" s="11"/>
    </row>
    <row r="19221" spans="2:2" x14ac:dyDescent="0.25">
      <c r="B19221" s="11"/>
    </row>
    <row r="19222" spans="2:2" x14ac:dyDescent="0.25">
      <c r="B19222" s="11"/>
    </row>
    <row r="19223" spans="2:2" x14ac:dyDescent="0.25">
      <c r="B19223" s="11"/>
    </row>
    <row r="19224" spans="2:2" x14ac:dyDescent="0.25">
      <c r="B19224" s="11"/>
    </row>
    <row r="19225" spans="2:2" x14ac:dyDescent="0.25">
      <c r="B19225" s="11"/>
    </row>
    <row r="19226" spans="2:2" x14ac:dyDescent="0.25">
      <c r="B19226" s="11"/>
    </row>
    <row r="19227" spans="2:2" x14ac:dyDescent="0.25">
      <c r="B19227" s="11"/>
    </row>
    <row r="19228" spans="2:2" x14ac:dyDescent="0.25">
      <c r="B19228" s="11"/>
    </row>
    <row r="19229" spans="2:2" x14ac:dyDescent="0.25">
      <c r="B19229" s="11"/>
    </row>
    <row r="19230" spans="2:2" x14ac:dyDescent="0.25">
      <c r="B19230" s="11"/>
    </row>
    <row r="19231" spans="2:2" x14ac:dyDescent="0.25">
      <c r="B19231" s="11"/>
    </row>
    <row r="19232" spans="2:2" x14ac:dyDescent="0.25">
      <c r="B19232" s="11"/>
    </row>
    <row r="19233" spans="2:2" x14ac:dyDescent="0.25">
      <c r="B19233" s="11"/>
    </row>
    <row r="19234" spans="2:2" x14ac:dyDescent="0.25">
      <c r="B19234" s="11"/>
    </row>
    <row r="19235" spans="2:2" x14ac:dyDescent="0.25">
      <c r="B19235" s="11"/>
    </row>
    <row r="19236" spans="2:2" x14ac:dyDescent="0.25">
      <c r="B19236" s="11"/>
    </row>
    <row r="19237" spans="2:2" x14ac:dyDescent="0.25">
      <c r="B19237" s="11"/>
    </row>
    <row r="19238" spans="2:2" x14ac:dyDescent="0.25">
      <c r="B19238" s="11"/>
    </row>
    <row r="19239" spans="2:2" x14ac:dyDescent="0.25">
      <c r="B19239" s="11"/>
    </row>
    <row r="19240" spans="2:2" x14ac:dyDescent="0.25">
      <c r="B19240" s="11"/>
    </row>
    <row r="19241" spans="2:2" x14ac:dyDescent="0.25">
      <c r="B19241" s="11"/>
    </row>
    <row r="19242" spans="2:2" x14ac:dyDescent="0.25">
      <c r="B19242" s="11"/>
    </row>
    <row r="19243" spans="2:2" x14ac:dyDescent="0.25">
      <c r="B19243" s="11"/>
    </row>
    <row r="19244" spans="2:2" x14ac:dyDescent="0.25">
      <c r="B19244" s="11"/>
    </row>
    <row r="19245" spans="2:2" x14ac:dyDescent="0.25">
      <c r="B19245" s="11"/>
    </row>
    <row r="19246" spans="2:2" x14ac:dyDescent="0.25">
      <c r="B19246" s="11"/>
    </row>
    <row r="19247" spans="2:2" x14ac:dyDescent="0.25">
      <c r="B19247" s="11"/>
    </row>
    <row r="19248" spans="2:2" x14ac:dyDescent="0.25">
      <c r="B19248" s="11"/>
    </row>
    <row r="19249" spans="2:2" x14ac:dyDescent="0.25">
      <c r="B19249" s="11"/>
    </row>
    <row r="19250" spans="2:2" x14ac:dyDescent="0.25">
      <c r="B19250" s="11"/>
    </row>
    <row r="19251" spans="2:2" x14ac:dyDescent="0.25">
      <c r="B19251" s="11"/>
    </row>
    <row r="19252" spans="2:2" x14ac:dyDescent="0.25">
      <c r="B19252" s="11"/>
    </row>
    <row r="19253" spans="2:2" x14ac:dyDescent="0.25">
      <c r="B19253" s="11"/>
    </row>
    <row r="19254" spans="2:2" x14ac:dyDescent="0.25">
      <c r="B19254" s="11"/>
    </row>
    <row r="19255" spans="2:2" x14ac:dyDescent="0.25">
      <c r="B19255" s="11"/>
    </row>
    <row r="19256" spans="2:2" x14ac:dyDescent="0.25">
      <c r="B19256" s="11"/>
    </row>
    <row r="19257" spans="2:2" x14ac:dyDescent="0.25">
      <c r="B19257" s="11"/>
    </row>
    <row r="19258" spans="2:2" x14ac:dyDescent="0.25">
      <c r="B19258" s="11"/>
    </row>
    <row r="19259" spans="2:2" x14ac:dyDescent="0.25">
      <c r="B19259" s="11"/>
    </row>
    <row r="19260" spans="2:2" x14ac:dyDescent="0.25">
      <c r="B19260" s="11"/>
    </row>
    <row r="19261" spans="2:2" x14ac:dyDescent="0.25">
      <c r="B19261" s="11"/>
    </row>
    <row r="19262" spans="2:2" x14ac:dyDescent="0.25">
      <c r="B19262" s="11"/>
    </row>
    <row r="19263" spans="2:2" x14ac:dyDescent="0.25">
      <c r="B19263" s="11"/>
    </row>
    <row r="19264" spans="2:2" x14ac:dyDescent="0.25">
      <c r="B19264" s="11"/>
    </row>
    <row r="19265" spans="2:2" x14ac:dyDescent="0.25">
      <c r="B19265" s="11"/>
    </row>
    <row r="19266" spans="2:2" x14ac:dyDescent="0.25">
      <c r="B19266" s="11"/>
    </row>
    <row r="19267" spans="2:2" x14ac:dyDescent="0.25">
      <c r="B19267" s="11"/>
    </row>
    <row r="19268" spans="2:2" x14ac:dyDescent="0.25">
      <c r="B19268" s="11"/>
    </row>
    <row r="19269" spans="2:2" x14ac:dyDescent="0.25">
      <c r="B19269" s="11"/>
    </row>
    <row r="19270" spans="2:2" x14ac:dyDescent="0.25">
      <c r="B19270" s="11"/>
    </row>
    <row r="19271" spans="2:2" x14ac:dyDescent="0.25">
      <c r="B19271" s="11"/>
    </row>
    <row r="19272" spans="2:2" x14ac:dyDescent="0.25">
      <c r="B19272" s="11"/>
    </row>
    <row r="19273" spans="2:2" x14ac:dyDescent="0.25">
      <c r="B19273" s="11"/>
    </row>
    <row r="19274" spans="2:2" x14ac:dyDescent="0.25">
      <c r="B19274" s="11"/>
    </row>
    <row r="19275" spans="2:2" x14ac:dyDescent="0.25">
      <c r="B19275" s="11"/>
    </row>
    <row r="19276" spans="2:2" x14ac:dyDescent="0.25">
      <c r="B19276" s="11"/>
    </row>
    <row r="19277" spans="2:2" x14ac:dyDescent="0.25">
      <c r="B19277" s="11"/>
    </row>
    <row r="19278" spans="2:2" x14ac:dyDescent="0.25">
      <c r="B19278" s="11"/>
    </row>
    <row r="19279" spans="2:2" x14ac:dyDescent="0.25">
      <c r="B19279" s="11"/>
    </row>
    <row r="19280" spans="2:2" x14ac:dyDescent="0.25">
      <c r="B19280" s="11"/>
    </row>
    <row r="19281" spans="2:2" x14ac:dyDescent="0.25">
      <c r="B19281" s="11"/>
    </row>
    <row r="19282" spans="2:2" x14ac:dyDescent="0.25">
      <c r="B19282" s="11"/>
    </row>
    <row r="19283" spans="2:2" x14ac:dyDescent="0.25">
      <c r="B19283" s="11"/>
    </row>
    <row r="19284" spans="2:2" x14ac:dyDescent="0.25">
      <c r="B19284" s="11"/>
    </row>
    <row r="19285" spans="2:2" x14ac:dyDescent="0.25">
      <c r="B19285" s="11"/>
    </row>
    <row r="19286" spans="2:2" x14ac:dyDescent="0.25">
      <c r="B19286" s="11"/>
    </row>
    <row r="19287" spans="2:2" x14ac:dyDescent="0.25">
      <c r="B19287" s="11"/>
    </row>
    <row r="19288" spans="2:2" x14ac:dyDescent="0.25">
      <c r="B19288" s="11"/>
    </row>
    <row r="19289" spans="2:2" x14ac:dyDescent="0.25">
      <c r="B19289" s="11"/>
    </row>
    <row r="19290" spans="2:2" x14ac:dyDescent="0.25">
      <c r="B19290" s="11"/>
    </row>
    <row r="19291" spans="2:2" x14ac:dyDescent="0.25">
      <c r="B19291" s="11"/>
    </row>
    <row r="19292" spans="2:2" x14ac:dyDescent="0.25">
      <c r="B19292" s="11"/>
    </row>
    <row r="19293" spans="2:2" x14ac:dyDescent="0.25">
      <c r="B19293" s="11"/>
    </row>
    <row r="19294" spans="2:2" x14ac:dyDescent="0.25">
      <c r="B19294" s="11"/>
    </row>
    <row r="19295" spans="2:2" x14ac:dyDescent="0.25">
      <c r="B19295" s="11"/>
    </row>
    <row r="19296" spans="2:2" x14ac:dyDescent="0.25">
      <c r="B19296" s="11"/>
    </row>
    <row r="19297" spans="2:2" x14ac:dyDescent="0.25">
      <c r="B19297" s="11"/>
    </row>
    <row r="19298" spans="2:2" x14ac:dyDescent="0.25">
      <c r="B19298" s="11"/>
    </row>
    <row r="19299" spans="2:2" x14ac:dyDescent="0.25">
      <c r="B19299" s="11"/>
    </row>
    <row r="19300" spans="2:2" x14ac:dyDescent="0.25">
      <c r="B19300" s="11"/>
    </row>
    <row r="19301" spans="2:2" x14ac:dyDescent="0.25">
      <c r="B19301" s="11"/>
    </row>
    <row r="19302" spans="2:2" x14ac:dyDescent="0.25">
      <c r="B19302" s="11"/>
    </row>
    <row r="19303" spans="2:2" x14ac:dyDescent="0.25">
      <c r="B19303" s="11"/>
    </row>
    <row r="19304" spans="2:2" x14ac:dyDescent="0.25">
      <c r="B19304" s="11"/>
    </row>
    <row r="19305" spans="2:2" x14ac:dyDescent="0.25">
      <c r="B19305" s="11"/>
    </row>
    <row r="19306" spans="2:2" x14ac:dyDescent="0.25">
      <c r="B19306" s="11"/>
    </row>
    <row r="19307" spans="2:2" x14ac:dyDescent="0.25">
      <c r="B19307" s="11"/>
    </row>
    <row r="19308" spans="2:2" x14ac:dyDescent="0.25">
      <c r="B19308" s="11"/>
    </row>
    <row r="19309" spans="2:2" x14ac:dyDescent="0.25">
      <c r="B19309" s="11"/>
    </row>
    <row r="19310" spans="2:2" x14ac:dyDescent="0.25">
      <c r="B19310" s="11"/>
    </row>
    <row r="19311" spans="2:2" x14ac:dyDescent="0.25">
      <c r="B19311" s="11"/>
    </row>
    <row r="19312" spans="2:2" x14ac:dyDescent="0.25">
      <c r="B19312" s="11"/>
    </row>
    <row r="19313" spans="2:2" x14ac:dyDescent="0.25">
      <c r="B19313" s="11"/>
    </row>
    <row r="19314" spans="2:2" x14ac:dyDescent="0.25">
      <c r="B19314" s="11"/>
    </row>
    <row r="19315" spans="2:2" x14ac:dyDescent="0.25">
      <c r="B19315" s="11"/>
    </row>
    <row r="19316" spans="2:2" x14ac:dyDescent="0.25">
      <c r="B19316" s="11"/>
    </row>
    <row r="19317" spans="2:2" x14ac:dyDescent="0.25">
      <c r="B19317" s="11"/>
    </row>
    <row r="19318" spans="2:2" x14ac:dyDescent="0.25">
      <c r="B19318" s="11"/>
    </row>
    <row r="19319" spans="2:2" x14ac:dyDescent="0.25">
      <c r="B19319" s="11"/>
    </row>
    <row r="19320" spans="2:2" x14ac:dyDescent="0.25">
      <c r="B19320" s="11"/>
    </row>
    <row r="19321" spans="2:2" x14ac:dyDescent="0.25">
      <c r="B19321" s="11"/>
    </row>
    <row r="19322" spans="2:2" x14ac:dyDescent="0.25">
      <c r="B19322" s="11"/>
    </row>
    <row r="19323" spans="2:2" x14ac:dyDescent="0.25">
      <c r="B19323" s="11"/>
    </row>
    <row r="19324" spans="2:2" x14ac:dyDescent="0.25">
      <c r="B19324" s="11"/>
    </row>
    <row r="19325" spans="2:2" x14ac:dyDescent="0.25">
      <c r="B19325" s="11"/>
    </row>
    <row r="19326" spans="2:2" x14ac:dyDescent="0.25">
      <c r="B19326" s="11"/>
    </row>
    <row r="19327" spans="2:2" x14ac:dyDescent="0.25">
      <c r="B19327" s="11"/>
    </row>
    <row r="19328" spans="2:2" x14ac:dyDescent="0.25">
      <c r="B19328" s="11"/>
    </row>
    <row r="19329" spans="2:2" x14ac:dyDescent="0.25">
      <c r="B19329" s="11"/>
    </row>
    <row r="19330" spans="2:2" x14ac:dyDescent="0.25">
      <c r="B19330" s="11"/>
    </row>
    <row r="19331" spans="2:2" x14ac:dyDescent="0.25">
      <c r="B19331" s="11"/>
    </row>
    <row r="19332" spans="2:2" x14ac:dyDescent="0.25">
      <c r="B19332" s="11"/>
    </row>
    <row r="19333" spans="2:2" x14ac:dyDescent="0.25">
      <c r="B19333" s="11"/>
    </row>
    <row r="19334" spans="2:2" x14ac:dyDescent="0.25">
      <c r="B19334" s="11"/>
    </row>
    <row r="19335" spans="2:2" x14ac:dyDescent="0.25">
      <c r="B19335" s="11"/>
    </row>
    <row r="19336" spans="2:2" x14ac:dyDescent="0.25">
      <c r="B19336" s="11"/>
    </row>
    <row r="19337" spans="2:2" x14ac:dyDescent="0.25">
      <c r="B19337" s="11"/>
    </row>
    <row r="19338" spans="2:2" x14ac:dyDescent="0.25">
      <c r="B19338" s="11"/>
    </row>
    <row r="19339" spans="2:2" x14ac:dyDescent="0.25">
      <c r="B19339" s="11"/>
    </row>
    <row r="19340" spans="2:2" x14ac:dyDescent="0.25">
      <c r="B19340" s="11"/>
    </row>
    <row r="19341" spans="2:2" x14ac:dyDescent="0.25">
      <c r="B19341" s="11"/>
    </row>
    <row r="19342" spans="2:2" x14ac:dyDescent="0.25">
      <c r="B19342" s="11"/>
    </row>
    <row r="19343" spans="2:2" x14ac:dyDescent="0.25">
      <c r="B19343" s="11"/>
    </row>
    <row r="19344" spans="2:2" x14ac:dyDescent="0.25">
      <c r="B19344" s="11"/>
    </row>
    <row r="19345" spans="2:2" x14ac:dyDescent="0.25">
      <c r="B19345" s="11"/>
    </row>
    <row r="19346" spans="2:2" x14ac:dyDescent="0.25">
      <c r="B19346" s="11"/>
    </row>
    <row r="19347" spans="2:2" x14ac:dyDescent="0.25">
      <c r="B19347" s="11"/>
    </row>
    <row r="19348" spans="2:2" x14ac:dyDescent="0.25">
      <c r="B19348" s="11"/>
    </row>
    <row r="19349" spans="2:2" x14ac:dyDescent="0.25">
      <c r="B19349" s="11"/>
    </row>
    <row r="19350" spans="2:2" x14ac:dyDescent="0.25">
      <c r="B19350" s="11"/>
    </row>
    <row r="19351" spans="2:2" x14ac:dyDescent="0.25">
      <c r="B19351" s="11"/>
    </row>
    <row r="19352" spans="2:2" x14ac:dyDescent="0.25">
      <c r="B19352" s="11"/>
    </row>
    <row r="19353" spans="2:2" x14ac:dyDescent="0.25">
      <c r="B19353" s="11"/>
    </row>
    <row r="19354" spans="2:2" x14ac:dyDescent="0.25">
      <c r="B19354" s="11"/>
    </row>
    <row r="19355" spans="2:2" x14ac:dyDescent="0.25">
      <c r="B19355" s="11"/>
    </row>
    <row r="19356" spans="2:2" x14ac:dyDescent="0.25">
      <c r="B19356" s="11"/>
    </row>
    <row r="19357" spans="2:2" x14ac:dyDescent="0.25">
      <c r="B19357" s="11"/>
    </row>
    <row r="19358" spans="2:2" x14ac:dyDescent="0.25">
      <c r="B19358" s="11"/>
    </row>
    <row r="19359" spans="2:2" x14ac:dyDescent="0.25">
      <c r="B19359" s="11"/>
    </row>
    <row r="19360" spans="2:2" x14ac:dyDescent="0.25">
      <c r="B19360" s="11"/>
    </row>
    <row r="19361" spans="2:2" x14ac:dyDescent="0.25">
      <c r="B19361" s="11"/>
    </row>
    <row r="19362" spans="2:2" x14ac:dyDescent="0.25">
      <c r="B19362" s="11"/>
    </row>
    <row r="19363" spans="2:2" x14ac:dyDescent="0.25">
      <c r="B19363" s="11"/>
    </row>
    <row r="19364" spans="2:2" x14ac:dyDescent="0.25">
      <c r="B19364" s="11"/>
    </row>
    <row r="19365" spans="2:2" x14ac:dyDescent="0.25">
      <c r="B19365" s="11"/>
    </row>
    <row r="19366" spans="2:2" x14ac:dyDescent="0.25">
      <c r="B19366" s="11"/>
    </row>
    <row r="19367" spans="2:2" x14ac:dyDescent="0.25">
      <c r="B19367" s="11"/>
    </row>
    <row r="19368" spans="2:2" x14ac:dyDescent="0.25">
      <c r="B19368" s="11"/>
    </row>
    <row r="19369" spans="2:2" x14ac:dyDescent="0.25">
      <c r="B19369" s="11"/>
    </row>
    <row r="19370" spans="2:2" x14ac:dyDescent="0.25">
      <c r="B19370" s="11"/>
    </row>
    <row r="19371" spans="2:2" x14ac:dyDescent="0.25">
      <c r="B19371" s="11"/>
    </row>
    <row r="19372" spans="2:2" x14ac:dyDescent="0.25">
      <c r="B19372" s="11"/>
    </row>
    <row r="19373" spans="2:2" x14ac:dyDescent="0.25">
      <c r="B19373" s="11"/>
    </row>
    <row r="19374" spans="2:2" x14ac:dyDescent="0.25">
      <c r="B19374" s="11"/>
    </row>
    <row r="19375" spans="2:2" x14ac:dyDescent="0.25">
      <c r="B19375" s="11"/>
    </row>
    <row r="19376" spans="2:2" x14ac:dyDescent="0.25">
      <c r="B19376" s="11"/>
    </row>
    <row r="19377" spans="2:2" x14ac:dyDescent="0.25">
      <c r="B19377" s="11"/>
    </row>
    <row r="19378" spans="2:2" x14ac:dyDescent="0.25">
      <c r="B19378" s="11"/>
    </row>
    <row r="19379" spans="2:2" x14ac:dyDescent="0.25">
      <c r="B19379" s="11"/>
    </row>
    <row r="19380" spans="2:2" x14ac:dyDescent="0.25">
      <c r="B19380" s="11"/>
    </row>
    <row r="19381" spans="2:2" x14ac:dyDescent="0.25">
      <c r="B19381" s="11"/>
    </row>
    <row r="19382" spans="2:2" x14ac:dyDescent="0.25">
      <c r="B19382" s="11"/>
    </row>
    <row r="19383" spans="2:2" x14ac:dyDescent="0.25">
      <c r="B19383" s="11"/>
    </row>
    <row r="19384" spans="2:2" x14ac:dyDescent="0.25">
      <c r="B19384" s="11"/>
    </row>
    <row r="19385" spans="2:2" x14ac:dyDescent="0.25">
      <c r="B19385" s="11"/>
    </row>
    <row r="19386" spans="2:2" x14ac:dyDescent="0.25">
      <c r="B19386" s="11"/>
    </row>
    <row r="19387" spans="2:2" x14ac:dyDescent="0.25">
      <c r="B19387" s="11"/>
    </row>
    <row r="19388" spans="2:2" x14ac:dyDescent="0.25">
      <c r="B19388" s="11"/>
    </row>
    <row r="19389" spans="2:2" x14ac:dyDescent="0.25">
      <c r="B19389" s="11"/>
    </row>
    <row r="19390" spans="2:2" x14ac:dyDescent="0.25">
      <c r="B19390" s="11"/>
    </row>
    <row r="19391" spans="2:2" x14ac:dyDescent="0.25">
      <c r="B19391" s="11"/>
    </row>
    <row r="19392" spans="2:2" x14ac:dyDescent="0.25">
      <c r="B19392" s="11"/>
    </row>
    <row r="19393" spans="2:2" x14ac:dyDescent="0.25">
      <c r="B19393" s="11"/>
    </row>
    <row r="19394" spans="2:2" x14ac:dyDescent="0.25">
      <c r="B19394" s="11"/>
    </row>
    <row r="19395" spans="2:2" x14ac:dyDescent="0.25">
      <c r="B19395" s="11"/>
    </row>
    <row r="19396" spans="2:2" x14ac:dyDescent="0.25">
      <c r="B19396" s="11"/>
    </row>
    <row r="19397" spans="2:2" x14ac:dyDescent="0.25">
      <c r="B19397" s="11"/>
    </row>
    <row r="19398" spans="2:2" x14ac:dyDescent="0.25">
      <c r="B19398" s="11"/>
    </row>
    <row r="19399" spans="2:2" x14ac:dyDescent="0.25">
      <c r="B19399" s="11"/>
    </row>
    <row r="19400" spans="2:2" x14ac:dyDescent="0.25">
      <c r="B19400" s="11"/>
    </row>
    <row r="19401" spans="2:2" x14ac:dyDescent="0.25">
      <c r="B19401" s="11"/>
    </row>
    <row r="19402" spans="2:2" x14ac:dyDescent="0.25">
      <c r="B19402" s="11"/>
    </row>
    <row r="19403" spans="2:2" x14ac:dyDescent="0.25">
      <c r="B19403" s="11"/>
    </row>
    <row r="19404" spans="2:2" x14ac:dyDescent="0.25">
      <c r="B19404" s="11"/>
    </row>
    <row r="19405" spans="2:2" x14ac:dyDescent="0.25">
      <c r="B19405" s="11"/>
    </row>
    <row r="19406" spans="2:2" x14ac:dyDescent="0.25">
      <c r="B19406" s="11"/>
    </row>
    <row r="19407" spans="2:2" x14ac:dyDescent="0.25">
      <c r="B19407" s="11"/>
    </row>
    <row r="19408" spans="2:2" x14ac:dyDescent="0.25">
      <c r="B19408" s="11"/>
    </row>
    <row r="19409" spans="2:2" x14ac:dyDescent="0.25">
      <c r="B19409" s="11"/>
    </row>
    <row r="19410" spans="2:2" x14ac:dyDescent="0.25">
      <c r="B19410" s="11"/>
    </row>
    <row r="19411" spans="2:2" x14ac:dyDescent="0.25">
      <c r="B19411" s="11"/>
    </row>
    <row r="19412" spans="2:2" x14ac:dyDescent="0.25">
      <c r="B19412" s="11"/>
    </row>
    <row r="19413" spans="2:2" x14ac:dyDescent="0.25">
      <c r="B19413" s="11"/>
    </row>
    <row r="19414" spans="2:2" x14ac:dyDescent="0.25">
      <c r="B19414" s="11"/>
    </row>
    <row r="19415" spans="2:2" x14ac:dyDescent="0.25">
      <c r="B19415" s="11"/>
    </row>
    <row r="19416" spans="2:2" x14ac:dyDescent="0.25">
      <c r="B19416" s="11"/>
    </row>
    <row r="19417" spans="2:2" x14ac:dyDescent="0.25">
      <c r="B19417" s="11"/>
    </row>
    <row r="19418" spans="2:2" x14ac:dyDescent="0.25">
      <c r="B19418" s="11"/>
    </row>
    <row r="19419" spans="2:2" x14ac:dyDescent="0.25">
      <c r="B19419" s="11"/>
    </row>
    <row r="19420" spans="2:2" x14ac:dyDescent="0.25">
      <c r="B19420" s="11"/>
    </row>
    <row r="19421" spans="2:2" x14ac:dyDescent="0.25">
      <c r="B19421" s="11"/>
    </row>
    <row r="19422" spans="2:2" x14ac:dyDescent="0.25">
      <c r="B19422" s="11"/>
    </row>
    <row r="19423" spans="2:2" x14ac:dyDescent="0.25">
      <c r="B19423" s="11"/>
    </row>
    <row r="19424" spans="2:2" x14ac:dyDescent="0.25">
      <c r="B19424" s="11"/>
    </row>
    <row r="19425" spans="2:2" x14ac:dyDescent="0.25">
      <c r="B19425" s="11"/>
    </row>
    <row r="19426" spans="2:2" x14ac:dyDescent="0.25">
      <c r="B19426" s="11"/>
    </row>
    <row r="19427" spans="2:2" x14ac:dyDescent="0.25">
      <c r="B19427" s="11"/>
    </row>
    <row r="19428" spans="2:2" x14ac:dyDescent="0.25">
      <c r="B19428" s="11"/>
    </row>
    <row r="19429" spans="2:2" x14ac:dyDescent="0.25">
      <c r="B19429" s="11"/>
    </row>
    <row r="19430" spans="2:2" x14ac:dyDescent="0.25">
      <c r="B19430" s="11"/>
    </row>
    <row r="19431" spans="2:2" x14ac:dyDescent="0.25">
      <c r="B19431" s="11"/>
    </row>
    <row r="19432" spans="2:2" x14ac:dyDescent="0.25">
      <c r="B19432" s="11"/>
    </row>
    <row r="19433" spans="2:2" x14ac:dyDescent="0.25">
      <c r="B19433" s="11"/>
    </row>
    <row r="19434" spans="2:2" x14ac:dyDescent="0.25">
      <c r="B19434" s="11"/>
    </row>
    <row r="19435" spans="2:2" x14ac:dyDescent="0.25">
      <c r="B19435" s="11"/>
    </row>
    <row r="19436" spans="2:2" x14ac:dyDescent="0.25">
      <c r="B19436" s="11"/>
    </row>
    <row r="19437" spans="2:2" x14ac:dyDescent="0.25">
      <c r="B19437" s="11"/>
    </row>
    <row r="19438" spans="2:2" x14ac:dyDescent="0.25">
      <c r="B19438" s="11"/>
    </row>
    <row r="19439" spans="2:2" x14ac:dyDescent="0.25">
      <c r="B19439" s="11"/>
    </row>
    <row r="19440" spans="2:2" x14ac:dyDescent="0.25">
      <c r="B19440" s="11"/>
    </row>
    <row r="19441" spans="2:2" x14ac:dyDescent="0.25">
      <c r="B19441" s="11"/>
    </row>
    <row r="19442" spans="2:2" x14ac:dyDescent="0.25">
      <c r="B19442" s="11"/>
    </row>
    <row r="19443" spans="2:2" x14ac:dyDescent="0.25">
      <c r="B19443" s="11"/>
    </row>
    <row r="19444" spans="2:2" x14ac:dyDescent="0.25">
      <c r="B19444" s="11"/>
    </row>
    <row r="19445" spans="2:2" x14ac:dyDescent="0.25">
      <c r="B19445" s="11"/>
    </row>
    <row r="19446" spans="2:2" x14ac:dyDescent="0.25">
      <c r="B19446" s="11"/>
    </row>
    <row r="19447" spans="2:2" x14ac:dyDescent="0.25">
      <c r="B19447" s="11"/>
    </row>
    <row r="19448" spans="2:2" x14ac:dyDescent="0.25">
      <c r="B19448" s="11"/>
    </row>
    <row r="19449" spans="2:2" x14ac:dyDescent="0.25">
      <c r="B19449" s="11"/>
    </row>
    <row r="19450" spans="2:2" x14ac:dyDescent="0.25">
      <c r="B19450" s="11"/>
    </row>
    <row r="19451" spans="2:2" x14ac:dyDescent="0.25">
      <c r="B19451" s="11"/>
    </row>
    <row r="19452" spans="2:2" x14ac:dyDescent="0.25">
      <c r="B19452" s="11"/>
    </row>
    <row r="19453" spans="2:2" x14ac:dyDescent="0.25">
      <c r="B19453" s="11"/>
    </row>
    <row r="19454" spans="2:2" x14ac:dyDescent="0.25">
      <c r="B19454" s="11"/>
    </row>
    <row r="19455" spans="2:2" x14ac:dyDescent="0.25">
      <c r="B19455" s="11"/>
    </row>
    <row r="19456" spans="2:2" x14ac:dyDescent="0.25">
      <c r="B19456" s="11"/>
    </row>
    <row r="19457" spans="2:2" x14ac:dyDescent="0.25">
      <c r="B19457" s="11"/>
    </row>
    <row r="19458" spans="2:2" x14ac:dyDescent="0.25">
      <c r="B19458" s="11"/>
    </row>
    <row r="19459" spans="2:2" x14ac:dyDescent="0.25">
      <c r="B19459" s="11"/>
    </row>
    <row r="19460" spans="2:2" x14ac:dyDescent="0.25">
      <c r="B19460" s="11"/>
    </row>
    <row r="19461" spans="2:2" x14ac:dyDescent="0.25">
      <c r="B19461" s="11"/>
    </row>
    <row r="19462" spans="2:2" x14ac:dyDescent="0.25">
      <c r="B19462" s="11"/>
    </row>
    <row r="19463" spans="2:2" x14ac:dyDescent="0.25">
      <c r="B19463" s="11"/>
    </row>
    <row r="19464" spans="2:2" x14ac:dyDescent="0.25">
      <c r="B19464" s="11"/>
    </row>
    <row r="19465" spans="2:2" x14ac:dyDescent="0.25">
      <c r="B19465" s="11"/>
    </row>
    <row r="19466" spans="2:2" x14ac:dyDescent="0.25">
      <c r="B19466" s="11"/>
    </row>
    <row r="19467" spans="2:2" x14ac:dyDescent="0.25">
      <c r="B19467" s="11"/>
    </row>
    <row r="19468" spans="2:2" x14ac:dyDescent="0.25">
      <c r="B19468" s="11"/>
    </row>
    <row r="19469" spans="2:2" x14ac:dyDescent="0.25">
      <c r="B19469" s="11"/>
    </row>
    <row r="19470" spans="2:2" x14ac:dyDescent="0.25">
      <c r="B19470" s="11"/>
    </row>
    <row r="19471" spans="2:2" x14ac:dyDescent="0.25">
      <c r="B19471" s="11"/>
    </row>
    <row r="19472" spans="2:2" x14ac:dyDescent="0.25">
      <c r="B19472" s="11"/>
    </row>
    <row r="19473" spans="2:2" x14ac:dyDescent="0.25">
      <c r="B19473" s="11"/>
    </row>
    <row r="19474" spans="2:2" x14ac:dyDescent="0.25">
      <c r="B19474" s="11"/>
    </row>
    <row r="19475" spans="2:2" x14ac:dyDescent="0.25">
      <c r="B19475" s="11"/>
    </row>
    <row r="19476" spans="2:2" x14ac:dyDescent="0.25">
      <c r="B19476" s="11"/>
    </row>
    <row r="19477" spans="2:2" x14ac:dyDescent="0.25">
      <c r="B19477" s="11"/>
    </row>
    <row r="19478" spans="2:2" x14ac:dyDescent="0.25">
      <c r="B19478" s="11"/>
    </row>
    <row r="19479" spans="2:2" x14ac:dyDescent="0.25">
      <c r="B19479" s="11"/>
    </row>
    <row r="19480" spans="2:2" x14ac:dyDescent="0.25">
      <c r="B19480" s="11"/>
    </row>
    <row r="19481" spans="2:2" x14ac:dyDescent="0.25">
      <c r="B19481" s="11"/>
    </row>
    <row r="19482" spans="2:2" x14ac:dyDescent="0.25">
      <c r="B19482" s="11"/>
    </row>
    <row r="19483" spans="2:2" x14ac:dyDescent="0.25">
      <c r="B19483" s="11"/>
    </row>
    <row r="19484" spans="2:2" x14ac:dyDescent="0.25">
      <c r="B19484" s="11"/>
    </row>
    <row r="19485" spans="2:2" x14ac:dyDescent="0.25">
      <c r="B19485" s="11"/>
    </row>
    <row r="19486" spans="2:2" x14ac:dyDescent="0.25">
      <c r="B19486" s="11"/>
    </row>
    <row r="19487" spans="2:2" x14ac:dyDescent="0.25">
      <c r="B19487" s="11"/>
    </row>
    <row r="19488" spans="2:2" x14ac:dyDescent="0.25">
      <c r="B19488" s="11"/>
    </row>
    <row r="19489" spans="2:2" x14ac:dyDescent="0.25">
      <c r="B19489" s="11"/>
    </row>
    <row r="19490" spans="2:2" x14ac:dyDescent="0.25">
      <c r="B19490" s="11"/>
    </row>
    <row r="19491" spans="2:2" x14ac:dyDescent="0.25">
      <c r="B19491" s="11"/>
    </row>
    <row r="19492" spans="2:2" x14ac:dyDescent="0.25">
      <c r="B19492" s="11"/>
    </row>
    <row r="19493" spans="2:2" x14ac:dyDescent="0.25">
      <c r="B19493" s="11"/>
    </row>
    <row r="19494" spans="2:2" x14ac:dyDescent="0.25">
      <c r="B19494" s="11"/>
    </row>
    <row r="19495" spans="2:2" x14ac:dyDescent="0.25">
      <c r="B19495" s="11"/>
    </row>
    <row r="19496" spans="2:2" x14ac:dyDescent="0.25">
      <c r="B19496" s="11"/>
    </row>
    <row r="19497" spans="2:2" x14ac:dyDescent="0.25">
      <c r="B19497" s="11"/>
    </row>
    <row r="19498" spans="2:2" x14ac:dyDescent="0.25">
      <c r="B19498" s="11"/>
    </row>
    <row r="19499" spans="2:2" x14ac:dyDescent="0.25">
      <c r="B19499" s="11"/>
    </row>
    <row r="19500" spans="2:2" x14ac:dyDescent="0.25">
      <c r="B19500" s="11"/>
    </row>
    <row r="19501" spans="2:2" x14ac:dyDescent="0.25">
      <c r="B19501" s="11"/>
    </row>
    <row r="19502" spans="2:2" x14ac:dyDescent="0.25">
      <c r="B19502" s="11"/>
    </row>
    <row r="19503" spans="2:2" x14ac:dyDescent="0.25">
      <c r="B19503" s="11"/>
    </row>
    <row r="19504" spans="2:2" x14ac:dyDescent="0.25">
      <c r="B19504" s="11"/>
    </row>
    <row r="19505" spans="2:2" x14ac:dyDescent="0.25">
      <c r="B19505" s="11"/>
    </row>
    <row r="19506" spans="2:2" x14ac:dyDescent="0.25">
      <c r="B19506" s="11"/>
    </row>
    <row r="19507" spans="2:2" x14ac:dyDescent="0.25">
      <c r="B19507" s="11"/>
    </row>
    <row r="19508" spans="2:2" x14ac:dyDescent="0.25">
      <c r="B19508" s="11"/>
    </row>
    <row r="19509" spans="2:2" x14ac:dyDescent="0.25">
      <c r="B19509" s="11"/>
    </row>
    <row r="19510" spans="2:2" x14ac:dyDescent="0.25">
      <c r="B19510" s="11"/>
    </row>
    <row r="19511" spans="2:2" x14ac:dyDescent="0.25">
      <c r="B19511" s="11"/>
    </row>
    <row r="19512" spans="2:2" x14ac:dyDescent="0.25">
      <c r="B19512" s="11"/>
    </row>
    <row r="19513" spans="2:2" x14ac:dyDescent="0.25">
      <c r="B19513" s="11"/>
    </row>
    <row r="19514" spans="2:2" x14ac:dyDescent="0.25">
      <c r="B19514" s="11"/>
    </row>
    <row r="19515" spans="2:2" x14ac:dyDescent="0.25">
      <c r="B19515" s="11"/>
    </row>
    <row r="19516" spans="2:2" x14ac:dyDescent="0.25">
      <c r="B19516" s="11"/>
    </row>
    <row r="19517" spans="2:2" x14ac:dyDescent="0.25">
      <c r="B19517" s="11"/>
    </row>
    <row r="19518" spans="2:2" x14ac:dyDescent="0.25">
      <c r="B19518" s="11"/>
    </row>
    <row r="19519" spans="2:2" x14ac:dyDescent="0.25">
      <c r="B19519" s="11"/>
    </row>
    <row r="19520" spans="2:2" x14ac:dyDescent="0.25">
      <c r="B19520" s="11"/>
    </row>
    <row r="19521" spans="2:2" x14ac:dyDescent="0.25">
      <c r="B19521" s="11"/>
    </row>
    <row r="19522" spans="2:2" x14ac:dyDescent="0.25">
      <c r="B19522" s="11"/>
    </row>
    <row r="19523" spans="2:2" x14ac:dyDescent="0.25">
      <c r="B19523" s="11"/>
    </row>
    <row r="19524" spans="2:2" x14ac:dyDescent="0.25">
      <c r="B19524" s="11"/>
    </row>
    <row r="19525" spans="2:2" x14ac:dyDescent="0.25">
      <c r="B19525" s="11"/>
    </row>
    <row r="19526" spans="2:2" x14ac:dyDescent="0.25">
      <c r="B19526" s="11"/>
    </row>
    <row r="19527" spans="2:2" x14ac:dyDescent="0.25">
      <c r="B19527" s="11"/>
    </row>
    <row r="19528" spans="2:2" x14ac:dyDescent="0.25">
      <c r="B19528" s="11"/>
    </row>
    <row r="19529" spans="2:2" x14ac:dyDescent="0.25">
      <c r="B19529" s="11"/>
    </row>
    <row r="19530" spans="2:2" x14ac:dyDescent="0.25">
      <c r="B19530" s="11"/>
    </row>
    <row r="19531" spans="2:2" x14ac:dyDescent="0.25">
      <c r="B19531" s="11"/>
    </row>
    <row r="19532" spans="2:2" x14ac:dyDescent="0.25">
      <c r="B19532" s="11"/>
    </row>
    <row r="19533" spans="2:2" x14ac:dyDescent="0.25">
      <c r="B19533" s="11"/>
    </row>
    <row r="19534" spans="2:2" x14ac:dyDescent="0.25">
      <c r="B19534" s="11"/>
    </row>
    <row r="19535" spans="2:2" x14ac:dyDescent="0.25">
      <c r="B19535" s="11"/>
    </row>
    <row r="19536" spans="2:2" x14ac:dyDescent="0.25">
      <c r="B19536" s="11"/>
    </row>
    <row r="19537" spans="2:2" x14ac:dyDescent="0.25">
      <c r="B19537" s="11"/>
    </row>
    <row r="19538" spans="2:2" x14ac:dyDescent="0.25">
      <c r="B19538" s="11"/>
    </row>
    <row r="19539" spans="2:2" x14ac:dyDescent="0.25">
      <c r="B19539" s="11"/>
    </row>
    <row r="19540" spans="2:2" x14ac:dyDescent="0.25">
      <c r="B19540" s="11"/>
    </row>
    <row r="19541" spans="2:2" x14ac:dyDescent="0.25">
      <c r="B19541" s="11"/>
    </row>
    <row r="19542" spans="2:2" x14ac:dyDescent="0.25">
      <c r="B19542" s="11"/>
    </row>
    <row r="19543" spans="2:2" x14ac:dyDescent="0.25">
      <c r="B19543" s="11"/>
    </row>
    <row r="19544" spans="2:2" x14ac:dyDescent="0.25">
      <c r="B19544" s="11"/>
    </row>
    <row r="19545" spans="2:2" x14ac:dyDescent="0.25">
      <c r="B19545" s="11"/>
    </row>
    <row r="19546" spans="2:2" x14ac:dyDescent="0.25">
      <c r="B19546" s="11"/>
    </row>
    <row r="19547" spans="2:2" x14ac:dyDescent="0.25">
      <c r="B19547" s="11"/>
    </row>
    <row r="19548" spans="2:2" x14ac:dyDescent="0.25">
      <c r="B19548" s="11"/>
    </row>
    <row r="19549" spans="2:2" x14ac:dyDescent="0.25">
      <c r="B19549" s="11"/>
    </row>
    <row r="19550" spans="2:2" x14ac:dyDescent="0.25">
      <c r="B19550" s="11"/>
    </row>
    <row r="19551" spans="2:2" x14ac:dyDescent="0.25">
      <c r="B19551" s="11"/>
    </row>
    <row r="19552" spans="2:2" x14ac:dyDescent="0.25">
      <c r="B19552" s="11"/>
    </row>
    <row r="19553" spans="2:2" x14ac:dyDescent="0.25">
      <c r="B19553" s="11"/>
    </row>
    <row r="19554" spans="2:2" x14ac:dyDescent="0.25">
      <c r="B19554" s="11"/>
    </row>
    <row r="19555" spans="2:2" x14ac:dyDescent="0.25">
      <c r="B19555" s="11"/>
    </row>
    <row r="19556" spans="2:2" x14ac:dyDescent="0.25">
      <c r="B19556" s="11"/>
    </row>
    <row r="19557" spans="2:2" x14ac:dyDescent="0.25">
      <c r="B19557" s="11"/>
    </row>
    <row r="19558" spans="2:2" x14ac:dyDescent="0.25">
      <c r="B19558" s="11"/>
    </row>
    <row r="19559" spans="2:2" x14ac:dyDescent="0.25">
      <c r="B19559" s="11"/>
    </row>
    <row r="19560" spans="2:2" x14ac:dyDescent="0.25">
      <c r="B19560" s="11"/>
    </row>
    <row r="19561" spans="2:2" x14ac:dyDescent="0.25">
      <c r="B19561" s="11"/>
    </row>
    <row r="19562" spans="2:2" x14ac:dyDescent="0.25">
      <c r="B19562" s="11"/>
    </row>
    <row r="19563" spans="2:2" x14ac:dyDescent="0.25">
      <c r="B19563" s="11"/>
    </row>
    <row r="19564" spans="2:2" x14ac:dyDescent="0.25">
      <c r="B19564" s="11"/>
    </row>
    <row r="19565" spans="2:2" x14ac:dyDescent="0.25">
      <c r="B19565" s="11"/>
    </row>
    <row r="19566" spans="2:2" x14ac:dyDescent="0.25">
      <c r="B19566" s="11"/>
    </row>
    <row r="19567" spans="2:2" x14ac:dyDescent="0.25">
      <c r="B19567" s="11"/>
    </row>
    <row r="19568" spans="2:2" x14ac:dyDescent="0.25">
      <c r="B19568" s="11"/>
    </row>
    <row r="19569" spans="2:2" x14ac:dyDescent="0.25">
      <c r="B19569" s="11"/>
    </row>
    <row r="19570" spans="2:2" x14ac:dyDescent="0.25">
      <c r="B19570" s="11"/>
    </row>
    <row r="19571" spans="2:2" x14ac:dyDescent="0.25">
      <c r="B19571" s="11"/>
    </row>
    <row r="19572" spans="2:2" x14ac:dyDescent="0.25">
      <c r="B19572" s="11"/>
    </row>
    <row r="19573" spans="2:2" x14ac:dyDescent="0.25">
      <c r="B19573" s="11"/>
    </row>
    <row r="19574" spans="2:2" x14ac:dyDescent="0.25">
      <c r="B19574" s="11"/>
    </row>
    <row r="19575" spans="2:2" x14ac:dyDescent="0.25">
      <c r="B19575" s="11"/>
    </row>
    <row r="19576" spans="2:2" x14ac:dyDescent="0.25">
      <c r="B19576" s="11"/>
    </row>
    <row r="19577" spans="2:2" x14ac:dyDescent="0.25">
      <c r="B19577" s="11"/>
    </row>
    <row r="19578" spans="2:2" x14ac:dyDescent="0.25">
      <c r="B19578" s="11"/>
    </row>
    <row r="19579" spans="2:2" x14ac:dyDescent="0.25">
      <c r="B19579" s="11"/>
    </row>
    <row r="19580" spans="2:2" x14ac:dyDescent="0.25">
      <c r="B19580" s="11"/>
    </row>
    <row r="19581" spans="2:2" x14ac:dyDescent="0.25">
      <c r="B19581" s="11"/>
    </row>
    <row r="19582" spans="2:2" x14ac:dyDescent="0.25">
      <c r="B19582" s="11"/>
    </row>
    <row r="19583" spans="2:2" x14ac:dyDescent="0.25">
      <c r="B19583" s="11"/>
    </row>
    <row r="19584" spans="2:2" x14ac:dyDescent="0.25">
      <c r="B19584" s="11"/>
    </row>
    <row r="19585" spans="2:2" x14ac:dyDescent="0.25">
      <c r="B19585" s="11"/>
    </row>
    <row r="19586" spans="2:2" x14ac:dyDescent="0.25">
      <c r="B19586" s="11"/>
    </row>
    <row r="19587" spans="2:2" x14ac:dyDescent="0.25">
      <c r="B19587" s="11"/>
    </row>
    <row r="19588" spans="2:2" x14ac:dyDescent="0.25">
      <c r="B19588" s="11"/>
    </row>
    <row r="19589" spans="2:2" x14ac:dyDescent="0.25">
      <c r="B19589" s="11"/>
    </row>
    <row r="19590" spans="2:2" x14ac:dyDescent="0.25">
      <c r="B19590" s="11"/>
    </row>
    <row r="19591" spans="2:2" x14ac:dyDescent="0.25">
      <c r="B19591" s="11"/>
    </row>
    <row r="19592" spans="2:2" x14ac:dyDescent="0.25">
      <c r="B19592" s="11"/>
    </row>
    <row r="19593" spans="2:2" x14ac:dyDescent="0.25">
      <c r="B19593" s="11"/>
    </row>
    <row r="19594" spans="2:2" x14ac:dyDescent="0.25">
      <c r="B19594" s="11"/>
    </row>
    <row r="19595" spans="2:2" x14ac:dyDescent="0.25">
      <c r="B19595" s="11"/>
    </row>
    <row r="19596" spans="2:2" x14ac:dyDescent="0.25">
      <c r="B19596" s="11"/>
    </row>
    <row r="19597" spans="2:2" x14ac:dyDescent="0.25">
      <c r="B19597" s="11"/>
    </row>
    <row r="19598" spans="2:2" x14ac:dyDescent="0.25">
      <c r="B19598" s="11"/>
    </row>
    <row r="19599" spans="2:2" x14ac:dyDescent="0.25">
      <c r="B19599" s="11"/>
    </row>
    <row r="19600" spans="2:2" x14ac:dyDescent="0.25">
      <c r="B19600" s="11"/>
    </row>
    <row r="19601" spans="2:2" x14ac:dyDescent="0.25">
      <c r="B19601" s="11"/>
    </row>
    <row r="19602" spans="2:2" x14ac:dyDescent="0.25">
      <c r="B19602" s="11"/>
    </row>
    <row r="19603" spans="2:2" x14ac:dyDescent="0.25">
      <c r="B19603" s="11"/>
    </row>
    <row r="19604" spans="2:2" x14ac:dyDescent="0.25">
      <c r="B19604" s="11"/>
    </row>
    <row r="19605" spans="2:2" x14ac:dyDescent="0.25">
      <c r="B19605" s="11"/>
    </row>
    <row r="19606" spans="2:2" x14ac:dyDescent="0.25">
      <c r="B19606" s="11"/>
    </row>
    <row r="19607" spans="2:2" x14ac:dyDescent="0.25">
      <c r="B19607" s="11"/>
    </row>
    <row r="19608" spans="2:2" x14ac:dyDescent="0.25">
      <c r="B19608" s="11"/>
    </row>
    <row r="19609" spans="2:2" x14ac:dyDescent="0.25">
      <c r="B19609" s="11"/>
    </row>
    <row r="19610" spans="2:2" x14ac:dyDescent="0.25">
      <c r="B19610" s="11"/>
    </row>
    <row r="19611" spans="2:2" x14ac:dyDescent="0.25">
      <c r="B19611" s="11"/>
    </row>
    <row r="19612" spans="2:2" x14ac:dyDescent="0.25">
      <c r="B19612" s="11"/>
    </row>
    <row r="19613" spans="2:2" x14ac:dyDescent="0.25">
      <c r="B19613" s="11"/>
    </row>
    <row r="19614" spans="2:2" x14ac:dyDescent="0.25">
      <c r="B19614" s="11"/>
    </row>
    <row r="19615" spans="2:2" x14ac:dyDescent="0.25">
      <c r="B19615" s="11"/>
    </row>
    <row r="19616" spans="2:2" x14ac:dyDescent="0.25">
      <c r="B19616" s="11"/>
    </row>
    <row r="19617" spans="2:2" x14ac:dyDescent="0.25">
      <c r="B19617" s="11"/>
    </row>
    <row r="19618" spans="2:2" x14ac:dyDescent="0.25">
      <c r="B19618" s="11"/>
    </row>
    <row r="19619" spans="2:2" x14ac:dyDescent="0.25">
      <c r="B19619" s="11"/>
    </row>
    <row r="19620" spans="2:2" x14ac:dyDescent="0.25">
      <c r="B19620" s="11"/>
    </row>
    <row r="19621" spans="2:2" x14ac:dyDescent="0.25">
      <c r="B19621" s="11"/>
    </row>
    <row r="19622" spans="2:2" x14ac:dyDescent="0.25">
      <c r="B19622" s="11"/>
    </row>
    <row r="19623" spans="2:2" x14ac:dyDescent="0.25">
      <c r="B19623" s="11"/>
    </row>
    <row r="19624" spans="2:2" x14ac:dyDescent="0.25">
      <c r="B19624" s="11"/>
    </row>
    <row r="19625" spans="2:2" x14ac:dyDescent="0.25">
      <c r="B19625" s="11"/>
    </row>
    <row r="19626" spans="2:2" x14ac:dyDescent="0.25">
      <c r="B19626" s="11"/>
    </row>
    <row r="19627" spans="2:2" x14ac:dyDescent="0.25">
      <c r="B19627" s="11"/>
    </row>
    <row r="19628" spans="2:2" x14ac:dyDescent="0.25">
      <c r="B19628" s="11"/>
    </row>
    <row r="19629" spans="2:2" x14ac:dyDescent="0.25">
      <c r="B19629" s="11"/>
    </row>
    <row r="19630" spans="2:2" x14ac:dyDescent="0.25">
      <c r="B19630" s="11"/>
    </row>
    <row r="19631" spans="2:2" x14ac:dyDescent="0.25">
      <c r="B19631" s="11"/>
    </row>
    <row r="19632" spans="2:2" x14ac:dyDescent="0.25">
      <c r="B19632" s="11"/>
    </row>
    <row r="19633" spans="2:2" x14ac:dyDescent="0.25">
      <c r="B19633" s="11"/>
    </row>
    <row r="19634" spans="2:2" x14ac:dyDescent="0.25">
      <c r="B19634" s="11"/>
    </row>
    <row r="19635" spans="2:2" x14ac:dyDescent="0.25">
      <c r="B19635" s="11"/>
    </row>
    <row r="19636" spans="2:2" x14ac:dyDescent="0.25">
      <c r="B19636" s="11"/>
    </row>
    <row r="19637" spans="2:2" x14ac:dyDescent="0.25">
      <c r="B19637" s="11"/>
    </row>
    <row r="19638" spans="2:2" x14ac:dyDescent="0.25">
      <c r="B19638" s="11"/>
    </row>
    <row r="19639" spans="2:2" x14ac:dyDescent="0.25">
      <c r="B19639" s="11"/>
    </row>
    <row r="19640" spans="2:2" x14ac:dyDescent="0.25">
      <c r="B19640" s="11"/>
    </row>
    <row r="19641" spans="2:2" x14ac:dyDescent="0.25">
      <c r="B19641" s="11"/>
    </row>
    <row r="19642" spans="2:2" x14ac:dyDescent="0.25">
      <c r="B19642" s="11"/>
    </row>
    <row r="19643" spans="2:2" x14ac:dyDescent="0.25">
      <c r="B19643" s="11"/>
    </row>
    <row r="19644" spans="2:2" x14ac:dyDescent="0.25">
      <c r="B19644" s="11"/>
    </row>
    <row r="19645" spans="2:2" x14ac:dyDescent="0.25">
      <c r="B19645" s="11"/>
    </row>
    <row r="19646" spans="2:2" x14ac:dyDescent="0.25">
      <c r="B19646" s="11"/>
    </row>
    <row r="19647" spans="2:2" x14ac:dyDescent="0.25">
      <c r="B19647" s="11"/>
    </row>
    <row r="19648" spans="2:2" x14ac:dyDescent="0.25">
      <c r="B19648" s="11"/>
    </row>
    <row r="19649" spans="2:2" x14ac:dyDescent="0.25">
      <c r="B19649" s="11"/>
    </row>
    <row r="19650" spans="2:2" x14ac:dyDescent="0.25">
      <c r="B19650" s="11"/>
    </row>
    <row r="19651" spans="2:2" x14ac:dyDescent="0.25">
      <c r="B19651" s="11"/>
    </row>
    <row r="19652" spans="2:2" x14ac:dyDescent="0.25">
      <c r="B19652" s="11"/>
    </row>
    <row r="19653" spans="2:2" x14ac:dyDescent="0.25">
      <c r="B19653" s="11"/>
    </row>
    <row r="19654" spans="2:2" x14ac:dyDescent="0.25">
      <c r="B19654" s="11"/>
    </row>
    <row r="19655" spans="2:2" x14ac:dyDescent="0.25">
      <c r="B19655" s="11"/>
    </row>
    <row r="19656" spans="2:2" x14ac:dyDescent="0.25">
      <c r="B19656" s="11"/>
    </row>
    <row r="19657" spans="2:2" x14ac:dyDescent="0.25">
      <c r="B19657" s="11"/>
    </row>
    <row r="19658" spans="2:2" x14ac:dyDescent="0.25">
      <c r="B19658" s="11"/>
    </row>
    <row r="19659" spans="2:2" x14ac:dyDescent="0.25">
      <c r="B19659" s="11"/>
    </row>
    <row r="19660" spans="2:2" x14ac:dyDescent="0.25">
      <c r="B19660" s="11"/>
    </row>
    <row r="19661" spans="2:2" x14ac:dyDescent="0.25">
      <c r="B19661" s="11"/>
    </row>
    <row r="19662" spans="2:2" x14ac:dyDescent="0.25">
      <c r="B19662" s="11"/>
    </row>
    <row r="19663" spans="2:2" x14ac:dyDescent="0.25">
      <c r="B19663" s="11"/>
    </row>
    <row r="19664" spans="2:2" x14ac:dyDescent="0.25">
      <c r="B19664" s="11"/>
    </row>
    <row r="19665" spans="2:2" x14ac:dyDescent="0.25">
      <c r="B19665" s="11"/>
    </row>
    <row r="19666" spans="2:2" x14ac:dyDescent="0.25">
      <c r="B19666" s="11"/>
    </row>
    <row r="19667" spans="2:2" x14ac:dyDescent="0.25">
      <c r="B19667" s="11"/>
    </row>
    <row r="19668" spans="2:2" x14ac:dyDescent="0.25">
      <c r="B19668" s="11"/>
    </row>
    <row r="19669" spans="2:2" x14ac:dyDescent="0.25">
      <c r="B19669" s="11"/>
    </row>
    <row r="19670" spans="2:2" x14ac:dyDescent="0.25">
      <c r="B19670" s="11"/>
    </row>
    <row r="19671" spans="2:2" x14ac:dyDescent="0.25">
      <c r="B19671" s="11"/>
    </row>
    <row r="19672" spans="2:2" x14ac:dyDescent="0.25">
      <c r="B19672" s="11"/>
    </row>
    <row r="19673" spans="2:2" x14ac:dyDescent="0.25">
      <c r="B19673" s="11"/>
    </row>
    <row r="19674" spans="2:2" x14ac:dyDescent="0.25">
      <c r="B19674" s="11"/>
    </row>
    <row r="19675" spans="2:2" x14ac:dyDescent="0.25">
      <c r="B19675" s="11"/>
    </row>
    <row r="19676" spans="2:2" x14ac:dyDescent="0.25">
      <c r="B19676" s="11"/>
    </row>
    <row r="19677" spans="2:2" x14ac:dyDescent="0.25">
      <c r="B19677" s="11"/>
    </row>
    <row r="19678" spans="2:2" x14ac:dyDescent="0.25">
      <c r="B19678" s="11"/>
    </row>
    <row r="19679" spans="2:2" x14ac:dyDescent="0.25">
      <c r="B19679" s="11"/>
    </row>
    <row r="19680" spans="2:2" x14ac:dyDescent="0.25">
      <c r="B19680" s="11"/>
    </row>
    <row r="19681" spans="2:2" x14ac:dyDescent="0.25">
      <c r="B19681" s="11"/>
    </row>
    <row r="19682" spans="2:2" x14ac:dyDescent="0.25">
      <c r="B19682" s="11"/>
    </row>
    <row r="19683" spans="2:2" x14ac:dyDescent="0.25">
      <c r="B19683" s="11"/>
    </row>
    <row r="19684" spans="2:2" x14ac:dyDescent="0.25">
      <c r="B19684" s="11"/>
    </row>
    <row r="19685" spans="2:2" x14ac:dyDescent="0.25">
      <c r="B19685" s="11"/>
    </row>
    <row r="19686" spans="2:2" x14ac:dyDescent="0.25">
      <c r="B19686" s="11"/>
    </row>
    <row r="19687" spans="2:2" x14ac:dyDescent="0.25">
      <c r="B19687" s="11"/>
    </row>
    <row r="19688" spans="2:2" x14ac:dyDescent="0.25">
      <c r="B19688" s="11"/>
    </row>
    <row r="19689" spans="2:2" x14ac:dyDescent="0.25">
      <c r="B19689" s="11"/>
    </row>
    <row r="19690" spans="2:2" x14ac:dyDescent="0.25">
      <c r="B19690" s="11"/>
    </row>
    <row r="19691" spans="2:2" x14ac:dyDescent="0.25">
      <c r="B19691" s="11"/>
    </row>
    <row r="19692" spans="2:2" x14ac:dyDescent="0.25">
      <c r="B19692" s="11"/>
    </row>
    <row r="19693" spans="2:2" x14ac:dyDescent="0.25">
      <c r="B19693" s="11"/>
    </row>
    <row r="19694" spans="2:2" x14ac:dyDescent="0.25">
      <c r="B19694" s="11"/>
    </row>
    <row r="19695" spans="2:2" x14ac:dyDescent="0.25">
      <c r="B19695" s="11"/>
    </row>
    <row r="19696" spans="2:2" x14ac:dyDescent="0.25">
      <c r="B19696" s="11"/>
    </row>
    <row r="19697" spans="2:2" x14ac:dyDescent="0.25">
      <c r="B19697" s="11"/>
    </row>
    <row r="19698" spans="2:2" x14ac:dyDescent="0.25">
      <c r="B19698" s="11"/>
    </row>
    <row r="19699" spans="2:2" x14ac:dyDescent="0.25">
      <c r="B19699" s="11"/>
    </row>
    <row r="19700" spans="2:2" x14ac:dyDescent="0.25">
      <c r="B19700" s="11"/>
    </row>
    <row r="19701" spans="2:2" x14ac:dyDescent="0.25">
      <c r="B19701" s="11"/>
    </row>
    <row r="19702" spans="2:2" x14ac:dyDescent="0.25">
      <c r="B19702" s="11"/>
    </row>
    <row r="19703" spans="2:2" x14ac:dyDescent="0.25">
      <c r="B19703" s="11"/>
    </row>
    <row r="19704" spans="2:2" x14ac:dyDescent="0.25">
      <c r="B19704" s="11"/>
    </row>
    <row r="19705" spans="2:2" x14ac:dyDescent="0.25">
      <c r="B19705" s="11"/>
    </row>
    <row r="19706" spans="2:2" x14ac:dyDescent="0.25">
      <c r="B19706" s="11"/>
    </row>
    <row r="19707" spans="2:2" x14ac:dyDescent="0.25">
      <c r="B19707" s="11"/>
    </row>
    <row r="19708" spans="2:2" x14ac:dyDescent="0.25">
      <c r="B19708" s="11"/>
    </row>
    <row r="19709" spans="2:2" x14ac:dyDescent="0.25">
      <c r="B19709" s="11"/>
    </row>
    <row r="19710" spans="2:2" x14ac:dyDescent="0.25">
      <c r="B19710" s="11"/>
    </row>
    <row r="19711" spans="2:2" x14ac:dyDescent="0.25">
      <c r="B19711" s="11"/>
    </row>
    <row r="19712" spans="2:2" x14ac:dyDescent="0.25">
      <c r="B19712" s="11"/>
    </row>
    <row r="19713" spans="2:2" x14ac:dyDescent="0.25">
      <c r="B19713" s="11"/>
    </row>
    <row r="19714" spans="2:2" x14ac:dyDescent="0.25">
      <c r="B19714" s="11"/>
    </row>
    <row r="19715" spans="2:2" x14ac:dyDescent="0.25">
      <c r="B19715" s="11"/>
    </row>
    <row r="19716" spans="2:2" x14ac:dyDescent="0.25">
      <c r="B19716" s="11"/>
    </row>
    <row r="19717" spans="2:2" x14ac:dyDescent="0.25">
      <c r="B19717" s="11"/>
    </row>
    <row r="19718" spans="2:2" x14ac:dyDescent="0.25">
      <c r="B19718" s="11"/>
    </row>
    <row r="19719" spans="2:2" x14ac:dyDescent="0.25">
      <c r="B19719" s="11"/>
    </row>
    <row r="19720" spans="2:2" x14ac:dyDescent="0.25">
      <c r="B19720" s="11"/>
    </row>
    <row r="19721" spans="2:2" x14ac:dyDescent="0.25">
      <c r="B19721" s="11"/>
    </row>
    <row r="19722" spans="2:2" x14ac:dyDescent="0.25">
      <c r="B19722" s="11"/>
    </row>
    <row r="19723" spans="2:2" x14ac:dyDescent="0.25">
      <c r="B19723" s="11"/>
    </row>
    <row r="19724" spans="2:2" x14ac:dyDescent="0.25">
      <c r="B19724" s="11"/>
    </row>
    <row r="19725" spans="2:2" x14ac:dyDescent="0.25">
      <c r="B19725" s="11"/>
    </row>
    <row r="19726" spans="2:2" x14ac:dyDescent="0.25">
      <c r="B19726" s="11"/>
    </row>
    <row r="19727" spans="2:2" x14ac:dyDescent="0.25">
      <c r="B19727" s="11"/>
    </row>
    <row r="19728" spans="2:2" x14ac:dyDescent="0.25">
      <c r="B19728" s="11"/>
    </row>
    <row r="19729" spans="2:2" x14ac:dyDescent="0.25">
      <c r="B19729" s="11"/>
    </row>
    <row r="19730" spans="2:2" x14ac:dyDescent="0.25">
      <c r="B19730" s="11"/>
    </row>
    <row r="19731" spans="2:2" x14ac:dyDescent="0.25">
      <c r="B19731" s="11"/>
    </row>
    <row r="19732" spans="2:2" x14ac:dyDescent="0.25">
      <c r="B19732" s="11"/>
    </row>
    <row r="19733" spans="2:2" x14ac:dyDescent="0.25">
      <c r="B19733" s="11"/>
    </row>
    <row r="19734" spans="2:2" x14ac:dyDescent="0.25">
      <c r="B19734" s="11"/>
    </row>
    <row r="19735" spans="2:2" x14ac:dyDescent="0.25">
      <c r="B19735" s="11"/>
    </row>
    <row r="19736" spans="2:2" x14ac:dyDescent="0.25">
      <c r="B19736" s="11"/>
    </row>
    <row r="19737" spans="2:2" x14ac:dyDescent="0.25">
      <c r="B19737" s="11"/>
    </row>
    <row r="19738" spans="2:2" x14ac:dyDescent="0.25">
      <c r="B19738" s="11"/>
    </row>
    <row r="19739" spans="2:2" x14ac:dyDescent="0.25">
      <c r="B19739" s="11"/>
    </row>
    <row r="19740" spans="2:2" x14ac:dyDescent="0.25">
      <c r="B19740" s="11"/>
    </row>
    <row r="19741" spans="2:2" x14ac:dyDescent="0.25">
      <c r="B19741" s="11"/>
    </row>
    <row r="19742" spans="2:2" x14ac:dyDescent="0.25">
      <c r="B19742" s="11"/>
    </row>
    <row r="19743" spans="2:2" x14ac:dyDescent="0.25">
      <c r="B19743" s="11"/>
    </row>
    <row r="19744" spans="2:2" x14ac:dyDescent="0.25">
      <c r="B19744" s="11"/>
    </row>
    <row r="19745" spans="2:2" x14ac:dyDescent="0.25">
      <c r="B19745" s="11"/>
    </row>
    <row r="19746" spans="2:2" x14ac:dyDescent="0.25">
      <c r="B19746" s="11"/>
    </row>
    <row r="19747" spans="2:2" x14ac:dyDescent="0.25">
      <c r="B19747" s="11"/>
    </row>
    <row r="19748" spans="2:2" x14ac:dyDescent="0.25">
      <c r="B19748" s="11"/>
    </row>
    <row r="19749" spans="2:2" x14ac:dyDescent="0.25">
      <c r="B19749" s="11"/>
    </row>
    <row r="19750" spans="2:2" x14ac:dyDescent="0.25">
      <c r="B19750" s="11"/>
    </row>
    <row r="19751" spans="2:2" x14ac:dyDescent="0.25">
      <c r="B19751" s="11"/>
    </row>
    <row r="19752" spans="2:2" x14ac:dyDescent="0.25">
      <c r="B19752" s="11"/>
    </row>
    <row r="19753" spans="2:2" x14ac:dyDescent="0.25">
      <c r="B19753" s="11"/>
    </row>
    <row r="19754" spans="2:2" x14ac:dyDescent="0.25">
      <c r="B19754" s="11"/>
    </row>
    <row r="19755" spans="2:2" x14ac:dyDescent="0.25">
      <c r="B19755" s="11"/>
    </row>
    <row r="19756" spans="2:2" x14ac:dyDescent="0.25">
      <c r="B19756" s="11"/>
    </row>
    <row r="19757" spans="2:2" x14ac:dyDescent="0.25">
      <c r="B19757" s="11"/>
    </row>
    <row r="19758" spans="2:2" x14ac:dyDescent="0.25">
      <c r="B19758" s="11"/>
    </row>
    <row r="19759" spans="2:2" x14ac:dyDescent="0.25">
      <c r="B19759" s="11"/>
    </row>
    <row r="19760" spans="2:2" x14ac:dyDescent="0.25">
      <c r="B19760" s="11"/>
    </row>
    <row r="19761" spans="2:2" x14ac:dyDescent="0.25">
      <c r="B19761" s="11"/>
    </row>
    <row r="19762" spans="2:2" x14ac:dyDescent="0.25">
      <c r="B19762" s="11"/>
    </row>
    <row r="19763" spans="2:2" x14ac:dyDescent="0.25">
      <c r="B19763" s="11"/>
    </row>
    <row r="19764" spans="2:2" x14ac:dyDescent="0.25">
      <c r="B19764" s="11"/>
    </row>
    <row r="19765" spans="2:2" x14ac:dyDescent="0.25">
      <c r="B19765" s="11"/>
    </row>
    <row r="19766" spans="2:2" x14ac:dyDescent="0.25">
      <c r="B19766" s="11"/>
    </row>
    <row r="19767" spans="2:2" x14ac:dyDescent="0.25">
      <c r="B19767" s="11"/>
    </row>
    <row r="19768" spans="2:2" x14ac:dyDescent="0.25">
      <c r="B19768" s="11"/>
    </row>
    <row r="19769" spans="2:2" x14ac:dyDescent="0.25">
      <c r="B19769" s="11"/>
    </row>
    <row r="19770" spans="2:2" x14ac:dyDescent="0.25">
      <c r="B19770" s="11"/>
    </row>
    <row r="19771" spans="2:2" x14ac:dyDescent="0.25">
      <c r="B19771" s="11"/>
    </row>
    <row r="19772" spans="2:2" x14ac:dyDescent="0.25">
      <c r="B19772" s="11"/>
    </row>
    <row r="19773" spans="2:2" x14ac:dyDescent="0.25">
      <c r="B19773" s="11"/>
    </row>
    <row r="19774" spans="2:2" x14ac:dyDescent="0.25">
      <c r="B19774" s="11"/>
    </row>
    <row r="19775" spans="2:2" x14ac:dyDescent="0.25">
      <c r="B19775" s="11"/>
    </row>
    <row r="19776" spans="2:2" x14ac:dyDescent="0.25">
      <c r="B19776" s="11"/>
    </row>
    <row r="19777" spans="2:2" x14ac:dyDescent="0.25">
      <c r="B19777" s="11"/>
    </row>
    <row r="19778" spans="2:2" x14ac:dyDescent="0.25">
      <c r="B19778" s="11"/>
    </row>
    <row r="19779" spans="2:2" x14ac:dyDescent="0.25">
      <c r="B19779" s="11"/>
    </row>
    <row r="19780" spans="2:2" x14ac:dyDescent="0.25">
      <c r="B19780" s="11"/>
    </row>
    <row r="19781" spans="2:2" x14ac:dyDescent="0.25">
      <c r="B19781" s="11"/>
    </row>
    <row r="19782" spans="2:2" x14ac:dyDescent="0.25">
      <c r="B19782" s="11"/>
    </row>
    <row r="19783" spans="2:2" x14ac:dyDescent="0.25">
      <c r="B19783" s="11"/>
    </row>
    <row r="19784" spans="2:2" x14ac:dyDescent="0.25">
      <c r="B19784" s="11"/>
    </row>
    <row r="19785" spans="2:2" x14ac:dyDescent="0.25">
      <c r="B19785" s="11"/>
    </row>
    <row r="19786" spans="2:2" x14ac:dyDescent="0.25">
      <c r="B19786" s="11"/>
    </row>
    <row r="19787" spans="2:2" x14ac:dyDescent="0.25">
      <c r="B19787" s="11"/>
    </row>
    <row r="19788" spans="2:2" x14ac:dyDescent="0.25">
      <c r="B19788" s="11"/>
    </row>
    <row r="19789" spans="2:2" x14ac:dyDescent="0.25">
      <c r="B19789" s="11"/>
    </row>
    <row r="19790" spans="2:2" x14ac:dyDescent="0.25">
      <c r="B19790" s="11"/>
    </row>
    <row r="19791" spans="2:2" x14ac:dyDescent="0.25">
      <c r="B19791" s="11"/>
    </row>
    <row r="19792" spans="2:2" x14ac:dyDescent="0.25">
      <c r="B19792" s="11"/>
    </row>
    <row r="19793" spans="2:2" x14ac:dyDescent="0.25">
      <c r="B19793" s="11"/>
    </row>
    <row r="19794" spans="2:2" x14ac:dyDescent="0.25">
      <c r="B19794" s="11"/>
    </row>
    <row r="19795" spans="2:2" x14ac:dyDescent="0.25">
      <c r="B19795" s="11"/>
    </row>
    <row r="19796" spans="2:2" x14ac:dyDescent="0.25">
      <c r="B19796" s="11"/>
    </row>
    <row r="19797" spans="2:2" x14ac:dyDescent="0.25">
      <c r="B19797" s="11"/>
    </row>
    <row r="19798" spans="2:2" x14ac:dyDescent="0.25">
      <c r="B19798" s="11"/>
    </row>
    <row r="19799" spans="2:2" x14ac:dyDescent="0.25">
      <c r="B19799" s="11"/>
    </row>
    <row r="19800" spans="2:2" x14ac:dyDescent="0.25">
      <c r="B19800" s="11"/>
    </row>
    <row r="19801" spans="2:2" x14ac:dyDescent="0.25">
      <c r="B19801" s="11"/>
    </row>
    <row r="19802" spans="2:2" x14ac:dyDescent="0.25">
      <c r="B19802" s="11"/>
    </row>
    <row r="19803" spans="2:2" x14ac:dyDescent="0.25">
      <c r="B19803" s="11"/>
    </row>
    <row r="19804" spans="2:2" x14ac:dyDescent="0.25">
      <c r="B19804" s="11"/>
    </row>
    <row r="19805" spans="2:2" x14ac:dyDescent="0.25">
      <c r="B19805" s="11"/>
    </row>
    <row r="19806" spans="2:2" x14ac:dyDescent="0.25">
      <c r="B19806" s="11"/>
    </row>
    <row r="19807" spans="2:2" x14ac:dyDescent="0.25">
      <c r="B19807" s="11"/>
    </row>
    <row r="19808" spans="2:2" x14ac:dyDescent="0.25">
      <c r="B19808" s="11"/>
    </row>
    <row r="19809" spans="2:2" x14ac:dyDescent="0.25">
      <c r="B19809" s="11"/>
    </row>
    <row r="19810" spans="2:2" x14ac:dyDescent="0.25">
      <c r="B19810" s="11"/>
    </row>
    <row r="19811" spans="2:2" x14ac:dyDescent="0.25">
      <c r="B19811" s="11"/>
    </row>
    <row r="19812" spans="2:2" x14ac:dyDescent="0.25">
      <c r="B19812" s="11"/>
    </row>
    <row r="19813" spans="2:2" x14ac:dyDescent="0.25">
      <c r="B19813" s="11"/>
    </row>
    <row r="19814" spans="2:2" x14ac:dyDescent="0.25">
      <c r="B19814" s="11"/>
    </row>
    <row r="19815" spans="2:2" x14ac:dyDescent="0.25">
      <c r="B19815" s="11"/>
    </row>
    <row r="19816" spans="2:2" x14ac:dyDescent="0.25">
      <c r="B19816" s="11"/>
    </row>
    <row r="19817" spans="2:2" x14ac:dyDescent="0.25">
      <c r="B19817" s="11"/>
    </row>
    <row r="19818" spans="2:2" x14ac:dyDescent="0.25">
      <c r="B19818" s="11"/>
    </row>
    <row r="19819" spans="2:2" x14ac:dyDescent="0.25">
      <c r="B19819" s="11"/>
    </row>
    <row r="19820" spans="2:2" x14ac:dyDescent="0.25">
      <c r="B19820" s="11"/>
    </row>
    <row r="19821" spans="2:2" x14ac:dyDescent="0.25">
      <c r="B19821" s="11"/>
    </row>
    <row r="19822" spans="2:2" x14ac:dyDescent="0.25">
      <c r="B19822" s="11"/>
    </row>
    <row r="19823" spans="2:2" x14ac:dyDescent="0.25">
      <c r="B19823" s="11"/>
    </row>
    <row r="19824" spans="2:2" x14ac:dyDescent="0.25">
      <c r="B19824" s="11"/>
    </row>
    <row r="19825" spans="2:2" x14ac:dyDescent="0.25">
      <c r="B19825" s="11"/>
    </row>
    <row r="19826" spans="2:2" x14ac:dyDescent="0.25">
      <c r="B19826" s="11"/>
    </row>
    <row r="19827" spans="2:2" x14ac:dyDescent="0.25">
      <c r="B19827" s="11"/>
    </row>
    <row r="19828" spans="2:2" x14ac:dyDescent="0.25">
      <c r="B19828" s="11"/>
    </row>
    <row r="19829" spans="2:2" x14ac:dyDescent="0.25">
      <c r="B19829" s="11"/>
    </row>
    <row r="19830" spans="2:2" x14ac:dyDescent="0.25">
      <c r="B19830" s="11"/>
    </row>
    <row r="19831" spans="2:2" x14ac:dyDescent="0.25">
      <c r="B19831" s="11"/>
    </row>
    <row r="19832" spans="2:2" x14ac:dyDescent="0.25">
      <c r="B19832" s="11"/>
    </row>
    <row r="19833" spans="2:2" x14ac:dyDescent="0.25">
      <c r="B19833" s="11"/>
    </row>
    <row r="19834" spans="2:2" x14ac:dyDescent="0.25">
      <c r="B19834" s="11"/>
    </row>
    <row r="19835" spans="2:2" x14ac:dyDescent="0.25">
      <c r="B19835" s="11"/>
    </row>
    <row r="19836" spans="2:2" x14ac:dyDescent="0.25">
      <c r="B19836" s="11"/>
    </row>
    <row r="19837" spans="2:2" x14ac:dyDescent="0.25">
      <c r="B19837" s="11"/>
    </row>
    <row r="19838" spans="2:2" x14ac:dyDescent="0.25">
      <c r="B19838" s="11"/>
    </row>
    <row r="19839" spans="2:2" x14ac:dyDescent="0.25">
      <c r="B19839" s="11"/>
    </row>
    <row r="19840" spans="2:2" x14ac:dyDescent="0.25">
      <c r="B19840" s="11"/>
    </row>
    <row r="19841" spans="2:2" x14ac:dyDescent="0.25">
      <c r="B19841" s="11"/>
    </row>
    <row r="19842" spans="2:2" x14ac:dyDescent="0.25">
      <c r="B19842" s="11"/>
    </row>
    <row r="19843" spans="2:2" x14ac:dyDescent="0.25">
      <c r="B19843" s="11"/>
    </row>
    <row r="19844" spans="2:2" x14ac:dyDescent="0.25">
      <c r="B19844" s="11"/>
    </row>
    <row r="19845" spans="2:2" x14ac:dyDescent="0.25">
      <c r="B19845" s="11"/>
    </row>
    <row r="19846" spans="2:2" x14ac:dyDescent="0.25">
      <c r="B19846" s="11"/>
    </row>
    <row r="19847" spans="2:2" x14ac:dyDescent="0.25">
      <c r="B19847" s="11"/>
    </row>
    <row r="19848" spans="2:2" x14ac:dyDescent="0.25">
      <c r="B19848" s="11"/>
    </row>
    <row r="19849" spans="2:2" x14ac:dyDescent="0.25">
      <c r="B19849" s="11"/>
    </row>
    <row r="19850" spans="2:2" x14ac:dyDescent="0.25">
      <c r="B19850" s="11"/>
    </row>
    <row r="19851" spans="2:2" x14ac:dyDescent="0.25">
      <c r="B19851" s="11"/>
    </row>
    <row r="19852" spans="2:2" x14ac:dyDescent="0.25">
      <c r="B19852" s="11"/>
    </row>
    <row r="19853" spans="2:2" x14ac:dyDescent="0.25">
      <c r="B19853" s="11"/>
    </row>
    <row r="19854" spans="2:2" x14ac:dyDescent="0.25">
      <c r="B19854" s="11"/>
    </row>
    <row r="19855" spans="2:2" x14ac:dyDescent="0.25">
      <c r="B19855" s="11"/>
    </row>
    <row r="19856" spans="2:2" x14ac:dyDescent="0.25">
      <c r="B19856" s="11"/>
    </row>
    <row r="19857" spans="2:2" x14ac:dyDescent="0.25">
      <c r="B19857" s="11"/>
    </row>
    <row r="19858" spans="2:2" x14ac:dyDescent="0.25">
      <c r="B19858" s="11"/>
    </row>
    <row r="19859" spans="2:2" x14ac:dyDescent="0.25">
      <c r="B19859" s="11"/>
    </row>
    <row r="19860" spans="2:2" x14ac:dyDescent="0.25">
      <c r="B19860" s="11"/>
    </row>
    <row r="19861" spans="2:2" x14ac:dyDescent="0.25">
      <c r="B19861" s="11"/>
    </row>
    <row r="19862" spans="2:2" x14ac:dyDescent="0.25">
      <c r="B19862" s="11"/>
    </row>
    <row r="19863" spans="2:2" x14ac:dyDescent="0.25">
      <c r="B19863" s="11"/>
    </row>
    <row r="19864" spans="2:2" x14ac:dyDescent="0.25">
      <c r="B19864" s="11"/>
    </row>
    <row r="19865" spans="2:2" x14ac:dyDescent="0.25">
      <c r="B19865" s="11"/>
    </row>
    <row r="19866" spans="2:2" x14ac:dyDescent="0.25">
      <c r="B19866" s="11"/>
    </row>
    <row r="19867" spans="2:2" x14ac:dyDescent="0.25">
      <c r="B19867" s="11"/>
    </row>
    <row r="19868" spans="2:2" x14ac:dyDescent="0.25">
      <c r="B19868" s="11"/>
    </row>
    <row r="19869" spans="2:2" x14ac:dyDescent="0.25">
      <c r="B19869" s="11"/>
    </row>
    <row r="19870" spans="2:2" x14ac:dyDescent="0.25">
      <c r="B19870" s="11"/>
    </row>
    <row r="19871" spans="2:2" x14ac:dyDescent="0.25">
      <c r="B19871" s="11"/>
    </row>
    <row r="19872" spans="2:2" x14ac:dyDescent="0.25">
      <c r="B19872" s="11"/>
    </row>
    <row r="19873" spans="2:2" x14ac:dyDescent="0.25">
      <c r="B19873" s="11"/>
    </row>
    <row r="19874" spans="2:2" x14ac:dyDescent="0.25">
      <c r="B19874" s="11"/>
    </row>
    <row r="19875" spans="2:2" x14ac:dyDescent="0.25">
      <c r="B19875" s="11"/>
    </row>
    <row r="19876" spans="2:2" x14ac:dyDescent="0.25">
      <c r="B19876" s="11"/>
    </row>
    <row r="19877" spans="2:2" x14ac:dyDescent="0.25">
      <c r="B19877" s="11"/>
    </row>
    <row r="19878" spans="2:2" x14ac:dyDescent="0.25">
      <c r="B19878" s="11"/>
    </row>
    <row r="19879" spans="2:2" x14ac:dyDescent="0.25">
      <c r="B19879" s="11"/>
    </row>
    <row r="19880" spans="2:2" x14ac:dyDescent="0.25">
      <c r="B19880" s="11"/>
    </row>
    <row r="19881" spans="2:2" x14ac:dyDescent="0.25">
      <c r="B19881" s="11"/>
    </row>
    <row r="19882" spans="2:2" x14ac:dyDescent="0.25">
      <c r="B19882" s="11"/>
    </row>
    <row r="19883" spans="2:2" x14ac:dyDescent="0.25">
      <c r="B19883" s="11"/>
    </row>
    <row r="19884" spans="2:2" x14ac:dyDescent="0.25">
      <c r="B19884" s="11"/>
    </row>
    <row r="19885" spans="2:2" x14ac:dyDescent="0.25">
      <c r="B19885" s="11"/>
    </row>
    <row r="19886" spans="2:2" x14ac:dyDescent="0.25">
      <c r="B19886" s="11"/>
    </row>
    <row r="19887" spans="2:2" x14ac:dyDescent="0.25">
      <c r="B19887" s="11"/>
    </row>
    <row r="19888" spans="2:2" x14ac:dyDescent="0.25">
      <c r="B19888" s="11"/>
    </row>
    <row r="19889" spans="2:2" x14ac:dyDescent="0.25">
      <c r="B19889" s="11"/>
    </row>
    <row r="19890" spans="2:2" x14ac:dyDescent="0.25">
      <c r="B19890" s="11"/>
    </row>
    <row r="19891" spans="2:2" x14ac:dyDescent="0.25">
      <c r="B19891" s="11"/>
    </row>
    <row r="19892" spans="2:2" x14ac:dyDescent="0.25">
      <c r="B19892" s="11"/>
    </row>
    <row r="19893" spans="2:2" x14ac:dyDescent="0.25">
      <c r="B19893" s="11"/>
    </row>
    <row r="19894" spans="2:2" x14ac:dyDescent="0.25">
      <c r="B19894" s="11"/>
    </row>
    <row r="19895" spans="2:2" x14ac:dyDescent="0.25">
      <c r="B19895" s="11"/>
    </row>
    <row r="19896" spans="2:2" x14ac:dyDescent="0.25">
      <c r="B19896" s="11"/>
    </row>
    <row r="19897" spans="2:2" x14ac:dyDescent="0.25">
      <c r="B19897" s="11"/>
    </row>
    <row r="19898" spans="2:2" x14ac:dyDescent="0.25">
      <c r="B19898" s="11"/>
    </row>
    <row r="19899" spans="2:2" x14ac:dyDescent="0.25">
      <c r="B19899" s="11"/>
    </row>
    <row r="19900" spans="2:2" x14ac:dyDescent="0.25">
      <c r="B19900" s="11"/>
    </row>
    <row r="19901" spans="2:2" x14ac:dyDescent="0.25">
      <c r="B19901" s="11"/>
    </row>
    <row r="19902" spans="2:2" x14ac:dyDescent="0.25">
      <c r="B19902" s="11"/>
    </row>
    <row r="19903" spans="2:2" x14ac:dyDescent="0.25">
      <c r="B19903" s="11"/>
    </row>
    <row r="19904" spans="2:2" x14ac:dyDescent="0.25">
      <c r="B19904" s="11"/>
    </row>
    <row r="19905" spans="2:2" x14ac:dyDescent="0.25">
      <c r="B19905" s="11"/>
    </row>
    <row r="19906" spans="2:2" x14ac:dyDescent="0.25">
      <c r="B19906" s="11"/>
    </row>
    <row r="19907" spans="2:2" x14ac:dyDescent="0.25">
      <c r="B19907" s="11"/>
    </row>
    <row r="19908" spans="2:2" x14ac:dyDescent="0.25">
      <c r="B19908" s="11"/>
    </row>
    <row r="19909" spans="2:2" x14ac:dyDescent="0.25">
      <c r="B19909" s="11"/>
    </row>
    <row r="19910" spans="2:2" x14ac:dyDescent="0.25">
      <c r="B19910" s="11"/>
    </row>
    <row r="19911" spans="2:2" x14ac:dyDescent="0.25">
      <c r="B19911" s="11"/>
    </row>
    <row r="19912" spans="2:2" x14ac:dyDescent="0.25">
      <c r="B19912" s="11"/>
    </row>
    <row r="19913" spans="2:2" x14ac:dyDescent="0.25">
      <c r="B19913" s="11"/>
    </row>
    <row r="19914" spans="2:2" x14ac:dyDescent="0.25">
      <c r="B19914" s="11"/>
    </row>
    <row r="19915" spans="2:2" x14ac:dyDescent="0.25">
      <c r="B19915" s="11"/>
    </row>
    <row r="19916" spans="2:2" x14ac:dyDescent="0.25">
      <c r="B19916" s="11"/>
    </row>
    <row r="19917" spans="2:2" x14ac:dyDescent="0.25">
      <c r="B19917" s="11"/>
    </row>
    <row r="19918" spans="2:2" x14ac:dyDescent="0.25">
      <c r="B19918" s="11"/>
    </row>
    <row r="19919" spans="2:2" x14ac:dyDescent="0.25">
      <c r="B19919" s="11"/>
    </row>
    <row r="19920" spans="2:2" x14ac:dyDescent="0.25">
      <c r="B19920" s="11"/>
    </row>
    <row r="19921" spans="2:2" x14ac:dyDescent="0.25">
      <c r="B19921" s="11"/>
    </row>
    <row r="19922" spans="2:2" x14ac:dyDescent="0.25">
      <c r="B19922" s="11"/>
    </row>
    <row r="19923" spans="2:2" x14ac:dyDescent="0.25">
      <c r="B19923" s="11"/>
    </row>
    <row r="19924" spans="2:2" x14ac:dyDescent="0.25">
      <c r="B19924" s="11"/>
    </row>
    <row r="19925" spans="2:2" x14ac:dyDescent="0.25">
      <c r="B19925" s="11"/>
    </row>
    <row r="19926" spans="2:2" x14ac:dyDescent="0.25">
      <c r="B19926" s="11"/>
    </row>
    <row r="19927" spans="2:2" x14ac:dyDescent="0.25">
      <c r="B19927" s="11"/>
    </row>
    <row r="19928" spans="2:2" x14ac:dyDescent="0.25">
      <c r="B19928" s="11"/>
    </row>
    <row r="19929" spans="2:2" x14ac:dyDescent="0.25">
      <c r="B19929" s="11"/>
    </row>
    <row r="19930" spans="2:2" x14ac:dyDescent="0.25">
      <c r="B19930" s="11"/>
    </row>
    <row r="19931" spans="2:2" x14ac:dyDescent="0.25">
      <c r="B19931" s="11"/>
    </row>
    <row r="19932" spans="2:2" x14ac:dyDescent="0.25">
      <c r="B19932" s="11"/>
    </row>
    <row r="19933" spans="2:2" x14ac:dyDescent="0.25">
      <c r="B19933" s="11"/>
    </row>
    <row r="19934" spans="2:2" x14ac:dyDescent="0.25">
      <c r="B19934" s="11"/>
    </row>
    <row r="19935" spans="2:2" x14ac:dyDescent="0.25">
      <c r="B19935" s="11"/>
    </row>
    <row r="19936" spans="2:2" x14ac:dyDescent="0.25">
      <c r="B19936" s="11"/>
    </row>
    <row r="19937" spans="2:2" x14ac:dyDescent="0.25">
      <c r="B19937" s="11"/>
    </row>
    <row r="19938" spans="2:2" x14ac:dyDescent="0.25">
      <c r="B19938" s="11"/>
    </row>
    <row r="19939" spans="2:2" x14ac:dyDescent="0.25">
      <c r="B19939" s="11"/>
    </row>
    <row r="19940" spans="2:2" x14ac:dyDescent="0.25">
      <c r="B19940" s="11"/>
    </row>
    <row r="19941" spans="2:2" x14ac:dyDescent="0.25">
      <c r="B19941" s="11"/>
    </row>
    <row r="19942" spans="2:2" x14ac:dyDescent="0.25">
      <c r="B19942" s="11"/>
    </row>
    <row r="19943" spans="2:2" x14ac:dyDescent="0.25">
      <c r="B19943" s="11"/>
    </row>
    <row r="19944" spans="2:2" x14ac:dyDescent="0.25">
      <c r="B19944" s="11"/>
    </row>
    <row r="19945" spans="2:2" x14ac:dyDescent="0.25">
      <c r="B19945" s="11"/>
    </row>
    <row r="19946" spans="2:2" x14ac:dyDescent="0.25">
      <c r="B19946" s="11"/>
    </row>
    <row r="19947" spans="2:2" x14ac:dyDescent="0.25">
      <c r="B19947" s="11"/>
    </row>
    <row r="19948" spans="2:2" x14ac:dyDescent="0.25">
      <c r="B19948" s="11"/>
    </row>
    <row r="19949" spans="2:2" x14ac:dyDescent="0.25">
      <c r="B19949" s="11"/>
    </row>
    <row r="19950" spans="2:2" x14ac:dyDescent="0.25">
      <c r="B19950" s="11"/>
    </row>
    <row r="19951" spans="2:2" x14ac:dyDescent="0.25">
      <c r="B19951" s="11"/>
    </row>
    <row r="19952" spans="2:2" x14ac:dyDescent="0.25">
      <c r="B19952" s="11"/>
    </row>
    <row r="19953" spans="2:2" x14ac:dyDescent="0.25">
      <c r="B19953" s="11"/>
    </row>
    <row r="19954" spans="2:2" x14ac:dyDescent="0.25">
      <c r="B19954" s="11"/>
    </row>
    <row r="19955" spans="2:2" x14ac:dyDescent="0.25">
      <c r="B19955" s="11"/>
    </row>
    <row r="19956" spans="2:2" x14ac:dyDescent="0.25">
      <c r="B19956" s="11"/>
    </row>
    <row r="19957" spans="2:2" x14ac:dyDescent="0.25">
      <c r="B19957" s="11"/>
    </row>
    <row r="19958" spans="2:2" x14ac:dyDescent="0.25">
      <c r="B19958" s="11"/>
    </row>
    <row r="19959" spans="2:2" x14ac:dyDescent="0.25">
      <c r="B19959" s="11"/>
    </row>
    <row r="19960" spans="2:2" x14ac:dyDescent="0.25">
      <c r="B19960" s="11"/>
    </row>
    <row r="19961" spans="2:2" x14ac:dyDescent="0.25">
      <c r="B19961" s="11"/>
    </row>
    <row r="19962" spans="2:2" x14ac:dyDescent="0.25">
      <c r="B19962" s="11"/>
    </row>
    <row r="19963" spans="2:2" x14ac:dyDescent="0.25">
      <c r="B19963" s="11"/>
    </row>
    <row r="19964" spans="2:2" x14ac:dyDescent="0.25">
      <c r="B19964" s="11"/>
    </row>
    <row r="19965" spans="2:2" x14ac:dyDescent="0.25">
      <c r="B19965" s="11"/>
    </row>
    <row r="19966" spans="2:2" x14ac:dyDescent="0.25">
      <c r="B19966" s="11"/>
    </row>
    <row r="19967" spans="2:2" x14ac:dyDescent="0.25">
      <c r="B19967" s="11"/>
    </row>
    <row r="19968" spans="2:2" x14ac:dyDescent="0.25">
      <c r="B19968" s="11"/>
    </row>
    <row r="19969" spans="2:2" x14ac:dyDescent="0.25">
      <c r="B19969" s="11"/>
    </row>
    <row r="19970" spans="2:2" x14ac:dyDescent="0.25">
      <c r="B19970" s="11"/>
    </row>
    <row r="19971" spans="2:2" x14ac:dyDescent="0.25">
      <c r="B19971" s="11"/>
    </row>
    <row r="19972" spans="2:2" x14ac:dyDescent="0.25">
      <c r="B19972" s="11"/>
    </row>
    <row r="19973" spans="2:2" x14ac:dyDescent="0.25">
      <c r="B19973" s="11"/>
    </row>
    <row r="19974" spans="2:2" x14ac:dyDescent="0.25">
      <c r="B19974" s="11"/>
    </row>
    <row r="19975" spans="2:2" x14ac:dyDescent="0.25">
      <c r="B19975" s="11"/>
    </row>
    <row r="19976" spans="2:2" x14ac:dyDescent="0.25">
      <c r="B19976" s="11"/>
    </row>
    <row r="19977" spans="2:2" x14ac:dyDescent="0.25">
      <c r="B19977" s="11"/>
    </row>
    <row r="19978" spans="2:2" x14ac:dyDescent="0.25">
      <c r="B19978" s="11"/>
    </row>
    <row r="19979" spans="2:2" x14ac:dyDescent="0.25">
      <c r="B19979" s="11"/>
    </row>
    <row r="19980" spans="2:2" x14ac:dyDescent="0.25">
      <c r="B19980" s="11"/>
    </row>
    <row r="19981" spans="2:2" x14ac:dyDescent="0.25">
      <c r="B19981" s="11"/>
    </row>
    <row r="19982" spans="2:2" x14ac:dyDescent="0.25">
      <c r="B19982" s="11"/>
    </row>
    <row r="19983" spans="2:2" x14ac:dyDescent="0.25">
      <c r="B19983" s="11"/>
    </row>
    <row r="19984" spans="2:2" x14ac:dyDescent="0.25">
      <c r="B19984" s="11"/>
    </row>
    <row r="19985" spans="2:2" x14ac:dyDescent="0.25">
      <c r="B19985" s="11"/>
    </row>
    <row r="19986" spans="2:2" x14ac:dyDescent="0.25">
      <c r="B19986" s="11"/>
    </row>
    <row r="19987" spans="2:2" x14ac:dyDescent="0.25">
      <c r="B19987" s="11"/>
    </row>
    <row r="19988" spans="2:2" x14ac:dyDescent="0.25">
      <c r="B19988" s="11"/>
    </row>
    <row r="19989" spans="2:2" x14ac:dyDescent="0.25">
      <c r="B19989" s="11"/>
    </row>
    <row r="19990" spans="2:2" x14ac:dyDescent="0.25">
      <c r="B19990" s="11"/>
    </row>
    <row r="19991" spans="2:2" x14ac:dyDescent="0.25">
      <c r="B19991" s="11"/>
    </row>
    <row r="19992" spans="2:2" x14ac:dyDescent="0.25">
      <c r="B19992" s="11"/>
    </row>
    <row r="19993" spans="2:2" x14ac:dyDescent="0.25">
      <c r="B19993" s="11"/>
    </row>
    <row r="19994" spans="2:2" x14ac:dyDescent="0.25">
      <c r="B19994" s="11"/>
    </row>
    <row r="19995" spans="2:2" x14ac:dyDescent="0.25">
      <c r="B19995" s="11"/>
    </row>
    <row r="19996" spans="2:2" x14ac:dyDescent="0.25">
      <c r="B19996" s="11"/>
    </row>
    <row r="19997" spans="2:2" x14ac:dyDescent="0.25">
      <c r="B19997" s="11"/>
    </row>
    <row r="19998" spans="2:2" x14ac:dyDescent="0.25">
      <c r="B19998" s="11"/>
    </row>
    <row r="19999" spans="2:2" x14ac:dyDescent="0.25">
      <c r="B19999" s="11"/>
    </row>
    <row r="20000" spans="2:2" x14ac:dyDescent="0.25">
      <c r="B20000" s="11"/>
    </row>
    <row r="20001" spans="2:2" x14ac:dyDescent="0.25">
      <c r="B20001" s="11"/>
    </row>
    <row r="20002" spans="2:2" x14ac:dyDescent="0.25">
      <c r="B20002" s="11"/>
    </row>
    <row r="20003" spans="2:2" x14ac:dyDescent="0.25">
      <c r="B20003" s="11"/>
    </row>
    <row r="20004" spans="2:2" x14ac:dyDescent="0.25">
      <c r="B20004" s="11"/>
    </row>
    <row r="20005" spans="2:2" x14ac:dyDescent="0.25">
      <c r="B20005" s="11"/>
    </row>
    <row r="20006" spans="2:2" x14ac:dyDescent="0.25">
      <c r="B20006" s="11"/>
    </row>
    <row r="20007" spans="2:2" x14ac:dyDescent="0.25">
      <c r="B20007" s="11"/>
    </row>
    <row r="20008" spans="2:2" x14ac:dyDescent="0.25">
      <c r="B20008" s="11"/>
    </row>
    <row r="20009" spans="2:2" x14ac:dyDescent="0.25">
      <c r="B20009" s="11"/>
    </row>
    <row r="20010" spans="2:2" x14ac:dyDescent="0.25">
      <c r="B20010" s="11"/>
    </row>
    <row r="20011" spans="2:2" x14ac:dyDescent="0.25">
      <c r="B20011" s="11"/>
    </row>
    <row r="20012" spans="2:2" x14ac:dyDescent="0.25">
      <c r="B20012" s="11"/>
    </row>
    <row r="20013" spans="2:2" x14ac:dyDescent="0.25">
      <c r="B20013" s="11"/>
    </row>
    <row r="20014" spans="2:2" x14ac:dyDescent="0.25">
      <c r="B20014" s="11"/>
    </row>
    <row r="20015" spans="2:2" x14ac:dyDescent="0.25">
      <c r="B20015" s="11"/>
    </row>
    <row r="20016" spans="2:2" x14ac:dyDescent="0.25">
      <c r="B20016" s="11"/>
    </row>
    <row r="20017" spans="2:2" x14ac:dyDescent="0.25">
      <c r="B20017" s="11"/>
    </row>
    <row r="20018" spans="2:2" x14ac:dyDescent="0.25">
      <c r="B20018" s="11"/>
    </row>
    <row r="20019" spans="2:2" x14ac:dyDescent="0.25">
      <c r="B20019" s="11"/>
    </row>
    <row r="20020" spans="2:2" x14ac:dyDescent="0.25">
      <c r="B20020" s="11"/>
    </row>
    <row r="20021" spans="2:2" x14ac:dyDescent="0.25">
      <c r="B20021" s="11"/>
    </row>
    <row r="20022" spans="2:2" x14ac:dyDescent="0.25">
      <c r="B20022" s="11"/>
    </row>
    <row r="20023" spans="2:2" x14ac:dyDescent="0.25">
      <c r="B20023" s="11"/>
    </row>
    <row r="20024" spans="2:2" x14ac:dyDescent="0.25">
      <c r="B20024" s="11"/>
    </row>
    <row r="20025" spans="2:2" x14ac:dyDescent="0.25">
      <c r="B20025" s="11"/>
    </row>
    <row r="20026" spans="2:2" x14ac:dyDescent="0.25">
      <c r="B20026" s="11"/>
    </row>
    <row r="20027" spans="2:2" x14ac:dyDescent="0.25">
      <c r="B20027" s="11"/>
    </row>
    <row r="20028" spans="2:2" x14ac:dyDescent="0.25">
      <c r="B20028" s="11"/>
    </row>
    <row r="20029" spans="2:2" x14ac:dyDescent="0.25">
      <c r="B20029" s="11"/>
    </row>
    <row r="20030" spans="2:2" x14ac:dyDescent="0.25">
      <c r="B20030" s="11"/>
    </row>
    <row r="20031" spans="2:2" x14ac:dyDescent="0.25">
      <c r="B20031" s="11"/>
    </row>
    <row r="20032" spans="2:2" x14ac:dyDescent="0.25">
      <c r="B20032" s="11"/>
    </row>
    <row r="20033" spans="2:2" x14ac:dyDescent="0.25">
      <c r="B20033" s="11"/>
    </row>
    <row r="20034" spans="2:2" x14ac:dyDescent="0.25">
      <c r="B20034" s="11"/>
    </row>
    <row r="20035" spans="2:2" x14ac:dyDescent="0.25">
      <c r="B20035" s="11"/>
    </row>
    <row r="20036" spans="2:2" x14ac:dyDescent="0.25">
      <c r="B20036" s="11"/>
    </row>
    <row r="20037" spans="2:2" x14ac:dyDescent="0.25">
      <c r="B20037" s="11"/>
    </row>
    <row r="20038" spans="2:2" x14ac:dyDescent="0.25">
      <c r="B20038" s="11"/>
    </row>
    <row r="20039" spans="2:2" x14ac:dyDescent="0.25">
      <c r="B20039" s="11"/>
    </row>
    <row r="20040" spans="2:2" x14ac:dyDescent="0.25">
      <c r="B20040" s="11"/>
    </row>
    <row r="20041" spans="2:2" x14ac:dyDescent="0.25">
      <c r="B20041" s="11"/>
    </row>
    <row r="20042" spans="2:2" x14ac:dyDescent="0.25">
      <c r="B20042" s="11"/>
    </row>
    <row r="20043" spans="2:2" x14ac:dyDescent="0.25">
      <c r="B20043" s="11"/>
    </row>
    <row r="20044" spans="2:2" x14ac:dyDescent="0.25">
      <c r="B20044" s="11"/>
    </row>
    <row r="20045" spans="2:2" x14ac:dyDescent="0.25">
      <c r="B20045" s="11"/>
    </row>
    <row r="20046" spans="2:2" x14ac:dyDescent="0.25">
      <c r="B20046" s="11"/>
    </row>
    <row r="20047" spans="2:2" x14ac:dyDescent="0.25">
      <c r="B20047" s="11"/>
    </row>
    <row r="20048" spans="2:2" x14ac:dyDescent="0.25">
      <c r="B20048" s="11"/>
    </row>
    <row r="20049" spans="2:2" x14ac:dyDescent="0.25">
      <c r="B20049" s="11"/>
    </row>
    <row r="20050" spans="2:2" x14ac:dyDescent="0.25">
      <c r="B20050" s="11"/>
    </row>
    <row r="20051" spans="2:2" x14ac:dyDescent="0.25">
      <c r="B20051" s="11"/>
    </row>
    <row r="20052" spans="2:2" x14ac:dyDescent="0.25">
      <c r="B20052" s="11"/>
    </row>
    <row r="20053" spans="2:2" x14ac:dyDescent="0.25">
      <c r="B20053" s="11"/>
    </row>
    <row r="20054" spans="2:2" x14ac:dyDescent="0.25">
      <c r="B20054" s="11"/>
    </row>
    <row r="20055" spans="2:2" x14ac:dyDescent="0.25">
      <c r="B20055" s="11"/>
    </row>
    <row r="20056" spans="2:2" x14ac:dyDescent="0.25">
      <c r="B20056" s="11"/>
    </row>
    <row r="20057" spans="2:2" x14ac:dyDescent="0.25">
      <c r="B20057" s="11"/>
    </row>
    <row r="20058" spans="2:2" x14ac:dyDescent="0.25">
      <c r="B20058" s="11"/>
    </row>
    <row r="20059" spans="2:2" x14ac:dyDescent="0.25">
      <c r="B20059" s="11"/>
    </row>
    <row r="20060" spans="2:2" x14ac:dyDescent="0.25">
      <c r="B20060" s="11"/>
    </row>
    <row r="20061" spans="2:2" x14ac:dyDescent="0.25">
      <c r="B20061" s="11"/>
    </row>
    <row r="20062" spans="2:2" x14ac:dyDescent="0.25">
      <c r="B20062" s="11"/>
    </row>
    <row r="20063" spans="2:2" x14ac:dyDescent="0.25">
      <c r="B20063" s="11"/>
    </row>
    <row r="20064" spans="2:2" x14ac:dyDescent="0.25">
      <c r="B20064" s="11"/>
    </row>
    <row r="20065" spans="2:2" x14ac:dyDescent="0.25">
      <c r="B20065" s="11"/>
    </row>
    <row r="20066" spans="2:2" x14ac:dyDescent="0.25">
      <c r="B20066" s="11"/>
    </row>
    <row r="20067" spans="2:2" x14ac:dyDescent="0.25">
      <c r="B20067" s="11"/>
    </row>
    <row r="20068" spans="2:2" x14ac:dyDescent="0.25">
      <c r="B20068" s="11"/>
    </row>
    <row r="20069" spans="2:2" x14ac:dyDescent="0.25">
      <c r="B20069" s="11"/>
    </row>
    <row r="20070" spans="2:2" x14ac:dyDescent="0.25">
      <c r="B20070" s="11"/>
    </row>
    <row r="20071" spans="2:2" x14ac:dyDescent="0.25">
      <c r="B20071" s="11"/>
    </row>
    <row r="20072" spans="2:2" x14ac:dyDescent="0.25">
      <c r="B20072" s="11"/>
    </row>
    <row r="20073" spans="2:2" x14ac:dyDescent="0.25">
      <c r="B20073" s="11"/>
    </row>
    <row r="20074" spans="2:2" x14ac:dyDescent="0.25">
      <c r="B20074" s="11"/>
    </row>
    <row r="20075" spans="2:2" x14ac:dyDescent="0.25">
      <c r="B20075" s="11"/>
    </row>
    <row r="20076" spans="2:2" x14ac:dyDescent="0.25">
      <c r="B20076" s="11"/>
    </row>
    <row r="20077" spans="2:2" x14ac:dyDescent="0.25">
      <c r="B20077" s="11"/>
    </row>
    <row r="20078" spans="2:2" x14ac:dyDescent="0.25">
      <c r="B20078" s="11"/>
    </row>
    <row r="20079" spans="2:2" x14ac:dyDescent="0.25">
      <c r="B20079" s="11"/>
    </row>
    <row r="20080" spans="2:2" x14ac:dyDescent="0.25">
      <c r="B20080" s="11"/>
    </row>
    <row r="20081" spans="2:2" x14ac:dyDescent="0.25">
      <c r="B20081" s="11"/>
    </row>
    <row r="20082" spans="2:2" x14ac:dyDescent="0.25">
      <c r="B20082" s="11"/>
    </row>
    <row r="20083" spans="2:2" x14ac:dyDescent="0.25">
      <c r="B20083" s="11"/>
    </row>
    <row r="20084" spans="2:2" x14ac:dyDescent="0.25">
      <c r="B20084" s="11"/>
    </row>
    <row r="20085" spans="2:2" x14ac:dyDescent="0.25">
      <c r="B20085" s="11"/>
    </row>
    <row r="20086" spans="2:2" x14ac:dyDescent="0.25">
      <c r="B20086" s="11"/>
    </row>
    <row r="20087" spans="2:2" x14ac:dyDescent="0.25">
      <c r="B20087" s="11"/>
    </row>
    <row r="20088" spans="2:2" x14ac:dyDescent="0.25">
      <c r="B20088" s="11"/>
    </row>
    <row r="20089" spans="2:2" x14ac:dyDescent="0.25">
      <c r="B20089" s="11"/>
    </row>
    <row r="20090" spans="2:2" x14ac:dyDescent="0.25">
      <c r="B20090" s="11"/>
    </row>
    <row r="20091" spans="2:2" x14ac:dyDescent="0.25">
      <c r="B20091" s="11"/>
    </row>
    <row r="20092" spans="2:2" x14ac:dyDescent="0.25">
      <c r="B20092" s="11"/>
    </row>
    <row r="20093" spans="2:2" x14ac:dyDescent="0.25">
      <c r="B20093" s="11"/>
    </row>
    <row r="20094" spans="2:2" x14ac:dyDescent="0.25">
      <c r="B20094" s="11"/>
    </row>
    <row r="20095" spans="2:2" x14ac:dyDescent="0.25">
      <c r="B20095" s="11"/>
    </row>
    <row r="20096" spans="2:2" x14ac:dyDescent="0.25">
      <c r="B20096" s="11"/>
    </row>
    <row r="20097" spans="2:2" x14ac:dyDescent="0.25">
      <c r="B20097" s="11"/>
    </row>
    <row r="20098" spans="2:2" x14ac:dyDescent="0.25">
      <c r="B20098" s="11"/>
    </row>
    <row r="20099" spans="2:2" x14ac:dyDescent="0.25">
      <c r="B20099" s="11"/>
    </row>
    <row r="20100" spans="2:2" x14ac:dyDescent="0.25">
      <c r="B20100" s="11"/>
    </row>
    <row r="20101" spans="2:2" x14ac:dyDescent="0.25">
      <c r="B20101" s="11"/>
    </row>
    <row r="20102" spans="2:2" x14ac:dyDescent="0.25">
      <c r="B20102" s="11"/>
    </row>
    <row r="20103" spans="2:2" x14ac:dyDescent="0.25">
      <c r="B20103" s="11"/>
    </row>
    <row r="20104" spans="2:2" x14ac:dyDescent="0.25">
      <c r="B20104" s="11"/>
    </row>
    <row r="20105" spans="2:2" x14ac:dyDescent="0.25">
      <c r="B20105" s="11"/>
    </row>
    <row r="20106" spans="2:2" x14ac:dyDescent="0.25">
      <c r="B20106" s="11"/>
    </row>
    <row r="20107" spans="2:2" x14ac:dyDescent="0.25">
      <c r="B20107" s="11"/>
    </row>
    <row r="20108" spans="2:2" x14ac:dyDescent="0.25">
      <c r="B20108" s="11"/>
    </row>
    <row r="20109" spans="2:2" x14ac:dyDescent="0.25">
      <c r="B20109" s="11"/>
    </row>
    <row r="20110" spans="2:2" x14ac:dyDescent="0.25">
      <c r="B20110" s="11"/>
    </row>
    <row r="20111" spans="2:2" x14ac:dyDescent="0.25">
      <c r="B20111" s="11"/>
    </row>
    <row r="20112" spans="2:2" x14ac:dyDescent="0.25">
      <c r="B20112" s="11"/>
    </row>
    <row r="20113" spans="2:2" x14ac:dyDescent="0.25">
      <c r="B20113" s="11"/>
    </row>
    <row r="20114" spans="2:2" x14ac:dyDescent="0.25">
      <c r="B20114" s="11"/>
    </row>
    <row r="20115" spans="2:2" x14ac:dyDescent="0.25">
      <c r="B20115" s="11"/>
    </row>
    <row r="20116" spans="2:2" x14ac:dyDescent="0.25">
      <c r="B20116" s="11"/>
    </row>
    <row r="20117" spans="2:2" x14ac:dyDescent="0.25">
      <c r="B20117" s="11"/>
    </row>
    <row r="20118" spans="2:2" x14ac:dyDescent="0.25">
      <c r="B20118" s="11"/>
    </row>
    <row r="20119" spans="2:2" x14ac:dyDescent="0.25">
      <c r="B20119" s="11"/>
    </row>
    <row r="20120" spans="2:2" x14ac:dyDescent="0.25">
      <c r="B20120" s="11"/>
    </row>
    <row r="20121" spans="2:2" x14ac:dyDescent="0.25">
      <c r="B20121" s="11"/>
    </row>
    <row r="20122" spans="2:2" x14ac:dyDescent="0.25">
      <c r="B20122" s="11"/>
    </row>
    <row r="20123" spans="2:2" x14ac:dyDescent="0.25">
      <c r="B20123" s="11"/>
    </row>
    <row r="20124" spans="2:2" x14ac:dyDescent="0.25">
      <c r="B20124" s="11"/>
    </row>
    <row r="20125" spans="2:2" x14ac:dyDescent="0.25">
      <c r="B20125" s="11"/>
    </row>
    <row r="20126" spans="2:2" x14ac:dyDescent="0.25">
      <c r="B20126" s="11"/>
    </row>
    <row r="20127" spans="2:2" x14ac:dyDescent="0.25">
      <c r="B20127" s="11"/>
    </row>
    <row r="20128" spans="2:2" x14ac:dyDescent="0.25">
      <c r="B20128" s="11"/>
    </row>
    <row r="20129" spans="2:2" x14ac:dyDescent="0.25">
      <c r="B20129" s="11"/>
    </row>
    <row r="20130" spans="2:2" x14ac:dyDescent="0.25">
      <c r="B20130" s="11"/>
    </row>
    <row r="20131" spans="2:2" x14ac:dyDescent="0.25">
      <c r="B20131" s="11"/>
    </row>
    <row r="20132" spans="2:2" x14ac:dyDescent="0.25">
      <c r="B20132" s="11"/>
    </row>
    <row r="20133" spans="2:2" x14ac:dyDescent="0.25">
      <c r="B20133" s="11"/>
    </row>
    <row r="20134" spans="2:2" x14ac:dyDescent="0.25">
      <c r="B20134" s="11"/>
    </row>
    <row r="20135" spans="2:2" x14ac:dyDescent="0.25">
      <c r="B20135" s="11"/>
    </row>
    <row r="20136" spans="2:2" x14ac:dyDescent="0.25">
      <c r="B20136" s="11"/>
    </row>
    <row r="20137" spans="2:2" x14ac:dyDescent="0.25">
      <c r="B20137" s="11"/>
    </row>
    <row r="20138" spans="2:2" x14ac:dyDescent="0.25">
      <c r="B20138" s="11"/>
    </row>
    <row r="20139" spans="2:2" x14ac:dyDescent="0.25">
      <c r="B20139" s="11"/>
    </row>
    <row r="20140" spans="2:2" x14ac:dyDescent="0.25">
      <c r="B20140" s="11"/>
    </row>
    <row r="20141" spans="2:2" x14ac:dyDescent="0.25">
      <c r="B20141" s="11"/>
    </row>
    <row r="20142" spans="2:2" x14ac:dyDescent="0.25">
      <c r="B20142" s="11"/>
    </row>
    <row r="20143" spans="2:2" x14ac:dyDescent="0.25">
      <c r="B20143" s="11"/>
    </row>
    <row r="20144" spans="2:2" x14ac:dyDescent="0.25">
      <c r="B20144" s="11"/>
    </row>
    <row r="20145" spans="2:2" x14ac:dyDescent="0.25">
      <c r="B20145" s="11"/>
    </row>
    <row r="20146" spans="2:2" x14ac:dyDescent="0.25">
      <c r="B20146" s="11"/>
    </row>
    <row r="20147" spans="2:2" x14ac:dyDescent="0.25">
      <c r="B20147" s="11"/>
    </row>
    <row r="20148" spans="2:2" x14ac:dyDescent="0.25">
      <c r="B20148" s="11"/>
    </row>
    <row r="20149" spans="2:2" x14ac:dyDescent="0.25">
      <c r="B20149" s="11"/>
    </row>
    <row r="20150" spans="2:2" x14ac:dyDescent="0.25">
      <c r="B20150" s="11"/>
    </row>
    <row r="20151" spans="2:2" x14ac:dyDescent="0.25">
      <c r="B20151" s="11"/>
    </row>
    <row r="20152" spans="2:2" x14ac:dyDescent="0.25">
      <c r="B20152" s="11"/>
    </row>
    <row r="20153" spans="2:2" x14ac:dyDescent="0.25">
      <c r="B20153" s="11"/>
    </row>
    <row r="20154" spans="2:2" x14ac:dyDescent="0.25">
      <c r="B20154" s="11"/>
    </row>
    <row r="20155" spans="2:2" x14ac:dyDescent="0.25">
      <c r="B20155" s="11"/>
    </row>
    <row r="20156" spans="2:2" x14ac:dyDescent="0.25">
      <c r="B20156" s="11"/>
    </row>
    <row r="20157" spans="2:2" x14ac:dyDescent="0.25">
      <c r="B20157" s="11"/>
    </row>
    <row r="20158" spans="2:2" x14ac:dyDescent="0.25">
      <c r="B20158" s="11"/>
    </row>
    <row r="20159" spans="2:2" x14ac:dyDescent="0.25">
      <c r="B20159" s="11"/>
    </row>
    <row r="20160" spans="2:2" x14ac:dyDescent="0.25">
      <c r="B20160" s="11"/>
    </row>
    <row r="20161" spans="2:2" x14ac:dyDescent="0.25">
      <c r="B20161" s="11"/>
    </row>
    <row r="20162" spans="2:2" x14ac:dyDescent="0.25">
      <c r="B20162" s="11"/>
    </row>
    <row r="20163" spans="2:2" x14ac:dyDescent="0.25">
      <c r="B20163" s="11"/>
    </row>
    <row r="20164" spans="2:2" x14ac:dyDescent="0.25">
      <c r="B20164" s="11"/>
    </row>
    <row r="20165" spans="2:2" x14ac:dyDescent="0.25">
      <c r="B20165" s="11"/>
    </row>
    <row r="20166" spans="2:2" x14ac:dyDescent="0.25">
      <c r="B20166" s="11"/>
    </row>
    <row r="20167" spans="2:2" x14ac:dyDescent="0.25">
      <c r="B20167" s="11"/>
    </row>
    <row r="20168" spans="2:2" x14ac:dyDescent="0.25">
      <c r="B20168" s="11"/>
    </row>
    <row r="20169" spans="2:2" x14ac:dyDescent="0.25">
      <c r="B20169" s="11"/>
    </row>
    <row r="20170" spans="2:2" x14ac:dyDescent="0.25">
      <c r="B20170" s="11"/>
    </row>
    <row r="20171" spans="2:2" x14ac:dyDescent="0.25">
      <c r="B20171" s="11"/>
    </row>
    <row r="20172" spans="2:2" x14ac:dyDescent="0.25">
      <c r="B20172" s="11"/>
    </row>
    <row r="20173" spans="2:2" x14ac:dyDescent="0.25">
      <c r="B20173" s="11"/>
    </row>
    <row r="20174" spans="2:2" x14ac:dyDescent="0.25">
      <c r="B20174" s="11"/>
    </row>
    <row r="20175" spans="2:2" x14ac:dyDescent="0.25">
      <c r="B20175" s="11"/>
    </row>
    <row r="20176" spans="2:2" x14ac:dyDescent="0.25">
      <c r="B20176" s="11"/>
    </row>
    <row r="20177" spans="2:2" x14ac:dyDescent="0.25">
      <c r="B20177" s="11"/>
    </row>
    <row r="20178" spans="2:2" x14ac:dyDescent="0.25">
      <c r="B20178" s="11"/>
    </row>
    <row r="20179" spans="2:2" x14ac:dyDescent="0.25">
      <c r="B20179" s="11"/>
    </row>
    <row r="20180" spans="2:2" x14ac:dyDescent="0.25">
      <c r="B20180" s="11"/>
    </row>
    <row r="20181" spans="2:2" x14ac:dyDescent="0.25">
      <c r="B20181" s="11"/>
    </row>
    <row r="20182" spans="2:2" x14ac:dyDescent="0.25">
      <c r="B20182" s="11"/>
    </row>
    <row r="20183" spans="2:2" x14ac:dyDescent="0.25">
      <c r="B20183" s="11"/>
    </row>
    <row r="20184" spans="2:2" x14ac:dyDescent="0.25">
      <c r="B20184" s="11"/>
    </row>
    <row r="20185" spans="2:2" x14ac:dyDescent="0.25">
      <c r="B20185" s="11"/>
    </row>
    <row r="20186" spans="2:2" x14ac:dyDescent="0.25">
      <c r="B20186" s="11"/>
    </row>
    <row r="20187" spans="2:2" x14ac:dyDescent="0.25">
      <c r="B20187" s="11"/>
    </row>
    <row r="20188" spans="2:2" x14ac:dyDescent="0.25">
      <c r="B20188" s="11"/>
    </row>
    <row r="20189" spans="2:2" x14ac:dyDescent="0.25">
      <c r="B20189" s="11"/>
    </row>
    <row r="20190" spans="2:2" x14ac:dyDescent="0.25">
      <c r="B20190" s="11"/>
    </row>
    <row r="20191" spans="2:2" x14ac:dyDescent="0.25">
      <c r="B20191" s="11"/>
    </row>
    <row r="20192" spans="2:2" x14ac:dyDescent="0.25">
      <c r="B20192" s="11"/>
    </row>
    <row r="20193" spans="2:2" x14ac:dyDescent="0.25">
      <c r="B20193" s="11"/>
    </row>
    <row r="20194" spans="2:2" x14ac:dyDescent="0.25">
      <c r="B20194" s="11"/>
    </row>
    <row r="20195" spans="2:2" x14ac:dyDescent="0.25">
      <c r="B20195" s="11"/>
    </row>
    <row r="20196" spans="2:2" x14ac:dyDescent="0.25">
      <c r="B20196" s="11"/>
    </row>
    <row r="20197" spans="2:2" x14ac:dyDescent="0.25">
      <c r="B20197" s="11"/>
    </row>
    <row r="20198" spans="2:2" x14ac:dyDescent="0.25">
      <c r="B20198" s="11"/>
    </row>
    <row r="20199" spans="2:2" x14ac:dyDescent="0.25">
      <c r="B20199" s="11"/>
    </row>
    <row r="20200" spans="2:2" x14ac:dyDescent="0.25">
      <c r="B20200" s="11"/>
    </row>
    <row r="20201" spans="2:2" x14ac:dyDescent="0.25">
      <c r="B20201" s="11"/>
    </row>
    <row r="20202" spans="2:2" x14ac:dyDescent="0.25">
      <c r="B20202" s="11"/>
    </row>
    <row r="20203" spans="2:2" x14ac:dyDescent="0.25">
      <c r="B20203" s="11"/>
    </row>
    <row r="20204" spans="2:2" x14ac:dyDescent="0.25">
      <c r="B20204" s="11"/>
    </row>
    <row r="20205" spans="2:2" x14ac:dyDescent="0.25">
      <c r="B20205" s="11"/>
    </row>
    <row r="20206" spans="2:2" x14ac:dyDescent="0.25">
      <c r="B20206" s="11"/>
    </row>
    <row r="20207" spans="2:2" x14ac:dyDescent="0.25">
      <c r="B20207" s="11"/>
    </row>
    <row r="20208" spans="2:2" x14ac:dyDescent="0.25">
      <c r="B20208" s="11"/>
    </row>
    <row r="20209" spans="2:2" x14ac:dyDescent="0.25">
      <c r="B20209" s="11"/>
    </row>
    <row r="20210" spans="2:2" x14ac:dyDescent="0.25">
      <c r="B20210" s="11"/>
    </row>
    <row r="20211" spans="2:2" x14ac:dyDescent="0.25">
      <c r="B20211" s="11"/>
    </row>
    <row r="20212" spans="2:2" x14ac:dyDescent="0.25">
      <c r="B20212" s="11"/>
    </row>
    <row r="20213" spans="2:2" x14ac:dyDescent="0.25">
      <c r="B20213" s="11"/>
    </row>
    <row r="20214" spans="2:2" x14ac:dyDescent="0.25">
      <c r="B20214" s="11"/>
    </row>
    <row r="20215" spans="2:2" x14ac:dyDescent="0.25">
      <c r="B20215" s="11"/>
    </row>
    <row r="20216" spans="2:2" x14ac:dyDescent="0.25">
      <c r="B20216" s="11"/>
    </row>
    <row r="20217" spans="2:2" x14ac:dyDescent="0.25">
      <c r="B20217" s="11"/>
    </row>
    <row r="20218" spans="2:2" x14ac:dyDescent="0.25">
      <c r="B20218" s="11"/>
    </row>
    <row r="20219" spans="2:2" x14ac:dyDescent="0.25">
      <c r="B20219" s="11"/>
    </row>
    <row r="20220" spans="2:2" x14ac:dyDescent="0.25">
      <c r="B20220" s="11"/>
    </row>
    <row r="20221" spans="2:2" x14ac:dyDescent="0.25">
      <c r="B20221" s="11"/>
    </row>
    <row r="20222" spans="2:2" x14ac:dyDescent="0.25">
      <c r="B20222" s="11"/>
    </row>
    <row r="20223" spans="2:2" x14ac:dyDescent="0.25">
      <c r="B20223" s="11"/>
    </row>
  </sheetData>
  <sortState ref="B2:B20223">
    <sortCondition ref="B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2"/>
  <sheetViews>
    <sheetView workbookViewId="0">
      <selection activeCell="C10" sqref="C10"/>
    </sheetView>
  </sheetViews>
  <sheetFormatPr defaultRowHeight="15" x14ac:dyDescent="0.25"/>
  <sheetData>
    <row r="1" spans="1:15" x14ac:dyDescent="0.25">
      <c r="A1" t="s">
        <v>5261</v>
      </c>
      <c r="B1" t="s">
        <v>5261</v>
      </c>
      <c r="C1" t="s">
        <v>5262</v>
      </c>
      <c r="D1" t="s">
        <v>5263</v>
      </c>
      <c r="E1" t="s">
        <v>5264</v>
      </c>
      <c r="F1" t="s">
        <v>5265</v>
      </c>
      <c r="G1" t="s">
        <v>5266</v>
      </c>
      <c r="H1" t="s">
        <v>5267</v>
      </c>
      <c r="I1" t="s">
        <v>5268</v>
      </c>
      <c r="J1" t="s">
        <v>5269</v>
      </c>
      <c r="K1" t="s">
        <v>5270</v>
      </c>
      <c r="L1" t="s">
        <v>5271</v>
      </c>
      <c r="M1" t="s">
        <v>5272</v>
      </c>
      <c r="O1" t="s">
        <v>5276</v>
      </c>
    </row>
    <row r="2" spans="1:15" x14ac:dyDescent="0.25">
      <c r="A2" t="s">
        <v>5262</v>
      </c>
      <c r="B2" s="14" t="s">
        <v>5279</v>
      </c>
      <c r="C2" s="14" t="s">
        <v>5279</v>
      </c>
      <c r="D2" s="14" t="s">
        <v>5279</v>
      </c>
      <c r="E2" s="14" t="s">
        <v>5279</v>
      </c>
      <c r="F2" s="14" t="s">
        <v>5279</v>
      </c>
      <c r="G2" s="14" t="s">
        <v>5279</v>
      </c>
      <c r="H2" s="14" t="s">
        <v>5279</v>
      </c>
      <c r="I2" s="14" t="s">
        <v>5279</v>
      </c>
      <c r="J2" s="14" t="s">
        <v>5279</v>
      </c>
      <c r="K2" s="14" t="s">
        <v>5279</v>
      </c>
      <c r="L2" s="14" t="s">
        <v>5279</v>
      </c>
      <c r="M2" s="14" t="s">
        <v>5279</v>
      </c>
      <c r="O2" t="s">
        <v>5275</v>
      </c>
    </row>
    <row r="3" spans="1:15" x14ac:dyDescent="0.25">
      <c r="A3" t="s">
        <v>5263</v>
      </c>
      <c r="B3" s="14" t="s">
        <v>5280</v>
      </c>
      <c r="C3" s="14" t="s">
        <v>5280</v>
      </c>
      <c r="D3" s="14" t="s">
        <v>5280</v>
      </c>
      <c r="E3" s="14" t="s">
        <v>5280</v>
      </c>
      <c r="F3" s="14" t="s">
        <v>5280</v>
      </c>
      <c r="G3" s="14" t="s">
        <v>5280</v>
      </c>
      <c r="H3" s="14" t="s">
        <v>5280</v>
      </c>
      <c r="I3" s="14" t="s">
        <v>5280</v>
      </c>
      <c r="J3" s="14" t="s">
        <v>5280</v>
      </c>
      <c r="K3" s="14" t="s">
        <v>5280</v>
      </c>
      <c r="L3" s="14" t="s">
        <v>5280</v>
      </c>
      <c r="M3" s="14" t="s">
        <v>5280</v>
      </c>
    </row>
    <row r="4" spans="1:15" x14ac:dyDescent="0.25">
      <c r="A4" t="s">
        <v>5264</v>
      </c>
      <c r="B4" s="14" t="s">
        <v>5281</v>
      </c>
      <c r="C4" s="14" t="s">
        <v>5281</v>
      </c>
      <c r="D4" s="14" t="s">
        <v>5281</v>
      </c>
      <c r="E4" s="14" t="s">
        <v>5281</v>
      </c>
      <c r="F4" s="14" t="s">
        <v>5281</v>
      </c>
      <c r="G4" s="14" t="s">
        <v>5281</v>
      </c>
      <c r="H4" s="14" t="s">
        <v>5281</v>
      </c>
      <c r="I4" s="14" t="s">
        <v>5281</v>
      </c>
      <c r="J4" s="14" t="s">
        <v>5281</v>
      </c>
      <c r="K4" s="14" t="s">
        <v>5281</v>
      </c>
      <c r="L4" s="14" t="s">
        <v>5281</v>
      </c>
      <c r="M4" s="14" t="s">
        <v>5281</v>
      </c>
    </row>
    <row r="5" spans="1:15" x14ac:dyDescent="0.25">
      <c r="A5" t="s">
        <v>5265</v>
      </c>
      <c r="B5" s="14" t="s">
        <v>5282</v>
      </c>
      <c r="C5" s="14" t="s">
        <v>5282</v>
      </c>
      <c r="D5" s="14" t="s">
        <v>5282</v>
      </c>
      <c r="E5" s="14" t="s">
        <v>5282</v>
      </c>
      <c r="F5" s="14" t="s">
        <v>5282</v>
      </c>
      <c r="G5" s="14" t="s">
        <v>5282</v>
      </c>
      <c r="H5" s="14" t="s">
        <v>5282</v>
      </c>
      <c r="I5" s="14" t="s">
        <v>5282</v>
      </c>
      <c r="J5" s="14" t="s">
        <v>5282</v>
      </c>
      <c r="K5" s="14" t="s">
        <v>5282</v>
      </c>
      <c r="L5" s="14" t="s">
        <v>5282</v>
      </c>
      <c r="M5" s="14" t="s">
        <v>5282</v>
      </c>
    </row>
    <row r="6" spans="1:15" x14ac:dyDescent="0.25">
      <c r="A6" t="s">
        <v>5266</v>
      </c>
      <c r="B6" s="14" t="s">
        <v>5283</v>
      </c>
      <c r="C6" s="14" t="s">
        <v>5283</v>
      </c>
      <c r="D6" s="14" t="s">
        <v>5283</v>
      </c>
      <c r="E6" s="14" t="s">
        <v>5283</v>
      </c>
      <c r="F6" s="14" t="s">
        <v>5283</v>
      </c>
      <c r="G6" s="14" t="s">
        <v>5283</v>
      </c>
      <c r="H6" s="14" t="s">
        <v>5283</v>
      </c>
      <c r="I6" s="14" t="s">
        <v>5283</v>
      </c>
      <c r="J6" s="14" t="s">
        <v>5283</v>
      </c>
      <c r="K6" s="14" t="s">
        <v>5283</v>
      </c>
      <c r="L6" s="14" t="s">
        <v>5283</v>
      </c>
      <c r="M6" s="14" t="s">
        <v>5283</v>
      </c>
    </row>
    <row r="7" spans="1:15" x14ac:dyDescent="0.25">
      <c r="A7" t="s">
        <v>5267</v>
      </c>
      <c r="B7" s="14" t="s">
        <v>5284</v>
      </c>
      <c r="C7" s="14" t="s">
        <v>5284</v>
      </c>
      <c r="D7" s="14" t="s">
        <v>5284</v>
      </c>
      <c r="E7" s="14" t="s">
        <v>5284</v>
      </c>
      <c r="F7" s="14" t="s">
        <v>5284</v>
      </c>
      <c r="G7" s="14" t="s">
        <v>5284</v>
      </c>
      <c r="H7" s="14" t="s">
        <v>5284</v>
      </c>
      <c r="I7" s="14" t="s">
        <v>5284</v>
      </c>
      <c r="J7" s="14" t="s">
        <v>5284</v>
      </c>
      <c r="K7" s="14" t="s">
        <v>5284</v>
      </c>
      <c r="L7" s="14" t="s">
        <v>5284</v>
      </c>
      <c r="M7" s="14" t="s">
        <v>5284</v>
      </c>
    </row>
    <row r="8" spans="1:15" x14ac:dyDescent="0.25">
      <c r="A8" t="s">
        <v>5268</v>
      </c>
      <c r="B8" s="14" t="s">
        <v>5285</v>
      </c>
      <c r="C8" s="14" t="s">
        <v>5285</v>
      </c>
      <c r="D8" s="14" t="s">
        <v>5285</v>
      </c>
      <c r="E8" s="14" t="s">
        <v>5285</v>
      </c>
      <c r="F8" s="14" t="s">
        <v>5285</v>
      </c>
      <c r="G8" s="14" t="s">
        <v>5285</v>
      </c>
      <c r="H8" s="14" t="s">
        <v>5285</v>
      </c>
      <c r="I8" s="14" t="s">
        <v>5285</v>
      </c>
      <c r="J8" s="14" t="s">
        <v>5285</v>
      </c>
      <c r="K8" s="14" t="s">
        <v>5285</v>
      </c>
      <c r="L8" s="14" t="s">
        <v>5285</v>
      </c>
      <c r="M8" s="14" t="s">
        <v>5285</v>
      </c>
    </row>
    <row r="9" spans="1:15" x14ac:dyDescent="0.25">
      <c r="A9" t="s">
        <v>5269</v>
      </c>
      <c r="B9" s="14" t="s">
        <v>5286</v>
      </c>
      <c r="C9" s="14" t="s">
        <v>5286</v>
      </c>
      <c r="D9" s="14" t="s">
        <v>5286</v>
      </c>
      <c r="E9" s="14" t="s">
        <v>5286</v>
      </c>
      <c r="F9" s="14" t="s">
        <v>5286</v>
      </c>
      <c r="G9" s="14" t="s">
        <v>5286</v>
      </c>
      <c r="H9" s="14" t="s">
        <v>5286</v>
      </c>
      <c r="I9" s="14" t="s">
        <v>5286</v>
      </c>
      <c r="J9" s="14" t="s">
        <v>5286</v>
      </c>
      <c r="K9" s="14" t="s">
        <v>5286</v>
      </c>
      <c r="L9" s="14" t="s">
        <v>5286</v>
      </c>
      <c r="M9" s="14" t="s">
        <v>5286</v>
      </c>
    </row>
    <row r="10" spans="1:15" x14ac:dyDescent="0.25">
      <c r="A10" t="s">
        <v>5270</v>
      </c>
      <c r="B10" s="14" t="s">
        <v>5287</v>
      </c>
      <c r="C10" s="14" t="s">
        <v>5287</v>
      </c>
      <c r="D10" s="14" t="s">
        <v>5287</v>
      </c>
      <c r="E10" s="14" t="s">
        <v>5287</v>
      </c>
      <c r="F10" s="14" t="s">
        <v>5287</v>
      </c>
      <c r="G10" s="14" t="s">
        <v>5287</v>
      </c>
      <c r="H10" s="14" t="s">
        <v>5287</v>
      </c>
      <c r="I10" s="14" t="s">
        <v>5287</v>
      </c>
      <c r="J10" s="14" t="s">
        <v>5287</v>
      </c>
      <c r="K10" s="14" t="s">
        <v>5287</v>
      </c>
      <c r="L10" s="14" t="s">
        <v>5287</v>
      </c>
      <c r="M10" s="14" t="s">
        <v>5287</v>
      </c>
    </row>
    <row r="11" spans="1:15" x14ac:dyDescent="0.25">
      <c r="A11" t="s">
        <v>5271</v>
      </c>
      <c r="B11" s="14">
        <v>10</v>
      </c>
      <c r="C11" s="14">
        <v>10</v>
      </c>
      <c r="D11" s="14">
        <v>10</v>
      </c>
      <c r="E11" s="14">
        <v>10</v>
      </c>
      <c r="F11" s="14">
        <v>10</v>
      </c>
      <c r="G11" s="14">
        <v>10</v>
      </c>
      <c r="H11" s="14">
        <v>10</v>
      </c>
      <c r="I11" s="14">
        <v>10</v>
      </c>
      <c r="J11" s="14">
        <v>10</v>
      </c>
      <c r="K11" s="14">
        <v>10</v>
      </c>
      <c r="L11" s="14">
        <v>10</v>
      </c>
      <c r="M11" s="14">
        <v>10</v>
      </c>
    </row>
    <row r="12" spans="1:15" x14ac:dyDescent="0.25">
      <c r="A12" t="s">
        <v>5272</v>
      </c>
      <c r="B12" s="14">
        <v>11</v>
      </c>
      <c r="C12" s="14">
        <v>11</v>
      </c>
      <c r="D12" s="14">
        <v>11</v>
      </c>
      <c r="E12" s="14">
        <v>11</v>
      </c>
      <c r="F12" s="14">
        <v>11</v>
      </c>
      <c r="G12" s="14">
        <v>11</v>
      </c>
      <c r="H12" s="14">
        <v>11</v>
      </c>
      <c r="I12" s="14">
        <v>11</v>
      </c>
      <c r="J12" s="14">
        <v>11</v>
      </c>
      <c r="K12" s="14">
        <v>11</v>
      </c>
      <c r="L12" s="14">
        <v>11</v>
      </c>
      <c r="M12" s="14">
        <v>11</v>
      </c>
    </row>
    <row r="13" spans="1:15" x14ac:dyDescent="0.25">
      <c r="B13" s="14">
        <v>12</v>
      </c>
      <c r="C13" s="14">
        <v>12</v>
      </c>
      <c r="D13" s="14">
        <v>12</v>
      </c>
      <c r="E13" s="14">
        <v>12</v>
      </c>
      <c r="F13" s="14">
        <v>12</v>
      </c>
      <c r="G13" s="14">
        <v>12</v>
      </c>
      <c r="H13" s="14">
        <v>12</v>
      </c>
      <c r="I13" s="14">
        <v>12</v>
      </c>
      <c r="J13" s="14">
        <v>12</v>
      </c>
      <c r="K13" s="14">
        <v>12</v>
      </c>
      <c r="L13" s="14">
        <v>12</v>
      </c>
      <c r="M13" s="14">
        <v>12</v>
      </c>
    </row>
    <row r="14" spans="1:15" x14ac:dyDescent="0.25">
      <c r="B14" s="14">
        <v>13</v>
      </c>
      <c r="C14" s="14">
        <v>13</v>
      </c>
      <c r="D14" s="14">
        <v>13</v>
      </c>
      <c r="E14" s="14">
        <v>13</v>
      </c>
      <c r="F14" s="14">
        <v>13</v>
      </c>
      <c r="G14" s="14">
        <v>13</v>
      </c>
      <c r="H14" s="14">
        <v>13</v>
      </c>
      <c r="I14" s="14">
        <v>13</v>
      </c>
      <c r="J14" s="14">
        <v>13</v>
      </c>
      <c r="K14" s="14">
        <v>13</v>
      </c>
      <c r="L14" s="14">
        <v>13</v>
      </c>
      <c r="M14" s="14">
        <v>13</v>
      </c>
    </row>
    <row r="15" spans="1:15" x14ac:dyDescent="0.25">
      <c r="B15" s="14">
        <v>14</v>
      </c>
      <c r="C15" s="14">
        <v>14</v>
      </c>
      <c r="D15" s="14">
        <v>14</v>
      </c>
      <c r="E15" s="14">
        <v>14</v>
      </c>
      <c r="F15" s="14">
        <v>14</v>
      </c>
      <c r="G15" s="14">
        <v>14</v>
      </c>
      <c r="H15" s="14">
        <v>14</v>
      </c>
      <c r="I15" s="14">
        <v>14</v>
      </c>
      <c r="J15" s="14">
        <v>14</v>
      </c>
      <c r="K15" s="14">
        <v>14</v>
      </c>
      <c r="L15" s="14">
        <v>14</v>
      </c>
      <c r="M15" s="14">
        <v>14</v>
      </c>
    </row>
    <row r="16" spans="1:15" x14ac:dyDescent="0.25">
      <c r="B16" s="14">
        <v>15</v>
      </c>
      <c r="C16" s="14">
        <v>15</v>
      </c>
      <c r="D16" s="14">
        <v>15</v>
      </c>
      <c r="E16" s="14">
        <v>15</v>
      </c>
      <c r="F16" s="14">
        <v>15</v>
      </c>
      <c r="G16" s="14">
        <v>15</v>
      </c>
      <c r="H16" s="14">
        <v>15</v>
      </c>
      <c r="I16" s="14">
        <v>15</v>
      </c>
      <c r="J16" s="14">
        <v>15</v>
      </c>
      <c r="K16" s="14">
        <v>15</v>
      </c>
      <c r="L16" s="14">
        <v>15</v>
      </c>
      <c r="M16" s="14">
        <v>15</v>
      </c>
    </row>
    <row r="17" spans="2:13" x14ac:dyDescent="0.25">
      <c r="B17" s="14">
        <v>16</v>
      </c>
      <c r="C17" s="14">
        <v>16</v>
      </c>
      <c r="D17" s="14">
        <v>16</v>
      </c>
      <c r="E17" s="14">
        <v>16</v>
      </c>
      <c r="F17" s="14">
        <v>16</v>
      </c>
      <c r="G17" s="14">
        <v>16</v>
      </c>
      <c r="H17" s="14">
        <v>16</v>
      </c>
      <c r="I17" s="14">
        <v>16</v>
      </c>
      <c r="J17" s="14">
        <v>16</v>
      </c>
      <c r="K17" s="14">
        <v>16</v>
      </c>
      <c r="L17" s="14">
        <v>16</v>
      </c>
      <c r="M17" s="14">
        <v>16</v>
      </c>
    </row>
    <row r="18" spans="2:13" x14ac:dyDescent="0.25">
      <c r="B18" s="14">
        <v>17</v>
      </c>
      <c r="C18" s="14">
        <v>17</v>
      </c>
      <c r="D18" s="14">
        <v>17</v>
      </c>
      <c r="E18" s="14">
        <v>17</v>
      </c>
      <c r="F18" s="14">
        <v>17</v>
      </c>
      <c r="G18" s="14">
        <v>17</v>
      </c>
      <c r="H18" s="14">
        <v>17</v>
      </c>
      <c r="I18" s="14">
        <v>17</v>
      </c>
      <c r="J18" s="14">
        <v>17</v>
      </c>
      <c r="K18" s="14">
        <v>17</v>
      </c>
      <c r="L18" s="14">
        <v>17</v>
      </c>
      <c r="M18" s="14">
        <v>17</v>
      </c>
    </row>
    <row r="19" spans="2:13" x14ac:dyDescent="0.25">
      <c r="B19" s="14">
        <v>18</v>
      </c>
      <c r="C19" s="14">
        <v>18</v>
      </c>
      <c r="D19" s="14">
        <v>18</v>
      </c>
      <c r="E19" s="14">
        <v>18</v>
      </c>
      <c r="F19" s="14">
        <v>18</v>
      </c>
      <c r="G19" s="14">
        <v>18</v>
      </c>
      <c r="H19" s="14">
        <v>18</v>
      </c>
      <c r="I19" s="14">
        <v>18</v>
      </c>
      <c r="J19" s="14">
        <v>18</v>
      </c>
      <c r="K19" s="14">
        <v>18</v>
      </c>
      <c r="L19" s="14">
        <v>18</v>
      </c>
      <c r="M19" s="14">
        <v>18</v>
      </c>
    </row>
    <row r="20" spans="2:13" x14ac:dyDescent="0.25">
      <c r="B20" s="14">
        <v>19</v>
      </c>
      <c r="C20" s="14">
        <v>19</v>
      </c>
      <c r="D20" s="14">
        <v>19</v>
      </c>
      <c r="E20" s="14">
        <v>19</v>
      </c>
      <c r="F20" s="14">
        <v>19</v>
      </c>
      <c r="G20" s="14">
        <v>19</v>
      </c>
      <c r="H20" s="14">
        <v>19</v>
      </c>
      <c r="I20" s="14">
        <v>19</v>
      </c>
      <c r="J20" s="14">
        <v>19</v>
      </c>
      <c r="K20" s="14">
        <v>19</v>
      </c>
      <c r="L20" s="14">
        <v>19</v>
      </c>
      <c r="M20" s="14">
        <v>19</v>
      </c>
    </row>
    <row r="21" spans="2:13" x14ac:dyDescent="0.25">
      <c r="B21" s="14">
        <v>20</v>
      </c>
      <c r="C21" s="14">
        <v>20</v>
      </c>
      <c r="D21" s="14">
        <v>20</v>
      </c>
      <c r="E21" s="14">
        <v>20</v>
      </c>
      <c r="F21" s="14">
        <v>20</v>
      </c>
      <c r="G21" s="14">
        <v>20</v>
      </c>
      <c r="H21" s="14">
        <v>20</v>
      </c>
      <c r="I21" s="14">
        <v>20</v>
      </c>
      <c r="J21" s="14">
        <v>20</v>
      </c>
      <c r="K21" s="14">
        <v>20</v>
      </c>
      <c r="L21" s="14">
        <v>20</v>
      </c>
      <c r="M21" s="14">
        <v>20</v>
      </c>
    </row>
    <row r="22" spans="2:13" x14ac:dyDescent="0.25">
      <c r="B22" s="14">
        <v>21</v>
      </c>
      <c r="C22" s="14">
        <v>21</v>
      </c>
      <c r="D22" s="14">
        <v>21</v>
      </c>
      <c r="E22" s="14">
        <v>21</v>
      </c>
      <c r="F22" s="14">
        <v>21</v>
      </c>
      <c r="G22" s="14">
        <v>21</v>
      </c>
      <c r="H22" s="14">
        <v>21</v>
      </c>
      <c r="I22" s="14">
        <v>21</v>
      </c>
      <c r="J22" s="14">
        <v>21</v>
      </c>
      <c r="K22" s="14">
        <v>21</v>
      </c>
      <c r="L22" s="14">
        <v>21</v>
      </c>
      <c r="M22" s="14">
        <v>21</v>
      </c>
    </row>
    <row r="23" spans="2:13" x14ac:dyDescent="0.25">
      <c r="B23" s="14">
        <v>22</v>
      </c>
      <c r="C23" s="14">
        <v>22</v>
      </c>
      <c r="D23" s="14">
        <v>22</v>
      </c>
      <c r="E23" s="14">
        <v>22</v>
      </c>
      <c r="F23" s="14">
        <v>22</v>
      </c>
      <c r="G23" s="14">
        <v>22</v>
      </c>
      <c r="H23" s="14">
        <v>22</v>
      </c>
      <c r="I23" s="14">
        <v>22</v>
      </c>
      <c r="J23" s="14">
        <v>22</v>
      </c>
      <c r="K23" s="14">
        <v>22</v>
      </c>
      <c r="L23" s="14">
        <v>22</v>
      </c>
      <c r="M23" s="14">
        <v>22</v>
      </c>
    </row>
    <row r="24" spans="2:13" x14ac:dyDescent="0.25">
      <c r="B24" s="14">
        <v>23</v>
      </c>
      <c r="C24" s="14">
        <v>23</v>
      </c>
      <c r="D24" s="14">
        <v>23</v>
      </c>
      <c r="E24" s="14">
        <v>23</v>
      </c>
      <c r="F24" s="14">
        <v>23</v>
      </c>
      <c r="G24" s="14">
        <v>23</v>
      </c>
      <c r="H24" s="14">
        <v>23</v>
      </c>
      <c r="I24" s="14">
        <v>23</v>
      </c>
      <c r="J24" s="14">
        <v>23</v>
      </c>
      <c r="K24" s="14">
        <v>23</v>
      </c>
      <c r="L24" s="14">
        <v>23</v>
      </c>
      <c r="M24" s="14">
        <v>23</v>
      </c>
    </row>
    <row r="25" spans="2:13" x14ac:dyDescent="0.25">
      <c r="B25" s="14">
        <v>24</v>
      </c>
      <c r="C25" s="14">
        <v>24</v>
      </c>
      <c r="D25" s="14">
        <v>24</v>
      </c>
      <c r="E25" s="14">
        <v>24</v>
      </c>
      <c r="F25" s="14">
        <v>24</v>
      </c>
      <c r="G25" s="14">
        <v>24</v>
      </c>
      <c r="H25" s="14">
        <v>24</v>
      </c>
      <c r="I25" s="14">
        <v>24</v>
      </c>
      <c r="J25" s="14">
        <v>24</v>
      </c>
      <c r="K25" s="14">
        <v>24</v>
      </c>
      <c r="L25" s="14">
        <v>24</v>
      </c>
      <c r="M25" s="14">
        <v>24</v>
      </c>
    </row>
    <row r="26" spans="2:13" x14ac:dyDescent="0.25">
      <c r="B26" s="14">
        <v>25</v>
      </c>
      <c r="C26" s="14">
        <v>25</v>
      </c>
      <c r="D26" s="14">
        <v>25</v>
      </c>
      <c r="E26" s="14">
        <v>25</v>
      </c>
      <c r="F26" s="14">
        <v>25</v>
      </c>
      <c r="G26" s="14">
        <v>25</v>
      </c>
      <c r="H26" s="14">
        <v>25</v>
      </c>
      <c r="I26" s="14">
        <v>25</v>
      </c>
      <c r="J26" s="14">
        <v>25</v>
      </c>
      <c r="K26" s="14">
        <v>25</v>
      </c>
      <c r="L26" s="14">
        <v>25</v>
      </c>
      <c r="M26" s="14">
        <v>25</v>
      </c>
    </row>
    <row r="27" spans="2:13" x14ac:dyDescent="0.25">
      <c r="B27" s="14">
        <v>26</v>
      </c>
      <c r="C27" s="14">
        <v>26</v>
      </c>
      <c r="D27" s="14">
        <v>26</v>
      </c>
      <c r="E27" s="14">
        <v>26</v>
      </c>
      <c r="F27" s="14">
        <v>26</v>
      </c>
      <c r="G27" s="14">
        <v>26</v>
      </c>
      <c r="H27" s="14">
        <v>26</v>
      </c>
      <c r="I27" s="14">
        <v>26</v>
      </c>
      <c r="J27" s="14">
        <v>26</v>
      </c>
      <c r="K27" s="14">
        <v>26</v>
      </c>
      <c r="L27" s="14">
        <v>26</v>
      </c>
      <c r="M27" s="14">
        <v>26</v>
      </c>
    </row>
    <row r="28" spans="2:13" x14ac:dyDescent="0.25">
      <c r="B28" s="14">
        <v>27</v>
      </c>
      <c r="C28" s="14">
        <v>27</v>
      </c>
      <c r="D28" s="14">
        <v>27</v>
      </c>
      <c r="E28" s="14">
        <v>27</v>
      </c>
      <c r="F28" s="14">
        <v>27</v>
      </c>
      <c r="G28" s="14">
        <v>27</v>
      </c>
      <c r="H28" s="14">
        <v>27</v>
      </c>
      <c r="I28" s="14">
        <v>27</v>
      </c>
      <c r="J28" s="14">
        <v>27</v>
      </c>
      <c r="K28" s="14">
        <v>27</v>
      </c>
      <c r="L28" s="14">
        <v>27</v>
      </c>
      <c r="M28" s="14">
        <v>27</v>
      </c>
    </row>
    <row r="29" spans="2:13" x14ac:dyDescent="0.25">
      <c r="B29" s="14">
        <v>28</v>
      </c>
      <c r="C29" s="14">
        <v>28</v>
      </c>
      <c r="D29" s="14">
        <v>28</v>
      </c>
      <c r="E29" s="14">
        <v>28</v>
      </c>
      <c r="F29" s="14">
        <v>28</v>
      </c>
      <c r="G29" s="14">
        <v>28</v>
      </c>
      <c r="H29" s="14">
        <v>28</v>
      </c>
      <c r="I29" s="14">
        <v>28</v>
      </c>
      <c r="J29" s="14">
        <v>28</v>
      </c>
      <c r="K29" s="14">
        <v>28</v>
      </c>
      <c r="L29" s="14">
        <v>28</v>
      </c>
      <c r="M29" s="14">
        <v>28</v>
      </c>
    </row>
    <row r="30" spans="2:13" x14ac:dyDescent="0.25">
      <c r="B30" s="14">
        <v>29</v>
      </c>
      <c r="C30" s="14">
        <v>29</v>
      </c>
      <c r="D30" s="14">
        <v>29</v>
      </c>
      <c r="E30" s="14">
        <v>29</v>
      </c>
      <c r="F30" s="14">
        <v>29</v>
      </c>
      <c r="G30" s="14">
        <v>29</v>
      </c>
      <c r="H30" s="14">
        <v>29</v>
      </c>
      <c r="I30" s="14">
        <v>29</v>
      </c>
      <c r="J30" s="14">
        <v>29</v>
      </c>
      <c r="K30" s="14">
        <v>29</v>
      </c>
      <c r="L30" s="14">
        <v>29</v>
      </c>
      <c r="M30" s="14">
        <v>29</v>
      </c>
    </row>
    <row r="31" spans="2:13" x14ac:dyDescent="0.25">
      <c r="B31" s="14">
        <v>30</v>
      </c>
      <c r="C31" s="14"/>
      <c r="D31" s="14">
        <v>30</v>
      </c>
      <c r="E31" s="14">
        <v>30</v>
      </c>
      <c r="F31" s="14">
        <v>30</v>
      </c>
      <c r="G31" s="14">
        <v>30</v>
      </c>
      <c r="H31" s="14">
        <v>30</v>
      </c>
      <c r="I31" s="14">
        <v>30</v>
      </c>
      <c r="J31" s="14">
        <v>30</v>
      </c>
      <c r="K31" s="14">
        <v>30</v>
      </c>
      <c r="L31" s="14">
        <v>30</v>
      </c>
      <c r="M31" s="14">
        <v>30</v>
      </c>
    </row>
    <row r="32" spans="2:13" x14ac:dyDescent="0.25">
      <c r="B32" s="14">
        <v>31</v>
      </c>
      <c r="C32" s="14"/>
      <c r="D32" s="14">
        <v>31</v>
      </c>
      <c r="E32" s="14"/>
      <c r="F32" s="14">
        <v>31</v>
      </c>
      <c r="G32" s="14"/>
      <c r="H32" s="14">
        <v>31</v>
      </c>
      <c r="I32" s="14">
        <v>31</v>
      </c>
      <c r="J32" s="14"/>
      <c r="K32" s="14">
        <v>31</v>
      </c>
      <c r="L32" s="14"/>
      <c r="M32" s="14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755"/>
  <sheetViews>
    <sheetView topLeftCell="A737" workbookViewId="0">
      <selection activeCell="F850" sqref="F850"/>
    </sheetView>
  </sheetViews>
  <sheetFormatPr defaultRowHeight="15" x14ac:dyDescent="0.25"/>
  <cols>
    <col min="1" max="1" width="9.28515625" bestFit="1" customWidth="1"/>
    <col min="2" max="2" width="55.5703125" bestFit="1" customWidth="1"/>
    <col min="4" max="4" width="20.140625" customWidth="1"/>
    <col min="5" max="5" width="21.140625" customWidth="1"/>
  </cols>
  <sheetData>
    <row r="1" spans="1:5" x14ac:dyDescent="0.25">
      <c r="A1" s="4" t="s">
        <v>66</v>
      </c>
      <c r="B1" s="4" t="s">
        <v>65</v>
      </c>
      <c r="C1" s="4" t="s">
        <v>67</v>
      </c>
      <c r="D1" s="4" t="s">
        <v>68</v>
      </c>
      <c r="E1" s="4" t="s">
        <v>49</v>
      </c>
    </row>
    <row r="2" spans="1:5" x14ac:dyDescent="0.25">
      <c r="A2" s="5">
        <v>19177</v>
      </c>
      <c r="B2" s="5" t="s">
        <v>69</v>
      </c>
      <c r="C2" s="5" t="s">
        <v>70</v>
      </c>
      <c r="D2" s="5" t="s">
        <v>71</v>
      </c>
      <c r="E2" s="5" t="s">
        <v>72</v>
      </c>
    </row>
    <row r="3" spans="1:5" x14ac:dyDescent="0.25">
      <c r="A3" s="5" t="s">
        <v>74</v>
      </c>
      <c r="B3" s="5" t="s">
        <v>73</v>
      </c>
      <c r="C3" s="5" t="s">
        <v>75</v>
      </c>
      <c r="D3" s="5" t="s">
        <v>76</v>
      </c>
      <c r="E3" s="5" t="s">
        <v>77</v>
      </c>
    </row>
    <row r="4" spans="1:5" x14ac:dyDescent="0.25">
      <c r="A4" s="5">
        <v>19195</v>
      </c>
      <c r="B4" s="5" t="s">
        <v>78</v>
      </c>
      <c r="C4" s="5" t="s">
        <v>79</v>
      </c>
      <c r="D4" s="5" t="s">
        <v>80</v>
      </c>
      <c r="E4" s="5" t="s">
        <v>81</v>
      </c>
    </row>
    <row r="5" spans="1:5" x14ac:dyDescent="0.25">
      <c r="A5" s="5">
        <v>19114</v>
      </c>
      <c r="B5" s="5" t="s">
        <v>82</v>
      </c>
      <c r="C5" s="5" t="s">
        <v>83</v>
      </c>
      <c r="D5" s="5" t="s">
        <v>84</v>
      </c>
      <c r="E5" s="5" t="s">
        <v>85</v>
      </c>
    </row>
    <row r="6" spans="1:5" x14ac:dyDescent="0.25">
      <c r="A6" s="5">
        <v>19243</v>
      </c>
      <c r="B6" s="5" t="s">
        <v>86</v>
      </c>
      <c r="C6" s="5" t="s">
        <v>87</v>
      </c>
      <c r="D6" s="5" t="s">
        <v>88</v>
      </c>
      <c r="E6" s="5" t="s">
        <v>89</v>
      </c>
    </row>
    <row r="7" spans="1:5" x14ac:dyDescent="0.25">
      <c r="A7" s="5">
        <v>15025</v>
      </c>
      <c r="B7" s="5" t="s">
        <v>90</v>
      </c>
      <c r="C7" s="5" t="s">
        <v>91</v>
      </c>
      <c r="D7" s="5" t="s">
        <v>92</v>
      </c>
      <c r="E7" s="5" t="s">
        <v>93</v>
      </c>
    </row>
    <row r="8" spans="1:5" x14ac:dyDescent="0.25">
      <c r="A8" s="5">
        <v>10031</v>
      </c>
      <c r="B8" s="5" t="s">
        <v>94</v>
      </c>
      <c r="C8" s="5" t="s">
        <v>95</v>
      </c>
      <c r="D8" s="5" t="s">
        <v>96</v>
      </c>
      <c r="E8" s="5" t="s">
        <v>97</v>
      </c>
    </row>
    <row r="9" spans="1:5" x14ac:dyDescent="0.25">
      <c r="A9" s="5">
        <v>18287</v>
      </c>
      <c r="B9" s="5" t="s">
        <v>98</v>
      </c>
      <c r="C9" s="5" t="s">
        <v>99</v>
      </c>
      <c r="D9" s="5" t="s">
        <v>100</v>
      </c>
      <c r="E9" s="5" t="s">
        <v>93</v>
      </c>
    </row>
    <row r="10" spans="1:5" x14ac:dyDescent="0.25">
      <c r="A10" s="5">
        <v>19510</v>
      </c>
      <c r="B10" s="5" t="s">
        <v>101</v>
      </c>
      <c r="C10" s="5" t="s">
        <v>102</v>
      </c>
      <c r="D10" s="5" t="s">
        <v>103</v>
      </c>
      <c r="E10" s="5" t="s">
        <v>97</v>
      </c>
    </row>
    <row r="11" spans="1:5" x14ac:dyDescent="0.25">
      <c r="A11" s="5">
        <v>19161</v>
      </c>
      <c r="B11" s="5" t="s">
        <v>104</v>
      </c>
      <c r="C11" s="5" t="s">
        <v>105</v>
      </c>
      <c r="D11" s="5" t="s">
        <v>106</v>
      </c>
      <c r="E11" s="5" t="s">
        <v>97</v>
      </c>
    </row>
    <row r="12" spans="1:5" x14ac:dyDescent="0.25">
      <c r="A12" s="5">
        <v>11015</v>
      </c>
      <c r="B12" s="5" t="s">
        <v>107</v>
      </c>
      <c r="C12" s="5" t="s">
        <v>108</v>
      </c>
      <c r="D12" s="5" t="s">
        <v>109</v>
      </c>
      <c r="E12" s="5" t="s">
        <v>110</v>
      </c>
    </row>
    <row r="13" spans="1:5" x14ac:dyDescent="0.25">
      <c r="A13" s="5">
        <v>16133</v>
      </c>
      <c r="B13" s="5" t="s">
        <v>111</v>
      </c>
      <c r="C13" s="5" t="s">
        <v>112</v>
      </c>
      <c r="D13" s="5" t="s">
        <v>113</v>
      </c>
      <c r="E13" s="5" t="s">
        <v>110</v>
      </c>
    </row>
    <row r="14" spans="1:5" x14ac:dyDescent="0.25">
      <c r="A14" s="5">
        <v>17039</v>
      </c>
      <c r="B14" s="5" t="s">
        <v>114</v>
      </c>
      <c r="C14" s="5" t="s">
        <v>115</v>
      </c>
      <c r="D14" s="5" t="s">
        <v>116</v>
      </c>
      <c r="E14" s="5" t="s">
        <v>117</v>
      </c>
    </row>
    <row r="15" spans="1:5" x14ac:dyDescent="0.25">
      <c r="A15" s="5">
        <v>18231</v>
      </c>
      <c r="B15" s="5" t="s">
        <v>118</v>
      </c>
      <c r="C15" s="5" t="s">
        <v>119</v>
      </c>
      <c r="D15" s="5" t="s">
        <v>120</v>
      </c>
      <c r="E15" s="5" t="s">
        <v>117</v>
      </c>
    </row>
    <row r="16" spans="1:5" x14ac:dyDescent="0.25">
      <c r="A16" s="5">
        <v>18155</v>
      </c>
      <c r="B16" s="5" t="s">
        <v>121</v>
      </c>
      <c r="C16" s="5" t="s">
        <v>122</v>
      </c>
      <c r="D16" s="5" t="s">
        <v>123</v>
      </c>
      <c r="E16" s="5" t="s">
        <v>93</v>
      </c>
    </row>
    <row r="17" spans="1:5" x14ac:dyDescent="0.25">
      <c r="A17" s="5" t="s">
        <v>74</v>
      </c>
      <c r="B17" s="5" t="s">
        <v>124</v>
      </c>
      <c r="C17" s="5" t="s">
        <v>125</v>
      </c>
      <c r="D17" s="5" t="s">
        <v>74</v>
      </c>
      <c r="E17" s="5" t="s">
        <v>74</v>
      </c>
    </row>
    <row r="18" spans="1:5" x14ac:dyDescent="0.25">
      <c r="A18" s="5" t="s">
        <v>74</v>
      </c>
      <c r="B18" s="5" t="s">
        <v>126</v>
      </c>
      <c r="C18" s="5" t="s">
        <v>127</v>
      </c>
      <c r="D18" s="5" t="s">
        <v>74</v>
      </c>
      <c r="E18" s="5" t="s">
        <v>74</v>
      </c>
    </row>
    <row r="19" spans="1:5" x14ac:dyDescent="0.25">
      <c r="A19" s="5" t="s">
        <v>74</v>
      </c>
      <c r="B19" s="5" t="s">
        <v>128</v>
      </c>
      <c r="C19" s="5" t="s">
        <v>129</v>
      </c>
      <c r="D19" s="5" t="s">
        <v>130</v>
      </c>
      <c r="E19" s="5" t="s">
        <v>72</v>
      </c>
    </row>
    <row r="20" spans="1:5" x14ac:dyDescent="0.25">
      <c r="A20" s="5" t="s">
        <v>74</v>
      </c>
      <c r="B20" s="5" t="s">
        <v>131</v>
      </c>
      <c r="C20" s="5" t="s">
        <v>132</v>
      </c>
      <c r="D20" s="5" t="s">
        <v>133</v>
      </c>
      <c r="E20" s="5" t="s">
        <v>89</v>
      </c>
    </row>
    <row r="21" spans="1:5" x14ac:dyDescent="0.25">
      <c r="A21" s="5" t="s">
        <v>74</v>
      </c>
      <c r="B21" s="5" t="s">
        <v>134</v>
      </c>
      <c r="C21" s="5" t="s">
        <v>135</v>
      </c>
      <c r="D21" s="5" t="s">
        <v>74</v>
      </c>
      <c r="E21" s="5" t="s">
        <v>74</v>
      </c>
    </row>
    <row r="22" spans="1:5" x14ac:dyDescent="0.25">
      <c r="A22" s="5" t="s">
        <v>74</v>
      </c>
      <c r="B22" s="5" t="s">
        <v>136</v>
      </c>
      <c r="C22" s="5" t="s">
        <v>137</v>
      </c>
      <c r="D22" s="5" t="s">
        <v>74</v>
      </c>
      <c r="E22" s="5" t="s">
        <v>74</v>
      </c>
    </row>
    <row r="23" spans="1:5" x14ac:dyDescent="0.25">
      <c r="A23" s="5" t="s">
        <v>74</v>
      </c>
      <c r="B23" s="5" t="s">
        <v>138</v>
      </c>
      <c r="C23" s="5" t="s">
        <v>139</v>
      </c>
      <c r="D23" s="5" t="s">
        <v>74</v>
      </c>
      <c r="E23" s="5" t="s">
        <v>140</v>
      </c>
    </row>
    <row r="24" spans="1:5" x14ac:dyDescent="0.25">
      <c r="A24" s="5">
        <v>19250</v>
      </c>
      <c r="B24" s="5" t="s">
        <v>141</v>
      </c>
      <c r="C24" s="5" t="s">
        <v>142</v>
      </c>
      <c r="D24" s="5" t="s">
        <v>143</v>
      </c>
      <c r="E24" s="5" t="s">
        <v>140</v>
      </c>
    </row>
    <row r="25" spans="1:5" x14ac:dyDescent="0.25">
      <c r="A25" s="5">
        <v>19017</v>
      </c>
      <c r="B25" s="5" t="s">
        <v>144</v>
      </c>
      <c r="C25" s="5" t="s">
        <v>145</v>
      </c>
      <c r="D25" s="5" t="s">
        <v>146</v>
      </c>
      <c r="E25" s="5" t="s">
        <v>117</v>
      </c>
    </row>
    <row r="26" spans="1:5" x14ac:dyDescent="0.25">
      <c r="A26" s="5">
        <v>13162</v>
      </c>
      <c r="B26" s="5" t="s">
        <v>147</v>
      </c>
      <c r="C26" s="5" t="s">
        <v>148</v>
      </c>
      <c r="D26" s="5" t="s">
        <v>149</v>
      </c>
      <c r="E26" s="5" t="s">
        <v>72</v>
      </c>
    </row>
    <row r="27" spans="1:5" x14ac:dyDescent="0.25">
      <c r="A27" s="5">
        <v>15213</v>
      </c>
      <c r="B27" s="5" t="s">
        <v>150</v>
      </c>
      <c r="C27" s="5" t="s">
        <v>151</v>
      </c>
      <c r="D27" s="5" t="s">
        <v>152</v>
      </c>
      <c r="E27" s="5" t="s">
        <v>153</v>
      </c>
    </row>
    <row r="28" spans="1:5" x14ac:dyDescent="0.25">
      <c r="A28" s="5" t="s">
        <v>74</v>
      </c>
      <c r="B28" s="5" t="s">
        <v>154</v>
      </c>
      <c r="C28" s="5" t="s">
        <v>155</v>
      </c>
      <c r="D28" s="5" t="s">
        <v>74</v>
      </c>
      <c r="E28" s="5" t="s">
        <v>74</v>
      </c>
    </row>
    <row r="29" spans="1:5" x14ac:dyDescent="0.25">
      <c r="A29" s="5">
        <v>12122</v>
      </c>
      <c r="B29" s="5" t="s">
        <v>156</v>
      </c>
      <c r="C29" s="5" t="s">
        <v>157</v>
      </c>
      <c r="D29" s="5" t="s">
        <v>158</v>
      </c>
      <c r="E29" s="5" t="s">
        <v>140</v>
      </c>
    </row>
    <row r="30" spans="1:5" x14ac:dyDescent="0.25">
      <c r="A30" s="5" t="s">
        <v>74</v>
      </c>
      <c r="B30" s="5" t="s">
        <v>159</v>
      </c>
      <c r="C30" s="5" t="s">
        <v>160</v>
      </c>
      <c r="D30" s="5" t="s">
        <v>74</v>
      </c>
      <c r="E30" s="5" t="s">
        <v>74</v>
      </c>
    </row>
    <row r="31" spans="1:5" x14ac:dyDescent="0.25">
      <c r="A31" s="5" t="s">
        <v>74</v>
      </c>
      <c r="B31" s="5" t="s">
        <v>161</v>
      </c>
      <c r="C31" s="5" t="s">
        <v>162</v>
      </c>
      <c r="D31" s="5" t="s">
        <v>74</v>
      </c>
      <c r="E31" s="5" t="s">
        <v>74</v>
      </c>
    </row>
    <row r="32" spans="1:5" x14ac:dyDescent="0.25">
      <c r="A32" s="5" t="s">
        <v>74</v>
      </c>
      <c r="B32" s="5" t="s">
        <v>163</v>
      </c>
      <c r="C32" s="5" t="s">
        <v>164</v>
      </c>
      <c r="D32" s="5" t="s">
        <v>74</v>
      </c>
      <c r="E32" s="5" t="s">
        <v>140</v>
      </c>
    </row>
    <row r="33" spans="1:5" x14ac:dyDescent="0.25">
      <c r="A33" s="5" t="s">
        <v>74</v>
      </c>
      <c r="B33" s="5" t="s">
        <v>165</v>
      </c>
      <c r="C33" s="5" t="s">
        <v>166</v>
      </c>
      <c r="D33" s="5" t="s">
        <v>74</v>
      </c>
      <c r="E33" s="5" t="s">
        <v>74</v>
      </c>
    </row>
    <row r="34" spans="1:5" x14ac:dyDescent="0.25">
      <c r="A34" s="5">
        <v>19038</v>
      </c>
      <c r="B34" s="5" t="s">
        <v>167</v>
      </c>
      <c r="C34" s="5" t="s">
        <v>168</v>
      </c>
      <c r="D34" s="5" t="s">
        <v>169</v>
      </c>
      <c r="E34" s="5" t="s">
        <v>140</v>
      </c>
    </row>
    <row r="35" spans="1:5" x14ac:dyDescent="0.25">
      <c r="A35" s="5">
        <v>12121</v>
      </c>
      <c r="B35" s="5" t="s">
        <v>170</v>
      </c>
      <c r="C35" s="5" t="s">
        <v>171</v>
      </c>
      <c r="D35" s="5" t="s">
        <v>172</v>
      </c>
      <c r="E35" s="5" t="s">
        <v>140</v>
      </c>
    </row>
    <row r="36" spans="1:5" x14ac:dyDescent="0.25">
      <c r="A36" s="5" t="s">
        <v>174</v>
      </c>
      <c r="B36" s="5" t="s">
        <v>173</v>
      </c>
      <c r="C36" s="5" t="s">
        <v>175</v>
      </c>
      <c r="D36" s="5" t="s">
        <v>96</v>
      </c>
      <c r="E36" s="5" t="s">
        <v>97</v>
      </c>
    </row>
    <row r="37" spans="1:5" x14ac:dyDescent="0.25">
      <c r="A37" s="5" t="s">
        <v>74</v>
      </c>
      <c r="B37" s="5" t="s">
        <v>176</v>
      </c>
      <c r="C37" s="5" t="s">
        <v>177</v>
      </c>
      <c r="D37" s="5" t="s">
        <v>74</v>
      </c>
      <c r="E37" s="5" t="s">
        <v>74</v>
      </c>
    </row>
    <row r="38" spans="1:5" x14ac:dyDescent="0.25">
      <c r="A38" s="5">
        <v>18159</v>
      </c>
      <c r="B38" s="5" t="s">
        <v>178</v>
      </c>
      <c r="C38" s="5" t="s">
        <v>179</v>
      </c>
      <c r="D38" s="5" t="s">
        <v>180</v>
      </c>
      <c r="E38" s="5" t="s">
        <v>181</v>
      </c>
    </row>
    <row r="39" spans="1:5" x14ac:dyDescent="0.25">
      <c r="A39" s="5">
        <v>12020</v>
      </c>
      <c r="B39" s="5" t="s">
        <v>182</v>
      </c>
      <c r="C39" s="5" t="s">
        <v>183</v>
      </c>
      <c r="D39" s="5" t="s">
        <v>184</v>
      </c>
      <c r="E39" s="5" t="s">
        <v>97</v>
      </c>
    </row>
    <row r="40" spans="1:5" x14ac:dyDescent="0.25">
      <c r="A40" s="5">
        <v>91009</v>
      </c>
      <c r="B40" s="5" t="s">
        <v>185</v>
      </c>
      <c r="C40" s="5" t="s">
        <v>186</v>
      </c>
      <c r="D40" s="5" t="s">
        <v>187</v>
      </c>
      <c r="E40" s="5" t="s">
        <v>188</v>
      </c>
    </row>
    <row r="41" spans="1:5" x14ac:dyDescent="0.25">
      <c r="A41" s="5" t="s">
        <v>74</v>
      </c>
      <c r="B41" s="5" t="s">
        <v>189</v>
      </c>
      <c r="C41" s="5" t="s">
        <v>190</v>
      </c>
      <c r="D41" s="5" t="s">
        <v>191</v>
      </c>
      <c r="E41" s="5" t="s">
        <v>97</v>
      </c>
    </row>
    <row r="42" spans="1:5" x14ac:dyDescent="0.25">
      <c r="A42" s="5" t="s">
        <v>74</v>
      </c>
      <c r="B42" s="5" t="s">
        <v>192</v>
      </c>
      <c r="C42" s="5" t="s">
        <v>193</v>
      </c>
      <c r="D42" s="5" t="s">
        <v>74</v>
      </c>
      <c r="E42" s="5" t="s">
        <v>74</v>
      </c>
    </row>
    <row r="43" spans="1:5" x14ac:dyDescent="0.25">
      <c r="A43" s="5" t="s">
        <v>74</v>
      </c>
      <c r="B43" s="5" t="s">
        <v>194</v>
      </c>
      <c r="C43" s="5" t="s">
        <v>195</v>
      </c>
      <c r="D43" s="5" t="s">
        <v>74</v>
      </c>
      <c r="E43" s="5" t="s">
        <v>74</v>
      </c>
    </row>
    <row r="44" spans="1:5" x14ac:dyDescent="0.25">
      <c r="A44" s="5" t="s">
        <v>74</v>
      </c>
      <c r="B44" s="5" t="s">
        <v>196</v>
      </c>
      <c r="C44" s="5" t="s">
        <v>197</v>
      </c>
      <c r="D44" s="5" t="s">
        <v>74</v>
      </c>
      <c r="E44" s="5" t="s">
        <v>74</v>
      </c>
    </row>
    <row r="45" spans="1:5" x14ac:dyDescent="0.25">
      <c r="A45" s="5" t="s">
        <v>74</v>
      </c>
      <c r="B45" s="5" t="s">
        <v>198</v>
      </c>
      <c r="C45" s="5" t="s">
        <v>199</v>
      </c>
      <c r="D45" s="5" t="s">
        <v>74</v>
      </c>
      <c r="E45" s="5" t="s">
        <v>74</v>
      </c>
    </row>
    <row r="46" spans="1:5" x14ac:dyDescent="0.25">
      <c r="A46" s="5">
        <v>83006</v>
      </c>
      <c r="B46" s="5" t="s">
        <v>200</v>
      </c>
      <c r="C46" s="5" t="s">
        <v>201</v>
      </c>
      <c r="D46" s="5" t="s">
        <v>202</v>
      </c>
      <c r="E46" s="5" t="s">
        <v>188</v>
      </c>
    </row>
    <row r="47" spans="1:5" x14ac:dyDescent="0.25">
      <c r="A47" s="5">
        <v>13152</v>
      </c>
      <c r="B47" s="5" t="s">
        <v>203</v>
      </c>
      <c r="C47" s="5" t="s">
        <v>204</v>
      </c>
      <c r="D47" s="5" t="s">
        <v>205</v>
      </c>
      <c r="E47" s="5" t="s">
        <v>206</v>
      </c>
    </row>
    <row r="48" spans="1:5" x14ac:dyDescent="0.25">
      <c r="A48" s="5" t="s">
        <v>74</v>
      </c>
      <c r="B48" s="5" t="s">
        <v>207</v>
      </c>
      <c r="C48" s="5" t="s">
        <v>208</v>
      </c>
      <c r="D48" s="5" t="s">
        <v>74</v>
      </c>
      <c r="E48" s="5" t="s">
        <v>74</v>
      </c>
    </row>
    <row r="49" spans="1:5" x14ac:dyDescent="0.25">
      <c r="A49" s="5" t="s">
        <v>74</v>
      </c>
      <c r="B49" s="5" t="s">
        <v>209</v>
      </c>
      <c r="C49" s="5" t="s">
        <v>210</v>
      </c>
      <c r="D49" s="5" t="s">
        <v>74</v>
      </c>
      <c r="E49" s="5" t="s">
        <v>211</v>
      </c>
    </row>
    <row r="50" spans="1:5" x14ac:dyDescent="0.25">
      <c r="A50" s="5" t="s">
        <v>74</v>
      </c>
      <c r="B50" s="5" t="s">
        <v>212</v>
      </c>
      <c r="C50" s="5" t="s">
        <v>213</v>
      </c>
      <c r="D50" s="5" t="s">
        <v>74</v>
      </c>
      <c r="E50" s="5" t="s">
        <v>74</v>
      </c>
    </row>
    <row r="51" spans="1:5" x14ac:dyDescent="0.25">
      <c r="A51" s="5" t="s">
        <v>74</v>
      </c>
      <c r="B51" s="5" t="s">
        <v>214</v>
      </c>
      <c r="C51" s="5" t="s">
        <v>215</v>
      </c>
      <c r="D51" s="5" t="s">
        <v>74</v>
      </c>
      <c r="E51" s="5" t="s">
        <v>74</v>
      </c>
    </row>
    <row r="52" spans="1:5" x14ac:dyDescent="0.25">
      <c r="A52" s="5" t="s">
        <v>74</v>
      </c>
      <c r="B52" s="5" t="s">
        <v>216</v>
      </c>
      <c r="C52" s="5" t="s">
        <v>217</v>
      </c>
      <c r="D52" s="5" t="s">
        <v>74</v>
      </c>
      <c r="E52" s="5" t="s">
        <v>153</v>
      </c>
    </row>
    <row r="53" spans="1:5" x14ac:dyDescent="0.25">
      <c r="A53" s="5">
        <v>18286</v>
      </c>
      <c r="B53" s="5" t="s">
        <v>218</v>
      </c>
      <c r="C53" s="5" t="s">
        <v>219</v>
      </c>
      <c r="D53" s="5" t="s">
        <v>220</v>
      </c>
      <c r="E53" s="5" t="s">
        <v>117</v>
      </c>
    </row>
    <row r="54" spans="1:5" x14ac:dyDescent="0.25">
      <c r="A54" s="5">
        <v>12030</v>
      </c>
      <c r="B54" s="5" t="s">
        <v>221</v>
      </c>
      <c r="C54" s="5" t="s">
        <v>222</v>
      </c>
      <c r="D54" s="5" t="s">
        <v>223</v>
      </c>
      <c r="E54" s="5" t="s">
        <v>224</v>
      </c>
    </row>
    <row r="55" spans="1:5" x14ac:dyDescent="0.25">
      <c r="A55" s="5">
        <v>15137</v>
      </c>
      <c r="B55" s="5" t="s">
        <v>225</v>
      </c>
      <c r="C55" s="5" t="s">
        <v>226</v>
      </c>
      <c r="D55" s="5" t="s">
        <v>227</v>
      </c>
      <c r="E55" s="5" t="s">
        <v>89</v>
      </c>
    </row>
    <row r="56" spans="1:5" x14ac:dyDescent="0.25">
      <c r="A56" s="5">
        <v>15137</v>
      </c>
      <c r="B56" s="5" t="s">
        <v>225</v>
      </c>
      <c r="C56" s="5" t="s">
        <v>226</v>
      </c>
      <c r="D56" s="5" t="s">
        <v>227</v>
      </c>
      <c r="E56" s="5" t="s">
        <v>89</v>
      </c>
    </row>
    <row r="57" spans="1:5" x14ac:dyDescent="0.25">
      <c r="A57" s="5" t="s">
        <v>74</v>
      </c>
      <c r="B57" s="5" t="s">
        <v>228</v>
      </c>
      <c r="C57" s="5" t="s">
        <v>229</v>
      </c>
      <c r="D57" s="5" t="s">
        <v>230</v>
      </c>
      <c r="E57" s="5" t="s">
        <v>89</v>
      </c>
    </row>
    <row r="58" spans="1:5" x14ac:dyDescent="0.25">
      <c r="A58" s="5">
        <v>18257</v>
      </c>
      <c r="B58" s="5" t="s">
        <v>231</v>
      </c>
      <c r="C58" s="5" t="s">
        <v>232</v>
      </c>
      <c r="D58" s="5" t="s">
        <v>74</v>
      </c>
      <c r="E58" s="5" t="s">
        <v>117</v>
      </c>
    </row>
    <row r="59" spans="1:5" x14ac:dyDescent="0.25">
      <c r="A59" s="5">
        <v>27139</v>
      </c>
      <c r="B59" s="5" t="s">
        <v>233</v>
      </c>
      <c r="C59" s="5" t="s">
        <v>234</v>
      </c>
      <c r="D59" s="5" t="s">
        <v>235</v>
      </c>
      <c r="E59" s="5" t="s">
        <v>89</v>
      </c>
    </row>
    <row r="60" spans="1:5" x14ac:dyDescent="0.25">
      <c r="A60" s="5">
        <v>14008</v>
      </c>
      <c r="B60" s="5" t="s">
        <v>236</v>
      </c>
      <c r="C60" s="5" t="s">
        <v>237</v>
      </c>
      <c r="D60" s="5" t="s">
        <v>109</v>
      </c>
      <c r="E60" s="5" t="s">
        <v>110</v>
      </c>
    </row>
    <row r="61" spans="1:5" x14ac:dyDescent="0.25">
      <c r="A61" s="5">
        <v>16020</v>
      </c>
      <c r="B61" s="5" t="s">
        <v>238</v>
      </c>
      <c r="C61" s="5" t="s">
        <v>239</v>
      </c>
      <c r="D61" s="5" t="s">
        <v>240</v>
      </c>
      <c r="E61" s="5" t="s">
        <v>81</v>
      </c>
    </row>
    <row r="62" spans="1:5" x14ac:dyDescent="0.25">
      <c r="A62" s="5">
        <v>18142</v>
      </c>
      <c r="B62" s="5" t="s">
        <v>241</v>
      </c>
      <c r="C62" s="5" t="s">
        <v>242</v>
      </c>
      <c r="D62" s="5" t="s">
        <v>243</v>
      </c>
      <c r="E62" s="5" t="s">
        <v>117</v>
      </c>
    </row>
    <row r="63" spans="1:5" x14ac:dyDescent="0.25">
      <c r="A63" s="5">
        <v>29098</v>
      </c>
      <c r="B63" s="5" t="s">
        <v>244</v>
      </c>
      <c r="C63" s="5" t="s">
        <v>245</v>
      </c>
      <c r="D63" s="5" t="s">
        <v>246</v>
      </c>
      <c r="E63" s="5" t="s">
        <v>93</v>
      </c>
    </row>
    <row r="64" spans="1:5" x14ac:dyDescent="0.25">
      <c r="A64" s="5">
        <v>18246</v>
      </c>
      <c r="B64" s="5" t="s">
        <v>247</v>
      </c>
      <c r="C64" s="5" t="s">
        <v>248</v>
      </c>
      <c r="D64" s="5" t="s">
        <v>249</v>
      </c>
      <c r="E64" s="5" t="s">
        <v>89</v>
      </c>
    </row>
    <row r="65" spans="1:5" x14ac:dyDescent="0.25">
      <c r="A65" s="5" t="s">
        <v>74</v>
      </c>
      <c r="B65" s="5" t="s">
        <v>250</v>
      </c>
      <c r="C65" s="5" t="s">
        <v>251</v>
      </c>
      <c r="D65" s="5" t="s">
        <v>252</v>
      </c>
      <c r="E65" s="5" t="s">
        <v>97</v>
      </c>
    </row>
    <row r="66" spans="1:5" x14ac:dyDescent="0.25">
      <c r="A66" s="5">
        <v>19155</v>
      </c>
      <c r="B66" s="5" t="s">
        <v>253</v>
      </c>
      <c r="C66" s="5" t="s">
        <v>254</v>
      </c>
      <c r="D66" s="5" t="s">
        <v>252</v>
      </c>
      <c r="E66" s="5" t="s">
        <v>93</v>
      </c>
    </row>
    <row r="67" spans="1:5" x14ac:dyDescent="0.25">
      <c r="A67" s="5" t="s">
        <v>74</v>
      </c>
      <c r="B67" s="5" t="s">
        <v>255</v>
      </c>
      <c r="C67" s="5" t="s">
        <v>256</v>
      </c>
      <c r="D67" s="5" t="s">
        <v>85</v>
      </c>
      <c r="E67" s="5" t="s">
        <v>74</v>
      </c>
    </row>
    <row r="68" spans="1:5" x14ac:dyDescent="0.25">
      <c r="A68" s="5">
        <v>16152</v>
      </c>
      <c r="B68" s="5" t="s">
        <v>257</v>
      </c>
      <c r="C68" s="5" t="s">
        <v>258</v>
      </c>
      <c r="D68" s="5" t="s">
        <v>259</v>
      </c>
      <c r="E68" s="5" t="s">
        <v>72</v>
      </c>
    </row>
    <row r="69" spans="1:5" x14ac:dyDescent="0.25">
      <c r="A69" s="5" t="s">
        <v>74</v>
      </c>
      <c r="B69" s="5" t="s">
        <v>260</v>
      </c>
      <c r="C69" s="5" t="s">
        <v>261</v>
      </c>
      <c r="D69" s="5" t="s">
        <v>74</v>
      </c>
      <c r="E69" s="5" t="s">
        <v>74</v>
      </c>
    </row>
    <row r="70" spans="1:5" x14ac:dyDescent="0.25">
      <c r="A70" s="5">
        <v>18213</v>
      </c>
      <c r="B70" s="5" t="s">
        <v>262</v>
      </c>
      <c r="C70" s="5" t="s">
        <v>263</v>
      </c>
      <c r="D70" s="5" t="s">
        <v>264</v>
      </c>
      <c r="E70" s="5" t="s">
        <v>181</v>
      </c>
    </row>
    <row r="71" spans="1:5" x14ac:dyDescent="0.25">
      <c r="A71" s="5" t="s">
        <v>74</v>
      </c>
      <c r="B71" s="5" t="s">
        <v>265</v>
      </c>
      <c r="C71" s="5" t="s">
        <v>266</v>
      </c>
      <c r="D71" s="5" t="s">
        <v>74</v>
      </c>
      <c r="E71" s="5" t="s">
        <v>74</v>
      </c>
    </row>
    <row r="72" spans="1:5" x14ac:dyDescent="0.25">
      <c r="A72" s="5">
        <v>27093</v>
      </c>
      <c r="B72" s="5" t="s">
        <v>267</v>
      </c>
      <c r="C72" s="5" t="s">
        <v>268</v>
      </c>
      <c r="D72" s="5" t="s">
        <v>269</v>
      </c>
      <c r="E72" s="5" t="s">
        <v>110</v>
      </c>
    </row>
    <row r="73" spans="1:5" x14ac:dyDescent="0.25">
      <c r="A73" s="5" t="s">
        <v>74</v>
      </c>
      <c r="B73" s="5" t="s">
        <v>270</v>
      </c>
      <c r="C73" s="5" t="s">
        <v>271</v>
      </c>
      <c r="D73" s="5" t="s">
        <v>74</v>
      </c>
      <c r="E73" s="5" t="s">
        <v>140</v>
      </c>
    </row>
    <row r="74" spans="1:5" x14ac:dyDescent="0.25">
      <c r="A74" s="5">
        <v>16137</v>
      </c>
      <c r="B74" s="5" t="s">
        <v>272</v>
      </c>
      <c r="C74" s="5" t="s">
        <v>273</v>
      </c>
      <c r="D74" s="5" t="s">
        <v>274</v>
      </c>
      <c r="E74" s="5" t="s">
        <v>72</v>
      </c>
    </row>
    <row r="75" spans="1:5" x14ac:dyDescent="0.25">
      <c r="A75" s="5">
        <v>93040</v>
      </c>
      <c r="B75" s="5" t="s">
        <v>275</v>
      </c>
      <c r="C75" s="5" t="s">
        <v>276</v>
      </c>
      <c r="D75" s="5" t="s">
        <v>277</v>
      </c>
      <c r="E75" s="5" t="s">
        <v>188</v>
      </c>
    </row>
    <row r="76" spans="1:5" x14ac:dyDescent="0.25">
      <c r="A76" s="5" t="s">
        <v>74</v>
      </c>
      <c r="B76" s="5" t="s">
        <v>278</v>
      </c>
      <c r="C76" s="5" t="s">
        <v>279</v>
      </c>
      <c r="D76" s="5" t="s">
        <v>74</v>
      </c>
      <c r="E76" s="5" t="s">
        <v>140</v>
      </c>
    </row>
    <row r="77" spans="1:5" x14ac:dyDescent="0.25">
      <c r="A77" s="5">
        <v>14065</v>
      </c>
      <c r="B77" s="5" t="s">
        <v>280</v>
      </c>
      <c r="C77" s="5" t="s">
        <v>281</v>
      </c>
      <c r="D77" s="5" t="s">
        <v>246</v>
      </c>
      <c r="E77" s="5" t="s">
        <v>93</v>
      </c>
    </row>
    <row r="78" spans="1:5" x14ac:dyDescent="0.25">
      <c r="A78" s="5">
        <v>19042</v>
      </c>
      <c r="B78" s="5" t="s">
        <v>282</v>
      </c>
      <c r="C78" s="5" t="s">
        <v>283</v>
      </c>
      <c r="D78" s="5" t="s">
        <v>284</v>
      </c>
      <c r="E78" s="5" t="s">
        <v>81</v>
      </c>
    </row>
    <row r="79" spans="1:5" x14ac:dyDescent="0.25">
      <c r="A79" s="5" t="s">
        <v>74</v>
      </c>
      <c r="B79" s="5" t="s">
        <v>285</v>
      </c>
      <c r="C79" s="5" t="s">
        <v>286</v>
      </c>
      <c r="D79" s="5" t="s">
        <v>74</v>
      </c>
      <c r="E79" s="5" t="s">
        <v>74</v>
      </c>
    </row>
    <row r="80" spans="1:5" x14ac:dyDescent="0.25">
      <c r="A80" s="5" t="s">
        <v>74</v>
      </c>
      <c r="B80" s="5" t="s">
        <v>287</v>
      </c>
      <c r="C80" s="5" t="s">
        <v>288</v>
      </c>
      <c r="D80" s="5" t="s">
        <v>289</v>
      </c>
      <c r="E80" s="5" t="s">
        <v>89</v>
      </c>
    </row>
    <row r="81" spans="1:5" x14ac:dyDescent="0.25">
      <c r="A81" s="5">
        <v>15178</v>
      </c>
      <c r="B81" s="5" t="s">
        <v>290</v>
      </c>
      <c r="C81" s="5" t="s">
        <v>291</v>
      </c>
      <c r="D81" s="5" t="s">
        <v>191</v>
      </c>
      <c r="E81" s="5" t="s">
        <v>72</v>
      </c>
    </row>
    <row r="82" spans="1:5" x14ac:dyDescent="0.25">
      <c r="A82" s="5" t="s">
        <v>74</v>
      </c>
      <c r="B82" s="5" t="s">
        <v>292</v>
      </c>
      <c r="C82" s="5" t="s">
        <v>293</v>
      </c>
      <c r="D82" s="5" t="s">
        <v>294</v>
      </c>
      <c r="E82" s="5" t="s">
        <v>72</v>
      </c>
    </row>
    <row r="83" spans="1:5" x14ac:dyDescent="0.25">
      <c r="A83" s="5">
        <v>13034</v>
      </c>
      <c r="B83" s="5" t="s">
        <v>295</v>
      </c>
      <c r="C83" s="5" t="s">
        <v>296</v>
      </c>
      <c r="D83" s="5" t="s">
        <v>297</v>
      </c>
      <c r="E83" s="5" t="s">
        <v>72</v>
      </c>
    </row>
    <row r="84" spans="1:5" x14ac:dyDescent="0.25">
      <c r="A84" s="5">
        <v>16074</v>
      </c>
      <c r="B84" s="5" t="s">
        <v>298</v>
      </c>
      <c r="C84" s="5" t="s">
        <v>299</v>
      </c>
      <c r="D84" s="5" t="s">
        <v>294</v>
      </c>
      <c r="E84" s="5" t="s">
        <v>72</v>
      </c>
    </row>
    <row r="85" spans="1:5" x14ac:dyDescent="0.25">
      <c r="A85" s="5" t="s">
        <v>74</v>
      </c>
      <c r="B85" s="5" t="s">
        <v>300</v>
      </c>
      <c r="C85" s="5" t="s">
        <v>301</v>
      </c>
      <c r="D85" s="5" t="s">
        <v>74</v>
      </c>
      <c r="E85" s="5" t="s">
        <v>74</v>
      </c>
    </row>
    <row r="86" spans="1:5" x14ac:dyDescent="0.25">
      <c r="A86" s="5">
        <v>18075</v>
      </c>
      <c r="B86" s="5" t="s">
        <v>302</v>
      </c>
      <c r="C86" s="5" t="s">
        <v>303</v>
      </c>
      <c r="D86" s="5" t="s">
        <v>304</v>
      </c>
      <c r="E86" s="5" t="s">
        <v>51</v>
      </c>
    </row>
    <row r="87" spans="1:5" x14ac:dyDescent="0.25">
      <c r="A87" s="5">
        <v>19164</v>
      </c>
      <c r="B87" s="5" t="s">
        <v>305</v>
      </c>
      <c r="C87" s="5" t="s">
        <v>306</v>
      </c>
      <c r="D87" s="5" t="s">
        <v>191</v>
      </c>
      <c r="E87" s="5" t="s">
        <v>97</v>
      </c>
    </row>
    <row r="88" spans="1:5" x14ac:dyDescent="0.25">
      <c r="A88" s="5">
        <v>12035</v>
      </c>
      <c r="B88" s="5" t="s">
        <v>307</v>
      </c>
      <c r="C88" s="5" t="s">
        <v>308</v>
      </c>
      <c r="D88" s="5" t="s">
        <v>309</v>
      </c>
      <c r="E88" s="5" t="s">
        <v>89</v>
      </c>
    </row>
    <row r="89" spans="1:5" x14ac:dyDescent="0.25">
      <c r="A89" s="5">
        <v>19051</v>
      </c>
      <c r="B89" s="5" t="s">
        <v>310</v>
      </c>
      <c r="C89" s="5" t="s">
        <v>311</v>
      </c>
      <c r="D89" s="5" t="s">
        <v>152</v>
      </c>
      <c r="E89" s="5" t="s">
        <v>312</v>
      </c>
    </row>
    <row r="90" spans="1:5" x14ac:dyDescent="0.25">
      <c r="A90" s="5">
        <v>11011</v>
      </c>
      <c r="B90" s="5" t="s">
        <v>313</v>
      </c>
      <c r="C90" s="5" t="s">
        <v>314</v>
      </c>
      <c r="D90" s="5" t="s">
        <v>315</v>
      </c>
      <c r="E90" s="5" t="s">
        <v>89</v>
      </c>
    </row>
    <row r="91" spans="1:5" x14ac:dyDescent="0.25">
      <c r="A91" s="5">
        <v>10046</v>
      </c>
      <c r="B91" s="5" t="s">
        <v>316</v>
      </c>
      <c r="C91" s="5" t="s">
        <v>317</v>
      </c>
      <c r="D91" s="5" t="s">
        <v>220</v>
      </c>
      <c r="E91" s="5" t="s">
        <v>93</v>
      </c>
    </row>
    <row r="92" spans="1:5" x14ac:dyDescent="0.25">
      <c r="A92" s="5">
        <v>12090</v>
      </c>
      <c r="B92" s="5" t="s">
        <v>318</v>
      </c>
      <c r="C92" s="5" t="s">
        <v>319</v>
      </c>
      <c r="D92" s="5" t="s">
        <v>320</v>
      </c>
      <c r="E92" s="5" t="s">
        <v>211</v>
      </c>
    </row>
    <row r="93" spans="1:5" x14ac:dyDescent="0.25">
      <c r="A93" s="5">
        <v>19288</v>
      </c>
      <c r="B93" s="5" t="s">
        <v>321</v>
      </c>
      <c r="C93" s="5" t="s">
        <v>322</v>
      </c>
      <c r="D93" s="5" t="s">
        <v>323</v>
      </c>
      <c r="E93" s="5" t="s">
        <v>117</v>
      </c>
    </row>
    <row r="94" spans="1:5" x14ac:dyDescent="0.25">
      <c r="A94" s="5">
        <v>96040</v>
      </c>
      <c r="B94" s="5" t="s">
        <v>324</v>
      </c>
      <c r="C94" s="5" t="s">
        <v>325</v>
      </c>
      <c r="D94" s="5" t="s">
        <v>326</v>
      </c>
      <c r="E94" s="5" t="s">
        <v>206</v>
      </c>
    </row>
    <row r="95" spans="1:5" x14ac:dyDescent="0.25">
      <c r="A95" s="5">
        <v>27090</v>
      </c>
      <c r="B95" s="5" t="s">
        <v>327</v>
      </c>
      <c r="C95" s="5" t="s">
        <v>328</v>
      </c>
      <c r="D95" s="5" t="s">
        <v>329</v>
      </c>
      <c r="E95" s="5" t="s">
        <v>206</v>
      </c>
    </row>
    <row r="96" spans="1:5" x14ac:dyDescent="0.25">
      <c r="A96" s="5">
        <v>13180</v>
      </c>
      <c r="B96" s="5" t="s">
        <v>330</v>
      </c>
      <c r="C96" s="5" t="s">
        <v>331</v>
      </c>
      <c r="D96" s="5" t="s">
        <v>332</v>
      </c>
      <c r="E96" s="5" t="s">
        <v>72</v>
      </c>
    </row>
    <row r="97" spans="1:5" x14ac:dyDescent="0.25">
      <c r="A97" s="5">
        <v>26172</v>
      </c>
      <c r="B97" s="5" t="s">
        <v>333</v>
      </c>
      <c r="C97" s="5" t="s">
        <v>334</v>
      </c>
      <c r="D97" s="5" t="s">
        <v>335</v>
      </c>
      <c r="E97" s="5" t="s">
        <v>89</v>
      </c>
    </row>
    <row r="98" spans="1:5" x14ac:dyDescent="0.25">
      <c r="A98" s="5">
        <v>19113</v>
      </c>
      <c r="B98" s="5" t="s">
        <v>336</v>
      </c>
      <c r="C98" s="5" t="s">
        <v>337</v>
      </c>
      <c r="D98" s="5" t="s">
        <v>187</v>
      </c>
      <c r="E98" s="5" t="s">
        <v>188</v>
      </c>
    </row>
    <row r="99" spans="1:5" x14ac:dyDescent="0.25">
      <c r="A99" s="5">
        <v>19008</v>
      </c>
      <c r="B99" s="5" t="s">
        <v>338</v>
      </c>
      <c r="C99" s="5" t="s">
        <v>339</v>
      </c>
      <c r="D99" s="5" t="s">
        <v>252</v>
      </c>
      <c r="E99" s="5" t="s">
        <v>110</v>
      </c>
    </row>
    <row r="100" spans="1:5" x14ac:dyDescent="0.25">
      <c r="A100" s="5">
        <v>19238</v>
      </c>
      <c r="B100" s="5" t="s">
        <v>340</v>
      </c>
      <c r="C100" s="5" t="s">
        <v>341</v>
      </c>
      <c r="D100" s="5" t="s">
        <v>88</v>
      </c>
      <c r="E100" s="5" t="s">
        <v>89</v>
      </c>
    </row>
    <row r="101" spans="1:5" x14ac:dyDescent="0.25">
      <c r="A101" s="5" t="s">
        <v>74</v>
      </c>
      <c r="B101" s="5" t="s">
        <v>342</v>
      </c>
      <c r="C101" s="5" t="s">
        <v>343</v>
      </c>
      <c r="D101" s="5" t="s">
        <v>344</v>
      </c>
      <c r="E101" s="5" t="s">
        <v>74</v>
      </c>
    </row>
    <row r="102" spans="1:5" x14ac:dyDescent="0.25">
      <c r="A102" s="5">
        <v>19206</v>
      </c>
      <c r="B102" s="5" t="s">
        <v>345</v>
      </c>
      <c r="C102" s="5" t="s">
        <v>346</v>
      </c>
      <c r="D102" s="5" t="s">
        <v>347</v>
      </c>
      <c r="E102" s="5" t="s">
        <v>348</v>
      </c>
    </row>
    <row r="103" spans="1:5" x14ac:dyDescent="0.25">
      <c r="A103" s="5">
        <v>19199</v>
      </c>
      <c r="B103" s="5" t="s">
        <v>349</v>
      </c>
      <c r="C103" s="5" t="s">
        <v>350</v>
      </c>
      <c r="D103" s="5" t="s">
        <v>252</v>
      </c>
      <c r="E103" s="5" t="s">
        <v>351</v>
      </c>
    </row>
    <row r="104" spans="1:5" x14ac:dyDescent="0.25">
      <c r="A104" s="5">
        <v>17105</v>
      </c>
      <c r="B104" s="5" t="s">
        <v>352</v>
      </c>
      <c r="C104" s="5" t="s">
        <v>353</v>
      </c>
      <c r="D104" s="5" t="s">
        <v>133</v>
      </c>
      <c r="E104" s="5" t="s">
        <v>89</v>
      </c>
    </row>
    <row r="105" spans="1:5" x14ac:dyDescent="0.25">
      <c r="A105" s="5">
        <v>16126</v>
      </c>
      <c r="B105" s="5" t="s">
        <v>354</v>
      </c>
      <c r="C105" s="5" t="s">
        <v>355</v>
      </c>
      <c r="D105" s="5" t="s">
        <v>356</v>
      </c>
      <c r="E105" s="5" t="s">
        <v>72</v>
      </c>
    </row>
    <row r="106" spans="1:5" x14ac:dyDescent="0.25">
      <c r="A106" s="5">
        <v>93031</v>
      </c>
      <c r="B106" s="5" t="s">
        <v>357</v>
      </c>
      <c r="C106" s="5" t="s">
        <v>358</v>
      </c>
      <c r="D106" s="5" t="s">
        <v>359</v>
      </c>
      <c r="E106" s="5" t="s">
        <v>188</v>
      </c>
    </row>
    <row r="107" spans="1:5" x14ac:dyDescent="0.25">
      <c r="A107" s="5">
        <v>18273</v>
      </c>
      <c r="B107" s="5" t="s">
        <v>360</v>
      </c>
      <c r="C107" s="5" t="s">
        <v>361</v>
      </c>
      <c r="D107" s="5" t="s">
        <v>362</v>
      </c>
      <c r="E107" s="5" t="s">
        <v>363</v>
      </c>
    </row>
    <row r="108" spans="1:5" x14ac:dyDescent="0.25">
      <c r="A108" s="5" t="s">
        <v>74</v>
      </c>
      <c r="B108" s="5" t="s">
        <v>364</v>
      </c>
      <c r="C108" s="5" t="s">
        <v>365</v>
      </c>
      <c r="D108" s="5" t="s">
        <v>74</v>
      </c>
      <c r="E108" s="5" t="s">
        <v>140</v>
      </c>
    </row>
    <row r="109" spans="1:5" x14ac:dyDescent="0.25">
      <c r="A109" s="5">
        <v>12098</v>
      </c>
      <c r="B109" s="5" t="s">
        <v>366</v>
      </c>
      <c r="C109" s="5" t="s">
        <v>367</v>
      </c>
      <c r="D109" s="5" t="s">
        <v>368</v>
      </c>
      <c r="E109" s="5" t="s">
        <v>89</v>
      </c>
    </row>
    <row r="110" spans="1:5" x14ac:dyDescent="0.25">
      <c r="A110" s="5">
        <v>16158</v>
      </c>
      <c r="B110" s="5" t="s">
        <v>369</v>
      </c>
      <c r="C110" s="5" t="s">
        <v>370</v>
      </c>
      <c r="D110" s="5" t="s">
        <v>252</v>
      </c>
      <c r="E110" s="5" t="s">
        <v>110</v>
      </c>
    </row>
    <row r="111" spans="1:5" x14ac:dyDescent="0.25">
      <c r="A111" s="5">
        <v>27124</v>
      </c>
      <c r="B111" s="5" t="s">
        <v>371</v>
      </c>
      <c r="C111" s="5" t="s">
        <v>372</v>
      </c>
      <c r="D111" s="5" t="s">
        <v>373</v>
      </c>
      <c r="E111" s="5" t="s">
        <v>110</v>
      </c>
    </row>
    <row r="112" spans="1:5" x14ac:dyDescent="0.25">
      <c r="A112" s="5">
        <v>19241</v>
      </c>
      <c r="B112" s="5" t="s">
        <v>374</v>
      </c>
      <c r="C112" s="5" t="s">
        <v>375</v>
      </c>
      <c r="D112" s="5" t="s">
        <v>376</v>
      </c>
      <c r="E112" s="5" t="s">
        <v>89</v>
      </c>
    </row>
    <row r="113" spans="1:5" x14ac:dyDescent="0.25">
      <c r="A113" s="5">
        <v>16112</v>
      </c>
      <c r="B113" s="5" t="s">
        <v>377</v>
      </c>
      <c r="C113" s="5" t="s">
        <v>378</v>
      </c>
      <c r="D113" s="5" t="s">
        <v>191</v>
      </c>
      <c r="E113" s="5" t="s">
        <v>72</v>
      </c>
    </row>
    <row r="114" spans="1:5" x14ac:dyDescent="0.25">
      <c r="A114" s="5">
        <v>16138</v>
      </c>
      <c r="B114" s="5" t="s">
        <v>379</v>
      </c>
      <c r="C114" s="5" t="s">
        <v>380</v>
      </c>
      <c r="D114" s="5" t="s">
        <v>356</v>
      </c>
      <c r="E114" s="5" t="s">
        <v>72</v>
      </c>
    </row>
    <row r="115" spans="1:5" x14ac:dyDescent="0.25">
      <c r="A115" s="5">
        <v>17128</v>
      </c>
      <c r="B115" s="5" t="s">
        <v>381</v>
      </c>
      <c r="C115" s="5" t="s">
        <v>382</v>
      </c>
      <c r="D115" s="5" t="s">
        <v>383</v>
      </c>
      <c r="E115" s="5" t="s">
        <v>97</v>
      </c>
    </row>
    <row r="116" spans="1:5" x14ac:dyDescent="0.25">
      <c r="A116" s="5">
        <v>19050</v>
      </c>
      <c r="B116" s="5" t="s">
        <v>384</v>
      </c>
      <c r="C116" s="5" t="s">
        <v>385</v>
      </c>
      <c r="D116" s="5" t="s">
        <v>386</v>
      </c>
      <c r="E116" s="5" t="s">
        <v>89</v>
      </c>
    </row>
    <row r="117" spans="1:5" x14ac:dyDescent="0.25">
      <c r="A117" s="5" t="s">
        <v>74</v>
      </c>
      <c r="B117" s="5" t="s">
        <v>387</v>
      </c>
      <c r="C117" s="5" t="s">
        <v>388</v>
      </c>
      <c r="D117" s="5" t="s">
        <v>84</v>
      </c>
      <c r="E117" s="5" t="s">
        <v>110</v>
      </c>
    </row>
    <row r="118" spans="1:5" x14ac:dyDescent="0.25">
      <c r="A118" s="5">
        <v>13177</v>
      </c>
      <c r="B118" s="5" t="s">
        <v>389</v>
      </c>
      <c r="C118" s="5" t="s">
        <v>390</v>
      </c>
      <c r="D118" s="5" t="s">
        <v>74</v>
      </c>
      <c r="E118" s="5" t="s">
        <v>72</v>
      </c>
    </row>
    <row r="119" spans="1:5" x14ac:dyDescent="0.25">
      <c r="A119" s="5">
        <v>19178</v>
      </c>
      <c r="B119" s="5" t="s">
        <v>391</v>
      </c>
      <c r="C119" s="5" t="s">
        <v>392</v>
      </c>
      <c r="D119" s="5" t="s">
        <v>393</v>
      </c>
      <c r="E119" s="5" t="s">
        <v>74</v>
      </c>
    </row>
    <row r="120" spans="1:5" x14ac:dyDescent="0.25">
      <c r="A120" s="5">
        <v>29097</v>
      </c>
      <c r="B120" s="5" t="s">
        <v>394</v>
      </c>
      <c r="C120" s="5" t="s">
        <v>395</v>
      </c>
      <c r="D120" s="5" t="s">
        <v>335</v>
      </c>
      <c r="E120" s="5" t="s">
        <v>89</v>
      </c>
    </row>
    <row r="121" spans="1:5" x14ac:dyDescent="0.25">
      <c r="A121" s="5">
        <v>18157</v>
      </c>
      <c r="B121" s="5" t="s">
        <v>396</v>
      </c>
      <c r="C121" s="5" t="s">
        <v>397</v>
      </c>
      <c r="D121" s="5" t="s">
        <v>398</v>
      </c>
      <c r="E121" s="5" t="s">
        <v>188</v>
      </c>
    </row>
    <row r="122" spans="1:5" x14ac:dyDescent="0.25">
      <c r="A122" s="5" t="s">
        <v>74</v>
      </c>
      <c r="B122" s="5" t="s">
        <v>399</v>
      </c>
      <c r="C122" s="5" t="s">
        <v>400</v>
      </c>
      <c r="D122" s="5" t="s">
        <v>74</v>
      </c>
      <c r="E122" s="5" t="s">
        <v>140</v>
      </c>
    </row>
    <row r="123" spans="1:5" x14ac:dyDescent="0.25">
      <c r="A123" s="5" t="s">
        <v>74</v>
      </c>
      <c r="B123" s="5" t="s">
        <v>401</v>
      </c>
      <c r="C123" s="5" t="s">
        <v>402</v>
      </c>
      <c r="D123" s="5" t="s">
        <v>74</v>
      </c>
      <c r="E123" s="5" t="s">
        <v>74</v>
      </c>
    </row>
    <row r="124" spans="1:5" x14ac:dyDescent="0.25">
      <c r="A124" s="5">
        <v>14089</v>
      </c>
      <c r="B124" s="5" t="s">
        <v>403</v>
      </c>
      <c r="C124" s="5" t="s">
        <v>404</v>
      </c>
      <c r="D124" s="5" t="s">
        <v>405</v>
      </c>
      <c r="E124" s="5" t="s">
        <v>72</v>
      </c>
    </row>
    <row r="125" spans="1:5" x14ac:dyDescent="0.25">
      <c r="A125" s="5">
        <v>15122</v>
      </c>
      <c r="B125" s="5" t="s">
        <v>406</v>
      </c>
      <c r="C125" s="5" t="s">
        <v>407</v>
      </c>
      <c r="D125" s="5" t="s">
        <v>408</v>
      </c>
      <c r="E125" s="5" t="s">
        <v>89</v>
      </c>
    </row>
    <row r="126" spans="1:5" x14ac:dyDescent="0.25">
      <c r="A126" s="5">
        <v>17102</v>
      </c>
      <c r="B126" s="5" t="s">
        <v>409</v>
      </c>
      <c r="C126" s="5" t="s">
        <v>410</v>
      </c>
      <c r="D126" s="5" t="s">
        <v>411</v>
      </c>
      <c r="E126" s="5" t="s">
        <v>110</v>
      </c>
    </row>
    <row r="127" spans="1:5" x14ac:dyDescent="0.25">
      <c r="A127" s="5">
        <v>13166</v>
      </c>
      <c r="B127" s="5" t="s">
        <v>412</v>
      </c>
      <c r="C127" s="5" t="s">
        <v>413</v>
      </c>
      <c r="D127" s="5" t="s">
        <v>100</v>
      </c>
      <c r="E127" s="5" t="s">
        <v>72</v>
      </c>
    </row>
    <row r="128" spans="1:5" x14ac:dyDescent="0.25">
      <c r="A128" s="5">
        <v>15179</v>
      </c>
      <c r="B128" s="5" t="s">
        <v>414</v>
      </c>
      <c r="C128" s="5" t="s">
        <v>415</v>
      </c>
      <c r="D128" s="5" t="s">
        <v>143</v>
      </c>
      <c r="E128" s="5" t="s">
        <v>117</v>
      </c>
    </row>
    <row r="129" spans="1:5" x14ac:dyDescent="0.25">
      <c r="A129" s="5" t="s">
        <v>417</v>
      </c>
      <c r="B129" s="5" t="s">
        <v>416</v>
      </c>
      <c r="C129" s="5" t="s">
        <v>418</v>
      </c>
      <c r="D129" s="5" t="s">
        <v>419</v>
      </c>
      <c r="E129" s="5" t="s">
        <v>93</v>
      </c>
    </row>
    <row r="130" spans="1:5" x14ac:dyDescent="0.25">
      <c r="A130" s="5">
        <v>17077</v>
      </c>
      <c r="B130" s="5" t="s">
        <v>420</v>
      </c>
      <c r="C130" s="5" t="s">
        <v>421</v>
      </c>
      <c r="D130" s="5" t="s">
        <v>422</v>
      </c>
      <c r="E130" s="5" t="s">
        <v>348</v>
      </c>
    </row>
    <row r="131" spans="1:5" x14ac:dyDescent="0.25">
      <c r="A131" s="5">
        <v>19108</v>
      </c>
      <c r="B131" s="5" t="s">
        <v>423</v>
      </c>
      <c r="C131" s="5" t="s">
        <v>424</v>
      </c>
      <c r="D131" s="5" t="s">
        <v>425</v>
      </c>
      <c r="E131" s="5" t="s">
        <v>110</v>
      </c>
    </row>
    <row r="132" spans="1:5" x14ac:dyDescent="0.25">
      <c r="A132" s="5">
        <v>16086</v>
      </c>
      <c r="B132" s="5" t="s">
        <v>426</v>
      </c>
      <c r="C132" s="5" t="s">
        <v>427</v>
      </c>
      <c r="D132" s="5" t="s">
        <v>246</v>
      </c>
      <c r="E132" s="5" t="s">
        <v>72</v>
      </c>
    </row>
    <row r="133" spans="1:5" x14ac:dyDescent="0.25">
      <c r="A133" s="5">
        <v>17194</v>
      </c>
      <c r="B133" s="5" t="s">
        <v>428</v>
      </c>
      <c r="C133" s="5" t="s">
        <v>429</v>
      </c>
      <c r="D133" s="5" t="s">
        <v>191</v>
      </c>
      <c r="E133" s="5" t="s">
        <v>72</v>
      </c>
    </row>
    <row r="134" spans="1:5" x14ac:dyDescent="0.25">
      <c r="A134" s="5">
        <v>14092</v>
      </c>
      <c r="B134" s="5" t="s">
        <v>430</v>
      </c>
      <c r="C134" s="5" t="s">
        <v>431</v>
      </c>
      <c r="D134" s="5" t="s">
        <v>432</v>
      </c>
      <c r="E134" s="5" t="s">
        <v>188</v>
      </c>
    </row>
    <row r="135" spans="1:5" x14ac:dyDescent="0.25">
      <c r="A135" s="5" t="s">
        <v>74</v>
      </c>
      <c r="B135" s="5" t="s">
        <v>433</v>
      </c>
      <c r="C135" s="5" t="s">
        <v>434</v>
      </c>
      <c r="D135" s="5" t="s">
        <v>435</v>
      </c>
      <c r="E135" s="5" t="s">
        <v>72</v>
      </c>
    </row>
    <row r="136" spans="1:5" x14ac:dyDescent="0.25">
      <c r="A136" s="5" t="s">
        <v>74</v>
      </c>
      <c r="B136" s="5" t="s">
        <v>436</v>
      </c>
      <c r="C136" s="5" t="s">
        <v>437</v>
      </c>
      <c r="D136" s="5" t="s">
        <v>74</v>
      </c>
      <c r="E136" s="5" t="s">
        <v>74</v>
      </c>
    </row>
    <row r="137" spans="1:5" x14ac:dyDescent="0.25">
      <c r="A137" s="5">
        <v>14068</v>
      </c>
      <c r="B137" s="5" t="s">
        <v>438</v>
      </c>
      <c r="C137" s="5" t="s">
        <v>439</v>
      </c>
      <c r="D137" s="5" t="s">
        <v>440</v>
      </c>
      <c r="E137" s="5" t="s">
        <v>51</v>
      </c>
    </row>
    <row r="138" spans="1:5" x14ac:dyDescent="0.25">
      <c r="A138" s="5">
        <v>11049</v>
      </c>
      <c r="B138" s="5" t="s">
        <v>441</v>
      </c>
      <c r="C138" s="5" t="s">
        <v>442</v>
      </c>
      <c r="D138" s="5" t="s">
        <v>335</v>
      </c>
      <c r="E138" s="5" t="s">
        <v>89</v>
      </c>
    </row>
    <row r="139" spans="1:5" x14ac:dyDescent="0.25">
      <c r="A139" s="5">
        <v>17146</v>
      </c>
      <c r="B139" s="5" t="s">
        <v>443</v>
      </c>
      <c r="C139" s="5" t="s">
        <v>444</v>
      </c>
      <c r="D139" s="5" t="s">
        <v>445</v>
      </c>
      <c r="E139" s="5" t="s">
        <v>93</v>
      </c>
    </row>
    <row r="140" spans="1:5" x14ac:dyDescent="0.25">
      <c r="A140" s="5" t="s">
        <v>74</v>
      </c>
      <c r="B140" s="5" t="s">
        <v>446</v>
      </c>
      <c r="C140" s="5" t="s">
        <v>447</v>
      </c>
      <c r="D140" s="5" t="s">
        <v>74</v>
      </c>
      <c r="E140" s="5" t="s">
        <v>74</v>
      </c>
    </row>
    <row r="141" spans="1:5" x14ac:dyDescent="0.25">
      <c r="A141" s="5">
        <v>18092</v>
      </c>
      <c r="B141" s="5" t="s">
        <v>448</v>
      </c>
      <c r="C141" s="5" t="s">
        <v>449</v>
      </c>
      <c r="D141" s="5" t="s">
        <v>294</v>
      </c>
      <c r="E141" s="5" t="s">
        <v>72</v>
      </c>
    </row>
    <row r="142" spans="1:5" x14ac:dyDescent="0.25">
      <c r="A142" s="5">
        <v>16167</v>
      </c>
      <c r="B142" s="5" t="s">
        <v>450</v>
      </c>
      <c r="C142" s="5" t="s">
        <v>451</v>
      </c>
      <c r="D142" s="5" t="s">
        <v>452</v>
      </c>
      <c r="E142" s="5" t="s">
        <v>72</v>
      </c>
    </row>
    <row r="143" spans="1:5" x14ac:dyDescent="0.25">
      <c r="A143" s="5">
        <v>18117</v>
      </c>
      <c r="B143" s="5" t="s">
        <v>453</v>
      </c>
      <c r="C143" s="5" t="s">
        <v>454</v>
      </c>
      <c r="D143" s="5" t="s">
        <v>455</v>
      </c>
      <c r="E143" s="5" t="s">
        <v>206</v>
      </c>
    </row>
    <row r="144" spans="1:5" x14ac:dyDescent="0.25">
      <c r="A144" s="5" t="s">
        <v>74</v>
      </c>
      <c r="B144" s="5" t="s">
        <v>456</v>
      </c>
      <c r="C144" s="5" t="s">
        <v>457</v>
      </c>
      <c r="D144" s="5" t="s">
        <v>74</v>
      </c>
      <c r="E144" s="5" t="s">
        <v>81</v>
      </c>
    </row>
    <row r="145" spans="1:5" x14ac:dyDescent="0.25">
      <c r="A145" s="5">
        <v>13088</v>
      </c>
      <c r="B145" s="5" t="s">
        <v>458</v>
      </c>
      <c r="C145" s="5" t="s">
        <v>459</v>
      </c>
      <c r="D145" s="5" t="s">
        <v>227</v>
      </c>
      <c r="E145" s="5" t="s">
        <v>110</v>
      </c>
    </row>
    <row r="146" spans="1:5" x14ac:dyDescent="0.25">
      <c r="A146" s="5" t="s">
        <v>74</v>
      </c>
      <c r="B146" s="5" t="s">
        <v>460</v>
      </c>
      <c r="C146" s="5" t="s">
        <v>461</v>
      </c>
      <c r="D146" s="5" t="s">
        <v>74</v>
      </c>
      <c r="E146" s="5" t="s">
        <v>74</v>
      </c>
    </row>
    <row r="147" spans="1:5" x14ac:dyDescent="0.25">
      <c r="A147" s="5">
        <v>12042</v>
      </c>
      <c r="B147" s="5" t="s">
        <v>462</v>
      </c>
      <c r="C147" s="5" t="s">
        <v>463</v>
      </c>
      <c r="D147" s="5" t="s">
        <v>464</v>
      </c>
      <c r="E147" s="5" t="s">
        <v>89</v>
      </c>
    </row>
    <row r="148" spans="1:5" x14ac:dyDescent="0.25">
      <c r="A148" s="5">
        <v>26031</v>
      </c>
      <c r="B148" s="5" t="s">
        <v>465</v>
      </c>
      <c r="C148" s="5" t="s">
        <v>466</v>
      </c>
      <c r="D148" s="5" t="s">
        <v>227</v>
      </c>
      <c r="E148" s="5" t="s">
        <v>89</v>
      </c>
    </row>
    <row r="149" spans="1:5" x14ac:dyDescent="0.25">
      <c r="A149" s="5">
        <v>14006</v>
      </c>
      <c r="B149" s="5" t="s">
        <v>467</v>
      </c>
      <c r="C149" s="5" t="s">
        <v>468</v>
      </c>
      <c r="D149" s="5" t="s">
        <v>469</v>
      </c>
      <c r="E149" s="5" t="s">
        <v>470</v>
      </c>
    </row>
    <row r="150" spans="1:5" x14ac:dyDescent="0.25">
      <c r="A150" s="5">
        <v>16123</v>
      </c>
      <c r="B150" s="5" t="s">
        <v>471</v>
      </c>
      <c r="C150" s="5" t="s">
        <v>472</v>
      </c>
      <c r="D150" s="5" t="s">
        <v>235</v>
      </c>
      <c r="E150" s="5" t="s">
        <v>89</v>
      </c>
    </row>
    <row r="151" spans="1:5" x14ac:dyDescent="0.25">
      <c r="A151" s="5">
        <v>19011</v>
      </c>
      <c r="B151" s="5" t="s">
        <v>473</v>
      </c>
      <c r="C151" s="5" t="s">
        <v>474</v>
      </c>
      <c r="D151" s="5" t="s">
        <v>475</v>
      </c>
      <c r="E151" s="5" t="s">
        <v>348</v>
      </c>
    </row>
    <row r="152" spans="1:5" x14ac:dyDescent="0.25">
      <c r="A152" s="5">
        <v>15159</v>
      </c>
      <c r="B152" s="5" t="s">
        <v>476</v>
      </c>
      <c r="C152" s="5" t="s">
        <v>477</v>
      </c>
      <c r="D152" s="5" t="s">
        <v>478</v>
      </c>
      <c r="E152" s="5" t="s">
        <v>479</v>
      </c>
    </row>
    <row r="153" spans="1:5" x14ac:dyDescent="0.25">
      <c r="A153" s="5">
        <v>19144</v>
      </c>
      <c r="B153" s="5" t="s">
        <v>480</v>
      </c>
      <c r="C153" s="5" t="s">
        <v>481</v>
      </c>
      <c r="D153" s="5" t="s">
        <v>482</v>
      </c>
      <c r="E153" s="5" t="s">
        <v>117</v>
      </c>
    </row>
    <row r="154" spans="1:5" x14ac:dyDescent="0.25">
      <c r="A154" s="5">
        <v>29085</v>
      </c>
      <c r="B154" s="5" t="s">
        <v>483</v>
      </c>
      <c r="C154" s="5" t="s">
        <v>484</v>
      </c>
      <c r="D154" s="5" t="s">
        <v>485</v>
      </c>
      <c r="E154" s="5" t="s">
        <v>140</v>
      </c>
    </row>
    <row r="155" spans="1:5" x14ac:dyDescent="0.25">
      <c r="A155" s="5">
        <v>18120</v>
      </c>
      <c r="B155" s="5" t="s">
        <v>486</v>
      </c>
      <c r="C155" s="5" t="s">
        <v>487</v>
      </c>
      <c r="D155" s="5" t="s">
        <v>488</v>
      </c>
      <c r="E155" s="5" t="s">
        <v>81</v>
      </c>
    </row>
    <row r="156" spans="1:5" x14ac:dyDescent="0.25">
      <c r="A156" s="5">
        <v>15111</v>
      </c>
      <c r="B156" s="5" t="s">
        <v>489</v>
      </c>
      <c r="C156" s="5" t="s">
        <v>490</v>
      </c>
      <c r="D156" s="5" t="s">
        <v>96</v>
      </c>
      <c r="E156" s="5" t="s">
        <v>110</v>
      </c>
    </row>
    <row r="157" spans="1:5" x14ac:dyDescent="0.25">
      <c r="A157" s="5">
        <v>19056</v>
      </c>
      <c r="B157" s="5" t="s">
        <v>491</v>
      </c>
      <c r="C157" s="5" t="s">
        <v>492</v>
      </c>
      <c r="D157" s="5" t="s">
        <v>493</v>
      </c>
      <c r="E157" s="5" t="s">
        <v>72</v>
      </c>
    </row>
    <row r="158" spans="1:5" x14ac:dyDescent="0.25">
      <c r="A158" s="5">
        <v>14083</v>
      </c>
      <c r="B158" s="5" t="s">
        <v>494</v>
      </c>
      <c r="C158" s="5" t="s">
        <v>495</v>
      </c>
      <c r="D158" s="5" t="s">
        <v>84</v>
      </c>
      <c r="E158" s="5" t="s">
        <v>72</v>
      </c>
    </row>
    <row r="159" spans="1:5" x14ac:dyDescent="0.25">
      <c r="A159" s="5">
        <v>16215</v>
      </c>
      <c r="B159" s="5" t="s">
        <v>496</v>
      </c>
      <c r="C159" s="5" t="s">
        <v>497</v>
      </c>
      <c r="D159" s="5" t="s">
        <v>498</v>
      </c>
      <c r="E159" s="5" t="s">
        <v>72</v>
      </c>
    </row>
    <row r="160" spans="1:5" x14ac:dyDescent="0.25">
      <c r="A160" s="5">
        <v>27126</v>
      </c>
      <c r="B160" s="5" t="s">
        <v>499</v>
      </c>
      <c r="C160" s="5" t="s">
        <v>500</v>
      </c>
      <c r="D160" s="5" t="s">
        <v>501</v>
      </c>
      <c r="E160" s="5" t="s">
        <v>89</v>
      </c>
    </row>
    <row r="161" spans="1:5" x14ac:dyDescent="0.25">
      <c r="A161" s="5">
        <v>13007</v>
      </c>
      <c r="B161" s="5" t="s">
        <v>502</v>
      </c>
      <c r="C161" s="5" t="s">
        <v>503</v>
      </c>
      <c r="D161" s="5" t="s">
        <v>504</v>
      </c>
      <c r="E161" s="5" t="s">
        <v>85</v>
      </c>
    </row>
    <row r="162" spans="1:5" x14ac:dyDescent="0.25">
      <c r="A162" s="5">
        <v>29095</v>
      </c>
      <c r="B162" s="5" t="s">
        <v>505</v>
      </c>
      <c r="C162" s="5" t="s">
        <v>506</v>
      </c>
      <c r="D162" s="5" t="s">
        <v>507</v>
      </c>
      <c r="E162" s="5" t="s">
        <v>93</v>
      </c>
    </row>
    <row r="163" spans="1:5" x14ac:dyDescent="0.25">
      <c r="A163" s="5">
        <v>17050</v>
      </c>
      <c r="B163" s="5" t="s">
        <v>508</v>
      </c>
      <c r="C163" s="5" t="s">
        <v>509</v>
      </c>
      <c r="D163" s="5" t="s">
        <v>510</v>
      </c>
      <c r="E163" s="5" t="s">
        <v>181</v>
      </c>
    </row>
    <row r="164" spans="1:5" x14ac:dyDescent="0.25">
      <c r="A164" s="5">
        <v>27012</v>
      </c>
      <c r="B164" s="5" t="s">
        <v>511</v>
      </c>
      <c r="C164" s="5" t="s">
        <v>512</v>
      </c>
      <c r="D164" s="5" t="s">
        <v>513</v>
      </c>
      <c r="E164" s="5" t="s">
        <v>89</v>
      </c>
    </row>
    <row r="165" spans="1:5" x14ac:dyDescent="0.25">
      <c r="A165" s="5">
        <v>18094</v>
      </c>
      <c r="B165" s="5" t="s">
        <v>514</v>
      </c>
      <c r="C165" s="5" t="s">
        <v>515</v>
      </c>
      <c r="D165" s="5" t="s">
        <v>191</v>
      </c>
      <c r="E165" s="5" t="s">
        <v>72</v>
      </c>
    </row>
    <row r="166" spans="1:5" x14ac:dyDescent="0.25">
      <c r="A166" s="5">
        <v>23016</v>
      </c>
      <c r="B166" s="5" t="s">
        <v>516</v>
      </c>
      <c r="C166" s="5" t="s">
        <v>517</v>
      </c>
      <c r="D166" s="5" t="s">
        <v>518</v>
      </c>
      <c r="E166" s="5" t="s">
        <v>117</v>
      </c>
    </row>
    <row r="167" spans="1:5" x14ac:dyDescent="0.25">
      <c r="A167" s="5">
        <v>19028</v>
      </c>
      <c r="B167" s="5" t="s">
        <v>519</v>
      </c>
      <c r="C167" s="5" t="s">
        <v>520</v>
      </c>
      <c r="D167" s="5" t="s">
        <v>113</v>
      </c>
      <c r="E167" s="5" t="s">
        <v>110</v>
      </c>
    </row>
    <row r="168" spans="1:5" x14ac:dyDescent="0.25">
      <c r="A168" s="5">
        <v>15173</v>
      </c>
      <c r="B168" s="5" t="s">
        <v>521</v>
      </c>
      <c r="C168" s="5" t="s">
        <v>522</v>
      </c>
      <c r="D168" s="5" t="s">
        <v>523</v>
      </c>
      <c r="E168" s="5" t="s">
        <v>524</v>
      </c>
    </row>
    <row r="169" spans="1:5" x14ac:dyDescent="0.25">
      <c r="A169" s="5">
        <v>27100</v>
      </c>
      <c r="B169" s="5" t="s">
        <v>525</v>
      </c>
      <c r="C169" s="5" t="s">
        <v>526</v>
      </c>
      <c r="D169" s="5" t="s">
        <v>527</v>
      </c>
      <c r="E169" s="5" t="s">
        <v>206</v>
      </c>
    </row>
    <row r="170" spans="1:5" x14ac:dyDescent="0.25">
      <c r="A170" s="5">
        <v>12061</v>
      </c>
      <c r="B170" s="5" t="s">
        <v>528</v>
      </c>
      <c r="C170" s="5" t="s">
        <v>529</v>
      </c>
      <c r="D170" s="5" t="s">
        <v>530</v>
      </c>
      <c r="E170" s="5" t="s">
        <v>89</v>
      </c>
    </row>
    <row r="171" spans="1:5" x14ac:dyDescent="0.25">
      <c r="A171" s="5">
        <v>18107</v>
      </c>
      <c r="B171" s="5" t="s">
        <v>531</v>
      </c>
      <c r="C171" s="5" t="s">
        <v>532</v>
      </c>
      <c r="D171" s="5" t="s">
        <v>533</v>
      </c>
      <c r="E171" s="5" t="s">
        <v>117</v>
      </c>
    </row>
    <row r="172" spans="1:5" x14ac:dyDescent="0.25">
      <c r="A172" s="5">
        <v>13194</v>
      </c>
      <c r="B172" s="5" t="s">
        <v>534</v>
      </c>
      <c r="C172" s="5" t="s">
        <v>535</v>
      </c>
      <c r="D172" s="5" t="s">
        <v>536</v>
      </c>
      <c r="E172" s="5" t="s">
        <v>72</v>
      </c>
    </row>
    <row r="173" spans="1:5" x14ac:dyDescent="0.25">
      <c r="A173" s="5">
        <v>16132</v>
      </c>
      <c r="B173" s="5" t="s">
        <v>537</v>
      </c>
      <c r="C173" s="5" t="s">
        <v>538</v>
      </c>
      <c r="D173" s="5" t="s">
        <v>539</v>
      </c>
      <c r="E173" s="5" t="s">
        <v>89</v>
      </c>
    </row>
    <row r="174" spans="1:5" x14ac:dyDescent="0.25">
      <c r="A174" s="5">
        <v>19194</v>
      </c>
      <c r="B174" s="5" t="s">
        <v>540</v>
      </c>
      <c r="C174" s="5" t="s">
        <v>541</v>
      </c>
      <c r="D174" s="5" t="s">
        <v>106</v>
      </c>
      <c r="E174" s="5" t="s">
        <v>97</v>
      </c>
    </row>
    <row r="175" spans="1:5" x14ac:dyDescent="0.25">
      <c r="A175" s="5" t="s">
        <v>74</v>
      </c>
      <c r="B175" s="5" t="s">
        <v>542</v>
      </c>
      <c r="C175" s="5" t="s">
        <v>543</v>
      </c>
      <c r="D175" s="5" t="s">
        <v>74</v>
      </c>
      <c r="E175" s="5" t="s">
        <v>72</v>
      </c>
    </row>
    <row r="176" spans="1:5" x14ac:dyDescent="0.25">
      <c r="A176" s="5">
        <v>19193</v>
      </c>
      <c r="B176" s="5" t="s">
        <v>544</v>
      </c>
      <c r="C176" s="5" t="s">
        <v>545</v>
      </c>
      <c r="D176" s="5" t="s">
        <v>546</v>
      </c>
      <c r="E176" s="5" t="s">
        <v>348</v>
      </c>
    </row>
    <row r="177" spans="1:5" x14ac:dyDescent="0.25">
      <c r="A177" s="5">
        <v>13190</v>
      </c>
      <c r="B177" s="5" t="s">
        <v>547</v>
      </c>
      <c r="C177" s="5" t="s">
        <v>548</v>
      </c>
      <c r="D177" s="5" t="s">
        <v>549</v>
      </c>
      <c r="E177" s="5" t="s">
        <v>188</v>
      </c>
    </row>
    <row r="178" spans="1:5" x14ac:dyDescent="0.25">
      <c r="A178" s="5">
        <v>12072</v>
      </c>
      <c r="B178" s="5" t="s">
        <v>550</v>
      </c>
      <c r="C178" s="5" t="s">
        <v>551</v>
      </c>
      <c r="D178" s="5" t="s">
        <v>552</v>
      </c>
      <c r="E178" s="5" t="s">
        <v>93</v>
      </c>
    </row>
    <row r="179" spans="1:5" x14ac:dyDescent="0.25">
      <c r="A179" s="5">
        <v>15107</v>
      </c>
      <c r="B179" s="5" t="s">
        <v>553</v>
      </c>
      <c r="C179" s="5" t="s">
        <v>554</v>
      </c>
      <c r="D179" s="5" t="s">
        <v>425</v>
      </c>
      <c r="E179" s="5" t="s">
        <v>72</v>
      </c>
    </row>
    <row r="180" spans="1:5" x14ac:dyDescent="0.25">
      <c r="A180" s="5">
        <v>13057</v>
      </c>
      <c r="B180" s="5" t="s">
        <v>555</v>
      </c>
      <c r="C180" s="5" t="s">
        <v>556</v>
      </c>
      <c r="D180" s="5" t="s">
        <v>475</v>
      </c>
      <c r="E180" s="5" t="s">
        <v>93</v>
      </c>
    </row>
    <row r="181" spans="1:5" x14ac:dyDescent="0.25">
      <c r="A181" s="5">
        <v>19014</v>
      </c>
      <c r="B181" s="5" t="s">
        <v>557</v>
      </c>
      <c r="C181" s="5" t="s">
        <v>558</v>
      </c>
      <c r="D181" s="5" t="s">
        <v>475</v>
      </c>
      <c r="E181" s="5" t="s">
        <v>117</v>
      </c>
    </row>
    <row r="182" spans="1:5" x14ac:dyDescent="0.25">
      <c r="A182" s="5">
        <v>19055</v>
      </c>
      <c r="B182" s="5" t="s">
        <v>559</v>
      </c>
      <c r="C182" s="5" t="s">
        <v>560</v>
      </c>
      <c r="D182" s="5" t="s">
        <v>294</v>
      </c>
      <c r="E182" s="5" t="s">
        <v>97</v>
      </c>
    </row>
    <row r="183" spans="1:5" x14ac:dyDescent="0.25">
      <c r="A183" s="5">
        <v>94016</v>
      </c>
      <c r="B183" s="5" t="s">
        <v>561</v>
      </c>
      <c r="C183" s="5" t="s">
        <v>562</v>
      </c>
      <c r="D183" s="5" t="s">
        <v>563</v>
      </c>
      <c r="E183" s="5" t="s">
        <v>110</v>
      </c>
    </row>
    <row r="184" spans="1:5" x14ac:dyDescent="0.25">
      <c r="A184" s="5">
        <v>19036</v>
      </c>
      <c r="B184" s="5" t="s">
        <v>564</v>
      </c>
      <c r="C184" s="5" t="s">
        <v>565</v>
      </c>
      <c r="D184" s="5" t="s">
        <v>566</v>
      </c>
      <c r="E184" s="5" t="s">
        <v>181</v>
      </c>
    </row>
    <row r="185" spans="1:5" x14ac:dyDescent="0.25">
      <c r="A185" s="5">
        <v>29024</v>
      </c>
      <c r="B185" s="5" t="s">
        <v>567</v>
      </c>
      <c r="C185" s="5" t="s">
        <v>568</v>
      </c>
      <c r="D185" s="5" t="s">
        <v>569</v>
      </c>
      <c r="E185" s="5" t="s">
        <v>110</v>
      </c>
    </row>
    <row r="186" spans="1:5" x14ac:dyDescent="0.25">
      <c r="A186" s="5">
        <v>15092</v>
      </c>
      <c r="B186" s="5" t="s">
        <v>570</v>
      </c>
      <c r="C186" s="5" t="s">
        <v>571</v>
      </c>
      <c r="D186" s="5" t="s">
        <v>309</v>
      </c>
      <c r="E186" s="5" t="s">
        <v>89</v>
      </c>
    </row>
    <row r="187" spans="1:5" x14ac:dyDescent="0.25">
      <c r="A187" s="5">
        <v>16028</v>
      </c>
      <c r="B187" s="5" t="s">
        <v>572</v>
      </c>
      <c r="C187" s="5" t="s">
        <v>573</v>
      </c>
      <c r="D187" s="5" t="s">
        <v>96</v>
      </c>
      <c r="E187" s="5" t="s">
        <v>93</v>
      </c>
    </row>
    <row r="188" spans="1:5" x14ac:dyDescent="0.25">
      <c r="A188" s="5">
        <v>13161</v>
      </c>
      <c r="B188" s="5" t="s">
        <v>574</v>
      </c>
      <c r="C188" s="5" t="s">
        <v>575</v>
      </c>
      <c r="D188" s="5" t="s">
        <v>576</v>
      </c>
      <c r="E188" s="5" t="s">
        <v>72</v>
      </c>
    </row>
    <row r="189" spans="1:5" x14ac:dyDescent="0.25">
      <c r="A189" s="5">
        <v>15024</v>
      </c>
      <c r="B189" s="5" t="s">
        <v>577</v>
      </c>
      <c r="C189" s="5" t="s">
        <v>578</v>
      </c>
      <c r="D189" s="5" t="s">
        <v>579</v>
      </c>
      <c r="E189" s="5" t="s">
        <v>188</v>
      </c>
    </row>
    <row r="190" spans="1:5" x14ac:dyDescent="0.25">
      <c r="A190" s="5">
        <v>19254</v>
      </c>
      <c r="B190" s="5" t="s">
        <v>580</v>
      </c>
      <c r="C190" s="5" t="s">
        <v>581</v>
      </c>
      <c r="D190" s="5" t="s">
        <v>582</v>
      </c>
      <c r="E190" s="5" t="s">
        <v>181</v>
      </c>
    </row>
    <row r="191" spans="1:5" x14ac:dyDescent="0.25">
      <c r="A191" s="5">
        <v>18112</v>
      </c>
      <c r="B191" s="5" t="s">
        <v>583</v>
      </c>
      <c r="C191" s="5" t="s">
        <v>584</v>
      </c>
      <c r="D191" s="5" t="s">
        <v>585</v>
      </c>
      <c r="E191" s="5" t="s">
        <v>181</v>
      </c>
    </row>
    <row r="192" spans="1:5" x14ac:dyDescent="0.25">
      <c r="A192" s="5">
        <v>16031</v>
      </c>
      <c r="B192" s="5" t="s">
        <v>586</v>
      </c>
      <c r="C192" s="5" t="s">
        <v>587</v>
      </c>
      <c r="D192" s="5" t="s">
        <v>386</v>
      </c>
      <c r="E192" s="5" t="s">
        <v>89</v>
      </c>
    </row>
    <row r="193" spans="1:5" x14ac:dyDescent="0.25">
      <c r="A193" s="5">
        <v>14156</v>
      </c>
      <c r="B193" s="5" t="s">
        <v>588</v>
      </c>
      <c r="C193" s="5" t="s">
        <v>589</v>
      </c>
      <c r="D193" s="5" t="s">
        <v>590</v>
      </c>
      <c r="E193" s="5" t="s">
        <v>72</v>
      </c>
    </row>
    <row r="194" spans="1:5" x14ac:dyDescent="0.25">
      <c r="A194" s="5">
        <v>13001</v>
      </c>
      <c r="B194" s="5" t="s">
        <v>591</v>
      </c>
      <c r="C194" s="5" t="s">
        <v>592</v>
      </c>
      <c r="D194" s="5" t="s">
        <v>593</v>
      </c>
      <c r="E194" s="5" t="s">
        <v>93</v>
      </c>
    </row>
    <row r="195" spans="1:5" x14ac:dyDescent="0.25">
      <c r="A195" s="5">
        <v>16082</v>
      </c>
      <c r="B195" s="5" t="s">
        <v>594</v>
      </c>
      <c r="C195" s="5" t="s">
        <v>595</v>
      </c>
      <c r="D195" s="5" t="s">
        <v>435</v>
      </c>
      <c r="E195" s="5" t="s">
        <v>72</v>
      </c>
    </row>
    <row r="196" spans="1:5" x14ac:dyDescent="0.25">
      <c r="A196" s="5">
        <v>15146</v>
      </c>
      <c r="B196" s="5" t="s">
        <v>596</v>
      </c>
      <c r="C196" s="5" t="s">
        <v>597</v>
      </c>
      <c r="D196" s="5" t="s">
        <v>598</v>
      </c>
      <c r="E196" s="5" t="s">
        <v>51</v>
      </c>
    </row>
    <row r="197" spans="1:5" x14ac:dyDescent="0.25">
      <c r="A197" s="5">
        <v>12002</v>
      </c>
      <c r="B197" s="5" t="s">
        <v>599</v>
      </c>
      <c r="C197" s="5" t="s">
        <v>600</v>
      </c>
      <c r="D197" s="5" t="s">
        <v>601</v>
      </c>
      <c r="E197" s="5" t="s">
        <v>224</v>
      </c>
    </row>
    <row r="198" spans="1:5" x14ac:dyDescent="0.25">
      <c r="A198" s="5">
        <v>18004</v>
      </c>
      <c r="B198" s="5" t="s">
        <v>602</v>
      </c>
      <c r="C198" s="5" t="s">
        <v>603</v>
      </c>
      <c r="D198" s="5" t="s">
        <v>252</v>
      </c>
      <c r="E198" s="5" t="s">
        <v>93</v>
      </c>
    </row>
    <row r="199" spans="1:5" x14ac:dyDescent="0.25">
      <c r="A199" s="5">
        <v>98025</v>
      </c>
      <c r="B199" s="5" t="s">
        <v>604</v>
      </c>
      <c r="C199" s="5" t="s">
        <v>605</v>
      </c>
      <c r="D199" s="5" t="s">
        <v>606</v>
      </c>
      <c r="E199" s="5" t="s">
        <v>89</v>
      </c>
    </row>
    <row r="200" spans="1:5" x14ac:dyDescent="0.25">
      <c r="A200" s="5">
        <v>16129</v>
      </c>
      <c r="B200" s="5" t="s">
        <v>607</v>
      </c>
      <c r="C200" s="5" t="s">
        <v>608</v>
      </c>
      <c r="D200" s="5" t="s">
        <v>609</v>
      </c>
      <c r="E200" s="5" t="s">
        <v>348</v>
      </c>
    </row>
    <row r="201" spans="1:5" x14ac:dyDescent="0.25">
      <c r="A201" s="5">
        <v>14035</v>
      </c>
      <c r="B201" s="5" t="s">
        <v>610</v>
      </c>
      <c r="C201" s="5" t="s">
        <v>611</v>
      </c>
      <c r="D201" s="5" t="s">
        <v>612</v>
      </c>
      <c r="E201" s="5" t="s">
        <v>188</v>
      </c>
    </row>
    <row r="202" spans="1:5" x14ac:dyDescent="0.25">
      <c r="A202" s="5" t="s">
        <v>614</v>
      </c>
      <c r="B202" s="5" t="s">
        <v>613</v>
      </c>
      <c r="C202" s="5" t="s">
        <v>615</v>
      </c>
      <c r="D202" s="5" t="s">
        <v>74</v>
      </c>
      <c r="E202" s="5" t="s">
        <v>93</v>
      </c>
    </row>
    <row r="203" spans="1:5" x14ac:dyDescent="0.25">
      <c r="A203" s="5">
        <v>12066</v>
      </c>
      <c r="B203" s="5" t="s">
        <v>616</v>
      </c>
      <c r="C203" s="5" t="s">
        <v>617</v>
      </c>
      <c r="D203" s="5" t="s">
        <v>618</v>
      </c>
      <c r="E203" s="5" t="s">
        <v>110</v>
      </c>
    </row>
    <row r="204" spans="1:5" x14ac:dyDescent="0.25">
      <c r="A204" s="5">
        <v>25008</v>
      </c>
      <c r="B204" s="5" t="s">
        <v>619</v>
      </c>
      <c r="C204" s="5" t="s">
        <v>620</v>
      </c>
      <c r="D204" s="5" t="s">
        <v>621</v>
      </c>
      <c r="E204" s="5" t="s">
        <v>110</v>
      </c>
    </row>
    <row r="205" spans="1:5" x14ac:dyDescent="0.25">
      <c r="A205" s="5">
        <v>13011</v>
      </c>
      <c r="B205" s="5" t="s">
        <v>622</v>
      </c>
      <c r="C205" s="5" t="s">
        <v>623</v>
      </c>
      <c r="D205" s="5" t="s">
        <v>624</v>
      </c>
      <c r="E205" s="5" t="s">
        <v>110</v>
      </c>
    </row>
    <row r="206" spans="1:5" x14ac:dyDescent="0.25">
      <c r="A206" s="5">
        <v>25036</v>
      </c>
      <c r="B206" s="5" t="s">
        <v>625</v>
      </c>
      <c r="C206" s="5" t="s">
        <v>626</v>
      </c>
      <c r="D206" s="5" t="s">
        <v>627</v>
      </c>
      <c r="E206" s="5" t="s">
        <v>628</v>
      </c>
    </row>
    <row r="207" spans="1:5" x14ac:dyDescent="0.25">
      <c r="A207" s="5">
        <v>13029</v>
      </c>
      <c r="B207" s="5" t="s">
        <v>629</v>
      </c>
      <c r="C207" s="5" t="s">
        <v>630</v>
      </c>
      <c r="D207" s="5" t="s">
        <v>631</v>
      </c>
      <c r="E207" s="5" t="s">
        <v>632</v>
      </c>
    </row>
    <row r="208" spans="1:5" x14ac:dyDescent="0.25">
      <c r="A208" s="5">
        <v>92011</v>
      </c>
      <c r="B208" s="5" t="s">
        <v>633</v>
      </c>
      <c r="C208" s="5" t="s">
        <v>634</v>
      </c>
      <c r="D208" s="5" t="s">
        <v>635</v>
      </c>
      <c r="E208" s="5" t="s">
        <v>206</v>
      </c>
    </row>
    <row r="209" spans="1:5" x14ac:dyDescent="0.25">
      <c r="A209" s="5">
        <v>19508</v>
      </c>
      <c r="B209" s="5" t="s">
        <v>636</v>
      </c>
      <c r="C209" s="5" t="s">
        <v>637</v>
      </c>
      <c r="D209" s="5" t="s">
        <v>638</v>
      </c>
      <c r="E209" s="5" t="s">
        <v>97</v>
      </c>
    </row>
    <row r="210" spans="1:5" x14ac:dyDescent="0.25">
      <c r="A210" s="5">
        <v>25008</v>
      </c>
      <c r="B210" s="5" t="s">
        <v>639</v>
      </c>
      <c r="C210" s="5" t="s">
        <v>640</v>
      </c>
      <c r="D210" s="5" t="s">
        <v>552</v>
      </c>
      <c r="E210" s="5" t="s">
        <v>110</v>
      </c>
    </row>
    <row r="211" spans="1:5" x14ac:dyDescent="0.25">
      <c r="A211" s="5">
        <v>20066</v>
      </c>
      <c r="B211" s="5" t="s">
        <v>641</v>
      </c>
      <c r="C211" s="5" t="s">
        <v>642</v>
      </c>
      <c r="D211" s="5" t="s">
        <v>606</v>
      </c>
      <c r="E211" s="5" t="s">
        <v>211</v>
      </c>
    </row>
    <row r="212" spans="1:5" x14ac:dyDescent="0.25">
      <c r="A212" s="5">
        <v>97035</v>
      </c>
      <c r="B212" s="5" t="s">
        <v>643</v>
      </c>
      <c r="C212" s="5" t="s">
        <v>644</v>
      </c>
      <c r="D212" s="5" t="s">
        <v>645</v>
      </c>
      <c r="E212" s="5" t="s">
        <v>89</v>
      </c>
    </row>
    <row r="213" spans="1:5" x14ac:dyDescent="0.25">
      <c r="A213" s="5">
        <v>25120</v>
      </c>
      <c r="B213" s="5" t="s">
        <v>646</v>
      </c>
      <c r="C213" s="5" t="s">
        <v>647</v>
      </c>
      <c r="D213" s="5" t="s">
        <v>359</v>
      </c>
      <c r="E213" s="5" t="s">
        <v>648</v>
      </c>
    </row>
    <row r="214" spans="1:5" x14ac:dyDescent="0.25">
      <c r="A214" s="5" t="s">
        <v>74</v>
      </c>
      <c r="B214" s="5" t="s">
        <v>649</v>
      </c>
      <c r="C214" s="5" t="s">
        <v>650</v>
      </c>
      <c r="D214" s="5" t="s">
        <v>335</v>
      </c>
      <c r="E214" s="5" t="s">
        <v>89</v>
      </c>
    </row>
    <row r="215" spans="1:5" x14ac:dyDescent="0.25">
      <c r="A215" s="5" t="s">
        <v>74</v>
      </c>
      <c r="B215" s="5" t="s">
        <v>651</v>
      </c>
      <c r="C215" s="5" t="s">
        <v>652</v>
      </c>
      <c r="D215" s="5" t="s">
        <v>74</v>
      </c>
      <c r="E215" s="5" t="s">
        <v>74</v>
      </c>
    </row>
    <row r="216" spans="1:5" x14ac:dyDescent="0.25">
      <c r="A216" s="5">
        <v>17033</v>
      </c>
      <c r="B216" s="5" t="s">
        <v>653</v>
      </c>
      <c r="C216" s="5" t="s">
        <v>654</v>
      </c>
      <c r="D216" s="5" t="s">
        <v>655</v>
      </c>
      <c r="E216" s="5" t="s">
        <v>72</v>
      </c>
    </row>
    <row r="217" spans="1:5" x14ac:dyDescent="0.25">
      <c r="A217" s="5">
        <v>11008</v>
      </c>
      <c r="B217" s="5" t="s">
        <v>656</v>
      </c>
      <c r="C217" s="5" t="s">
        <v>657</v>
      </c>
      <c r="D217" s="5" t="s">
        <v>658</v>
      </c>
      <c r="E217" s="5" t="s">
        <v>89</v>
      </c>
    </row>
    <row r="218" spans="1:5" x14ac:dyDescent="0.25">
      <c r="A218" s="5" t="s">
        <v>660</v>
      </c>
      <c r="B218" s="5" t="s">
        <v>659</v>
      </c>
      <c r="C218" s="5" t="s">
        <v>661</v>
      </c>
      <c r="D218" s="5" t="s">
        <v>152</v>
      </c>
      <c r="E218" s="5" t="s">
        <v>140</v>
      </c>
    </row>
    <row r="219" spans="1:5" x14ac:dyDescent="0.25">
      <c r="A219" s="5">
        <v>18008</v>
      </c>
      <c r="B219" s="5" t="s">
        <v>662</v>
      </c>
      <c r="C219" s="5" t="s">
        <v>663</v>
      </c>
      <c r="D219" s="5" t="s">
        <v>664</v>
      </c>
      <c r="E219" s="5" t="s">
        <v>211</v>
      </c>
    </row>
    <row r="220" spans="1:5" x14ac:dyDescent="0.25">
      <c r="A220" s="5">
        <v>18078</v>
      </c>
      <c r="B220" s="5" t="s">
        <v>665</v>
      </c>
      <c r="C220" s="5" t="s">
        <v>666</v>
      </c>
      <c r="D220" s="5" t="s">
        <v>667</v>
      </c>
      <c r="E220" s="5" t="s">
        <v>93</v>
      </c>
    </row>
    <row r="221" spans="1:5" x14ac:dyDescent="0.25">
      <c r="A221" s="5">
        <v>16127</v>
      </c>
      <c r="B221" s="5" t="s">
        <v>668</v>
      </c>
      <c r="C221" s="5" t="s">
        <v>669</v>
      </c>
      <c r="D221" s="5" t="s">
        <v>670</v>
      </c>
      <c r="E221" s="5" t="s">
        <v>93</v>
      </c>
    </row>
    <row r="222" spans="1:5" x14ac:dyDescent="0.25">
      <c r="A222" s="5" t="s">
        <v>74</v>
      </c>
      <c r="B222" s="5" t="s">
        <v>671</v>
      </c>
      <c r="C222" s="5" t="s">
        <v>672</v>
      </c>
      <c r="D222" s="5" t="s">
        <v>74</v>
      </c>
      <c r="E222" s="5" t="s">
        <v>74</v>
      </c>
    </row>
    <row r="223" spans="1:5" x14ac:dyDescent="0.25">
      <c r="A223" s="5" t="s">
        <v>74</v>
      </c>
      <c r="B223" s="5" t="s">
        <v>673</v>
      </c>
      <c r="C223" s="5" t="s">
        <v>674</v>
      </c>
      <c r="D223" s="5" t="s">
        <v>74</v>
      </c>
      <c r="E223" s="5" t="s">
        <v>74</v>
      </c>
    </row>
    <row r="224" spans="1:5" x14ac:dyDescent="0.25">
      <c r="A224" s="5">
        <v>19100</v>
      </c>
      <c r="B224" s="5" t="s">
        <v>675</v>
      </c>
      <c r="C224" s="5" t="s">
        <v>676</v>
      </c>
      <c r="D224" s="5" t="s">
        <v>677</v>
      </c>
      <c r="E224" s="5" t="s">
        <v>97</v>
      </c>
    </row>
    <row r="225" spans="1:5" x14ac:dyDescent="0.25">
      <c r="A225" s="5" t="s">
        <v>74</v>
      </c>
      <c r="B225" s="5" t="s">
        <v>678</v>
      </c>
      <c r="C225" s="5" t="s">
        <v>679</v>
      </c>
      <c r="D225" s="5" t="s">
        <v>680</v>
      </c>
      <c r="E225" s="5" t="s">
        <v>89</v>
      </c>
    </row>
    <row r="226" spans="1:5" x14ac:dyDescent="0.25">
      <c r="A226" s="5" t="s">
        <v>74</v>
      </c>
      <c r="B226" s="5" t="s">
        <v>681</v>
      </c>
      <c r="C226" s="5" t="s">
        <v>682</v>
      </c>
      <c r="D226" s="5" t="s">
        <v>74</v>
      </c>
      <c r="E226" s="5" t="s">
        <v>74</v>
      </c>
    </row>
    <row r="227" spans="1:5" x14ac:dyDescent="0.25">
      <c r="A227" s="5">
        <v>19504</v>
      </c>
      <c r="B227" s="5" t="s">
        <v>683</v>
      </c>
      <c r="C227" s="5" t="s">
        <v>684</v>
      </c>
      <c r="D227" s="5" t="s">
        <v>685</v>
      </c>
      <c r="E227" s="5" t="s">
        <v>97</v>
      </c>
    </row>
    <row r="228" spans="1:5" x14ac:dyDescent="0.25">
      <c r="A228" s="5">
        <v>90002</v>
      </c>
      <c r="B228" s="5" t="s">
        <v>686</v>
      </c>
      <c r="C228" s="5" t="s">
        <v>687</v>
      </c>
      <c r="D228" s="5" t="s">
        <v>688</v>
      </c>
      <c r="E228" s="5" t="s">
        <v>206</v>
      </c>
    </row>
    <row r="229" spans="1:5" x14ac:dyDescent="0.25">
      <c r="A229" s="5">
        <v>14181</v>
      </c>
      <c r="B229" s="5" t="s">
        <v>689</v>
      </c>
      <c r="C229" s="5" t="s">
        <v>690</v>
      </c>
      <c r="D229" s="5" t="s">
        <v>691</v>
      </c>
      <c r="E229" s="5" t="s">
        <v>188</v>
      </c>
    </row>
    <row r="230" spans="1:5" x14ac:dyDescent="0.25">
      <c r="A230" s="5">
        <v>97018</v>
      </c>
      <c r="B230" s="5" t="s">
        <v>692</v>
      </c>
      <c r="C230" s="5" t="s">
        <v>693</v>
      </c>
      <c r="D230" s="5" t="s">
        <v>694</v>
      </c>
      <c r="E230" s="5" t="s">
        <v>206</v>
      </c>
    </row>
    <row r="231" spans="1:5" x14ac:dyDescent="0.25">
      <c r="A231" s="5">
        <v>15110</v>
      </c>
      <c r="B231" s="5" t="s">
        <v>695</v>
      </c>
      <c r="C231" s="5" t="s">
        <v>696</v>
      </c>
      <c r="D231" s="5" t="s">
        <v>96</v>
      </c>
      <c r="E231" s="5" t="s">
        <v>110</v>
      </c>
    </row>
    <row r="232" spans="1:5" x14ac:dyDescent="0.25">
      <c r="A232" s="5" t="s">
        <v>74</v>
      </c>
      <c r="B232" s="5" t="s">
        <v>697</v>
      </c>
      <c r="C232" s="5" t="s">
        <v>698</v>
      </c>
      <c r="D232" s="5" t="s">
        <v>74</v>
      </c>
      <c r="E232" s="5" t="s">
        <v>74</v>
      </c>
    </row>
    <row r="233" spans="1:5" x14ac:dyDescent="0.25">
      <c r="A233" s="5">
        <v>89003</v>
      </c>
      <c r="B233" s="5" t="s">
        <v>699</v>
      </c>
      <c r="C233" s="5" t="s">
        <v>700</v>
      </c>
      <c r="D233" s="5" t="s">
        <v>701</v>
      </c>
      <c r="E233" s="5" t="s">
        <v>188</v>
      </c>
    </row>
    <row r="234" spans="1:5" x14ac:dyDescent="0.25">
      <c r="A234" s="5">
        <v>12119</v>
      </c>
      <c r="B234" s="5" t="s">
        <v>702</v>
      </c>
      <c r="C234" s="5" t="s">
        <v>703</v>
      </c>
      <c r="D234" s="5" t="s">
        <v>172</v>
      </c>
      <c r="E234" s="5" t="s">
        <v>140</v>
      </c>
    </row>
    <row r="235" spans="1:5" x14ac:dyDescent="0.25">
      <c r="A235" s="5" t="s">
        <v>74</v>
      </c>
      <c r="B235" s="5" t="s">
        <v>704</v>
      </c>
      <c r="C235" s="5" t="s">
        <v>705</v>
      </c>
      <c r="D235" s="5" t="s">
        <v>74</v>
      </c>
      <c r="E235" s="5" t="s">
        <v>74</v>
      </c>
    </row>
    <row r="236" spans="1:5" x14ac:dyDescent="0.25">
      <c r="A236" s="5" t="s">
        <v>74</v>
      </c>
      <c r="B236" s="5" t="s">
        <v>706</v>
      </c>
      <c r="C236" s="5" t="s">
        <v>707</v>
      </c>
      <c r="D236" s="5" t="s">
        <v>708</v>
      </c>
      <c r="E236" s="5" t="s">
        <v>110</v>
      </c>
    </row>
    <row r="237" spans="1:5" x14ac:dyDescent="0.25">
      <c r="A237" s="5">
        <v>19033</v>
      </c>
      <c r="B237" s="5" t="s">
        <v>709</v>
      </c>
      <c r="C237" s="5" t="s">
        <v>710</v>
      </c>
      <c r="D237" s="5" t="s">
        <v>711</v>
      </c>
      <c r="E237" s="5" t="s">
        <v>93</v>
      </c>
    </row>
    <row r="238" spans="1:5" x14ac:dyDescent="0.25">
      <c r="A238" s="5">
        <v>18272</v>
      </c>
      <c r="B238" s="5" t="s">
        <v>712</v>
      </c>
      <c r="C238" s="5" t="s">
        <v>713</v>
      </c>
      <c r="D238" s="5" t="s">
        <v>100</v>
      </c>
      <c r="E238" s="5" t="s">
        <v>93</v>
      </c>
    </row>
    <row r="239" spans="1:5" x14ac:dyDescent="0.25">
      <c r="A239" s="5">
        <v>15063</v>
      </c>
      <c r="B239" s="5" t="s">
        <v>714</v>
      </c>
      <c r="C239" s="5" t="s">
        <v>715</v>
      </c>
      <c r="D239" s="5" t="s">
        <v>220</v>
      </c>
      <c r="E239" s="5" t="s">
        <v>93</v>
      </c>
    </row>
    <row r="240" spans="1:5" x14ac:dyDescent="0.25">
      <c r="A240" s="5" t="s">
        <v>74</v>
      </c>
      <c r="B240" s="5" t="s">
        <v>716</v>
      </c>
      <c r="C240" s="5" t="s">
        <v>717</v>
      </c>
      <c r="D240" s="5" t="s">
        <v>74</v>
      </c>
      <c r="E240" s="5" t="s">
        <v>74</v>
      </c>
    </row>
    <row r="241" spans="1:5" x14ac:dyDescent="0.25">
      <c r="A241" s="5">
        <v>18047</v>
      </c>
      <c r="B241" s="5" t="s">
        <v>718</v>
      </c>
      <c r="C241" s="5" t="s">
        <v>719</v>
      </c>
      <c r="D241" s="5" t="s">
        <v>533</v>
      </c>
      <c r="E241" s="5" t="s">
        <v>211</v>
      </c>
    </row>
    <row r="242" spans="1:5" x14ac:dyDescent="0.25">
      <c r="A242" s="5">
        <v>22004</v>
      </c>
      <c r="B242" s="5" t="s">
        <v>720</v>
      </c>
      <c r="C242" s="5" t="s">
        <v>721</v>
      </c>
      <c r="D242" s="5" t="s">
        <v>722</v>
      </c>
      <c r="E242" s="5" t="s">
        <v>85</v>
      </c>
    </row>
    <row r="243" spans="1:5" x14ac:dyDescent="0.25">
      <c r="A243" s="5">
        <v>21016</v>
      </c>
      <c r="B243" s="5" t="s">
        <v>723</v>
      </c>
      <c r="C243" s="5" t="s">
        <v>724</v>
      </c>
      <c r="D243" s="5" t="s">
        <v>722</v>
      </c>
      <c r="E243" s="5" t="s">
        <v>89</v>
      </c>
    </row>
    <row r="244" spans="1:5" x14ac:dyDescent="0.25">
      <c r="A244" s="5">
        <v>17030</v>
      </c>
      <c r="B244" s="5" t="s">
        <v>725</v>
      </c>
      <c r="C244" s="5" t="s">
        <v>726</v>
      </c>
      <c r="D244" s="5" t="s">
        <v>252</v>
      </c>
      <c r="E244" s="5" t="s">
        <v>72</v>
      </c>
    </row>
    <row r="245" spans="1:5" x14ac:dyDescent="0.25">
      <c r="A245" s="5">
        <v>18256</v>
      </c>
      <c r="B245" s="5" t="s">
        <v>727</v>
      </c>
      <c r="C245" s="5" t="s">
        <v>728</v>
      </c>
      <c r="D245" s="5" t="s">
        <v>729</v>
      </c>
      <c r="E245" s="5" t="s">
        <v>363</v>
      </c>
    </row>
    <row r="246" spans="1:5" x14ac:dyDescent="0.25">
      <c r="A246" s="5">
        <v>15016</v>
      </c>
      <c r="B246" s="5" t="s">
        <v>730</v>
      </c>
      <c r="C246" s="5" t="s">
        <v>731</v>
      </c>
      <c r="D246" s="5" t="s">
        <v>435</v>
      </c>
      <c r="E246" s="5" t="s">
        <v>97</v>
      </c>
    </row>
    <row r="247" spans="1:5" x14ac:dyDescent="0.25">
      <c r="A247" s="5">
        <v>22046</v>
      </c>
      <c r="B247" s="5" t="s">
        <v>732</v>
      </c>
      <c r="C247" s="5" t="s">
        <v>733</v>
      </c>
      <c r="D247" s="5" t="s">
        <v>507</v>
      </c>
      <c r="E247" s="5" t="s">
        <v>72</v>
      </c>
    </row>
    <row r="248" spans="1:5" x14ac:dyDescent="0.25">
      <c r="A248" s="5">
        <v>18180</v>
      </c>
      <c r="B248" s="5" t="s">
        <v>734</v>
      </c>
      <c r="C248" s="5" t="s">
        <v>735</v>
      </c>
      <c r="D248" s="5" t="s">
        <v>736</v>
      </c>
      <c r="E248" s="5" t="s">
        <v>93</v>
      </c>
    </row>
    <row r="249" spans="1:5" x14ac:dyDescent="0.25">
      <c r="A249" s="5">
        <v>15056</v>
      </c>
      <c r="B249" s="5" t="s">
        <v>737</v>
      </c>
      <c r="C249" s="5" t="s">
        <v>738</v>
      </c>
      <c r="D249" s="5" t="s">
        <v>739</v>
      </c>
      <c r="E249" s="5" t="s">
        <v>72</v>
      </c>
    </row>
    <row r="250" spans="1:5" x14ac:dyDescent="0.25">
      <c r="A250" s="5" t="s">
        <v>74</v>
      </c>
      <c r="B250" s="5" t="s">
        <v>740</v>
      </c>
      <c r="C250" s="5" t="s">
        <v>741</v>
      </c>
      <c r="D250" s="5" t="s">
        <v>742</v>
      </c>
      <c r="E250" s="5" t="s">
        <v>89</v>
      </c>
    </row>
    <row r="251" spans="1:5" x14ac:dyDescent="0.25">
      <c r="A251" s="5">
        <v>17002</v>
      </c>
      <c r="B251" s="5" t="s">
        <v>743</v>
      </c>
      <c r="C251" s="5" t="s">
        <v>744</v>
      </c>
      <c r="D251" s="5" t="s">
        <v>533</v>
      </c>
      <c r="E251" s="5" t="s">
        <v>188</v>
      </c>
    </row>
    <row r="252" spans="1:5" x14ac:dyDescent="0.25">
      <c r="A252" s="5" t="s">
        <v>74</v>
      </c>
      <c r="B252" s="5" t="s">
        <v>745</v>
      </c>
      <c r="C252" s="5" t="s">
        <v>746</v>
      </c>
      <c r="D252" s="5" t="s">
        <v>747</v>
      </c>
      <c r="E252" s="5" t="s">
        <v>206</v>
      </c>
    </row>
    <row r="253" spans="1:5" x14ac:dyDescent="0.25">
      <c r="A253" s="5" t="s">
        <v>74</v>
      </c>
      <c r="B253" s="5" t="s">
        <v>748</v>
      </c>
      <c r="C253" s="5" t="s">
        <v>749</v>
      </c>
      <c r="D253" s="5" t="s">
        <v>304</v>
      </c>
      <c r="E253" s="5" t="s">
        <v>51</v>
      </c>
    </row>
    <row r="254" spans="1:5" x14ac:dyDescent="0.25">
      <c r="A254" s="5">
        <v>16128</v>
      </c>
      <c r="B254" s="5" t="s">
        <v>750</v>
      </c>
      <c r="C254" s="5" t="s">
        <v>751</v>
      </c>
      <c r="D254" s="5" t="s">
        <v>752</v>
      </c>
      <c r="E254" s="5" t="s">
        <v>312</v>
      </c>
    </row>
    <row r="255" spans="1:5" x14ac:dyDescent="0.25">
      <c r="A255" s="5">
        <v>18162</v>
      </c>
      <c r="B255" s="5" t="s">
        <v>753</v>
      </c>
      <c r="C255" s="5" t="s">
        <v>754</v>
      </c>
      <c r="D255" s="5" t="s">
        <v>246</v>
      </c>
      <c r="E255" s="5" t="s">
        <v>72</v>
      </c>
    </row>
    <row r="256" spans="1:5" x14ac:dyDescent="0.25">
      <c r="A256" s="5">
        <v>19305</v>
      </c>
      <c r="B256" s="5" t="s">
        <v>755</v>
      </c>
      <c r="C256" s="5" t="s">
        <v>756</v>
      </c>
      <c r="D256" s="5" t="s">
        <v>191</v>
      </c>
      <c r="E256" s="5" t="s">
        <v>97</v>
      </c>
    </row>
    <row r="257" spans="1:5" x14ac:dyDescent="0.25">
      <c r="A257" s="5">
        <v>14043</v>
      </c>
      <c r="B257" s="5" t="s">
        <v>757</v>
      </c>
      <c r="C257" s="5" t="s">
        <v>758</v>
      </c>
      <c r="D257" s="5" t="s">
        <v>759</v>
      </c>
      <c r="E257" s="5" t="s">
        <v>97</v>
      </c>
    </row>
    <row r="258" spans="1:5" x14ac:dyDescent="0.25">
      <c r="A258" s="5" t="s">
        <v>74</v>
      </c>
      <c r="B258" s="5" t="s">
        <v>760</v>
      </c>
      <c r="C258" s="5" t="s">
        <v>761</v>
      </c>
      <c r="D258" s="5" t="s">
        <v>74</v>
      </c>
      <c r="E258" s="5" t="s">
        <v>72</v>
      </c>
    </row>
    <row r="259" spans="1:5" x14ac:dyDescent="0.25">
      <c r="A259" s="5" t="s">
        <v>74</v>
      </c>
      <c r="B259" s="5" t="s">
        <v>762</v>
      </c>
      <c r="C259" s="5" t="s">
        <v>763</v>
      </c>
      <c r="D259" s="5" t="s">
        <v>764</v>
      </c>
      <c r="E259" s="5" t="s">
        <v>97</v>
      </c>
    </row>
    <row r="260" spans="1:5" x14ac:dyDescent="0.25">
      <c r="A260" s="5">
        <v>14037</v>
      </c>
      <c r="B260" s="5" t="s">
        <v>765</v>
      </c>
      <c r="C260" s="5" t="s">
        <v>766</v>
      </c>
      <c r="D260" s="5" t="s">
        <v>767</v>
      </c>
      <c r="E260" s="5" t="s">
        <v>348</v>
      </c>
    </row>
    <row r="261" spans="1:5" x14ac:dyDescent="0.25">
      <c r="A261" s="5">
        <v>19147</v>
      </c>
      <c r="B261" s="5" t="s">
        <v>768</v>
      </c>
      <c r="C261" s="5" t="s">
        <v>769</v>
      </c>
      <c r="D261" s="5" t="s">
        <v>711</v>
      </c>
      <c r="E261" s="5" t="s">
        <v>479</v>
      </c>
    </row>
    <row r="262" spans="1:5" x14ac:dyDescent="0.25">
      <c r="A262" s="5">
        <v>14153</v>
      </c>
      <c r="B262" s="5" t="s">
        <v>770</v>
      </c>
      <c r="C262" s="5" t="s">
        <v>771</v>
      </c>
      <c r="D262" s="5" t="s">
        <v>220</v>
      </c>
      <c r="E262" s="5" t="s">
        <v>72</v>
      </c>
    </row>
    <row r="263" spans="1:5" x14ac:dyDescent="0.25">
      <c r="A263" s="5">
        <v>13030</v>
      </c>
      <c r="B263" s="5" t="s">
        <v>772</v>
      </c>
      <c r="C263" s="5" t="s">
        <v>773</v>
      </c>
      <c r="D263" s="5" t="s">
        <v>435</v>
      </c>
      <c r="E263" s="5" t="s">
        <v>85</v>
      </c>
    </row>
    <row r="264" spans="1:5" x14ac:dyDescent="0.25">
      <c r="A264" s="5">
        <v>15070</v>
      </c>
      <c r="B264" s="5" t="s">
        <v>774</v>
      </c>
      <c r="C264" s="5" t="s">
        <v>775</v>
      </c>
      <c r="D264" s="5" t="s">
        <v>776</v>
      </c>
      <c r="E264" s="5" t="s">
        <v>153</v>
      </c>
    </row>
    <row r="265" spans="1:5" x14ac:dyDescent="0.25">
      <c r="A265" s="5">
        <v>26056</v>
      </c>
      <c r="B265" s="5" t="s">
        <v>777</v>
      </c>
      <c r="C265" s="5" t="s">
        <v>778</v>
      </c>
      <c r="D265" s="5" t="s">
        <v>779</v>
      </c>
      <c r="E265" s="5" t="s">
        <v>110</v>
      </c>
    </row>
    <row r="266" spans="1:5" x14ac:dyDescent="0.25">
      <c r="A266" s="5">
        <v>16013</v>
      </c>
      <c r="B266" s="5" t="s">
        <v>780</v>
      </c>
      <c r="C266" s="5" t="s">
        <v>781</v>
      </c>
      <c r="D266" s="5" t="s">
        <v>191</v>
      </c>
      <c r="E266" s="5" t="s">
        <v>85</v>
      </c>
    </row>
    <row r="267" spans="1:5" x14ac:dyDescent="0.25">
      <c r="A267" s="5">
        <v>18099</v>
      </c>
      <c r="B267" s="5" t="s">
        <v>782</v>
      </c>
      <c r="C267" s="5" t="s">
        <v>783</v>
      </c>
      <c r="D267" s="5" t="s">
        <v>191</v>
      </c>
      <c r="E267" s="5" t="s">
        <v>97</v>
      </c>
    </row>
    <row r="268" spans="1:5" x14ac:dyDescent="0.25">
      <c r="A268" s="5">
        <v>15098</v>
      </c>
      <c r="B268" s="5" t="s">
        <v>784</v>
      </c>
      <c r="C268" s="5" t="s">
        <v>785</v>
      </c>
      <c r="D268" s="5" t="s">
        <v>606</v>
      </c>
      <c r="E268" s="5" t="s">
        <v>72</v>
      </c>
    </row>
    <row r="269" spans="1:5" x14ac:dyDescent="0.25">
      <c r="A269" s="5">
        <v>15055</v>
      </c>
      <c r="B269" s="5" t="s">
        <v>786</v>
      </c>
      <c r="C269" s="5" t="s">
        <v>787</v>
      </c>
      <c r="D269" s="5" t="s">
        <v>788</v>
      </c>
      <c r="E269" s="5" t="s">
        <v>110</v>
      </c>
    </row>
    <row r="270" spans="1:5" x14ac:dyDescent="0.25">
      <c r="A270" s="5">
        <v>18183</v>
      </c>
      <c r="B270" s="5" t="s">
        <v>789</v>
      </c>
      <c r="C270" s="5" t="s">
        <v>790</v>
      </c>
      <c r="D270" s="5" t="s">
        <v>791</v>
      </c>
      <c r="E270" s="5" t="s">
        <v>348</v>
      </c>
    </row>
    <row r="271" spans="1:5" x14ac:dyDescent="0.25">
      <c r="A271" s="5">
        <v>28088</v>
      </c>
      <c r="B271" s="5" t="s">
        <v>792</v>
      </c>
      <c r="C271" s="5" t="s">
        <v>793</v>
      </c>
      <c r="D271" s="5" t="s">
        <v>794</v>
      </c>
      <c r="E271" s="5" t="s">
        <v>140</v>
      </c>
    </row>
    <row r="272" spans="1:5" x14ac:dyDescent="0.25">
      <c r="A272" s="5">
        <v>19024</v>
      </c>
      <c r="B272" s="5" t="s">
        <v>795</v>
      </c>
      <c r="C272" s="5" t="s">
        <v>796</v>
      </c>
      <c r="D272" s="5" t="s">
        <v>569</v>
      </c>
      <c r="E272" s="5" t="s">
        <v>110</v>
      </c>
    </row>
    <row r="273" spans="1:5" x14ac:dyDescent="0.25">
      <c r="A273" s="5">
        <v>27073</v>
      </c>
      <c r="B273" s="5" t="s">
        <v>797</v>
      </c>
      <c r="C273" s="5" t="s">
        <v>798</v>
      </c>
      <c r="D273" s="5" t="s">
        <v>752</v>
      </c>
      <c r="E273" s="5" t="s">
        <v>188</v>
      </c>
    </row>
    <row r="274" spans="1:5" x14ac:dyDescent="0.25">
      <c r="A274" s="5">
        <v>13086</v>
      </c>
      <c r="B274" s="5" t="s">
        <v>799</v>
      </c>
      <c r="C274" s="5" t="s">
        <v>800</v>
      </c>
      <c r="D274" s="5" t="s">
        <v>801</v>
      </c>
      <c r="E274" s="5" t="s">
        <v>89</v>
      </c>
    </row>
    <row r="275" spans="1:5" x14ac:dyDescent="0.25">
      <c r="A275" s="5">
        <v>11016</v>
      </c>
      <c r="B275" s="5" t="s">
        <v>802</v>
      </c>
      <c r="C275" s="5" t="s">
        <v>803</v>
      </c>
      <c r="D275" s="5" t="s">
        <v>552</v>
      </c>
      <c r="E275" s="5" t="s">
        <v>93</v>
      </c>
    </row>
    <row r="276" spans="1:5" x14ac:dyDescent="0.25">
      <c r="A276" s="5">
        <v>14011</v>
      </c>
      <c r="B276" s="5" t="s">
        <v>804</v>
      </c>
      <c r="C276" s="5" t="s">
        <v>805</v>
      </c>
      <c r="D276" s="5" t="s">
        <v>806</v>
      </c>
      <c r="E276" s="5" t="s">
        <v>206</v>
      </c>
    </row>
    <row r="277" spans="1:5" x14ac:dyDescent="0.25">
      <c r="A277" s="5">
        <v>15064</v>
      </c>
      <c r="B277" s="5" t="s">
        <v>807</v>
      </c>
      <c r="C277" s="5" t="s">
        <v>808</v>
      </c>
      <c r="D277" s="5" t="s">
        <v>809</v>
      </c>
      <c r="E277" s="5" t="s">
        <v>72</v>
      </c>
    </row>
    <row r="278" spans="1:5" x14ac:dyDescent="0.25">
      <c r="A278" s="5">
        <v>29006</v>
      </c>
      <c r="B278" s="5" t="s">
        <v>810</v>
      </c>
      <c r="C278" s="5" t="s">
        <v>811</v>
      </c>
      <c r="D278" s="5" t="s">
        <v>493</v>
      </c>
      <c r="E278" s="5" t="s">
        <v>85</v>
      </c>
    </row>
    <row r="279" spans="1:5" x14ac:dyDescent="0.25">
      <c r="A279" s="5">
        <v>16004</v>
      </c>
      <c r="B279" s="5" t="s">
        <v>812</v>
      </c>
      <c r="C279" s="5" t="s">
        <v>813</v>
      </c>
      <c r="D279" s="5" t="s">
        <v>539</v>
      </c>
      <c r="E279" s="5" t="s">
        <v>110</v>
      </c>
    </row>
    <row r="280" spans="1:5" x14ac:dyDescent="0.25">
      <c r="A280" s="5">
        <v>29032</v>
      </c>
      <c r="B280" s="5" t="s">
        <v>814</v>
      </c>
      <c r="C280" s="5" t="s">
        <v>815</v>
      </c>
      <c r="D280" s="5" t="s">
        <v>816</v>
      </c>
      <c r="E280" s="5" t="s">
        <v>93</v>
      </c>
    </row>
    <row r="281" spans="1:5" x14ac:dyDescent="0.25">
      <c r="A281" s="5">
        <v>13066</v>
      </c>
      <c r="B281" s="5" t="s">
        <v>817</v>
      </c>
      <c r="C281" s="5" t="s">
        <v>818</v>
      </c>
      <c r="D281" s="5" t="s">
        <v>819</v>
      </c>
      <c r="E281" s="5" t="s">
        <v>117</v>
      </c>
    </row>
    <row r="282" spans="1:5" x14ac:dyDescent="0.25">
      <c r="A282" s="5" t="s">
        <v>74</v>
      </c>
      <c r="B282" s="5" t="s">
        <v>820</v>
      </c>
      <c r="C282" s="5" t="s">
        <v>821</v>
      </c>
      <c r="D282" s="5" t="s">
        <v>74</v>
      </c>
      <c r="E282" s="5" t="s">
        <v>74</v>
      </c>
    </row>
    <row r="283" spans="1:5" x14ac:dyDescent="0.25">
      <c r="A283" s="5" t="s">
        <v>74</v>
      </c>
      <c r="B283" s="5" t="s">
        <v>822</v>
      </c>
      <c r="C283" s="5" t="s">
        <v>823</v>
      </c>
      <c r="D283" s="5" t="s">
        <v>74</v>
      </c>
      <c r="E283" s="5" t="s">
        <v>74</v>
      </c>
    </row>
    <row r="284" spans="1:5" x14ac:dyDescent="0.25">
      <c r="A284" s="5" t="s">
        <v>74</v>
      </c>
      <c r="B284" s="5" t="s">
        <v>824</v>
      </c>
      <c r="C284" s="5" t="s">
        <v>825</v>
      </c>
      <c r="D284" s="5" t="s">
        <v>74</v>
      </c>
      <c r="E284" s="5" t="s">
        <v>74</v>
      </c>
    </row>
    <row r="285" spans="1:5" x14ac:dyDescent="0.25">
      <c r="A285" s="5" t="s">
        <v>74</v>
      </c>
      <c r="B285" s="5" t="s">
        <v>826</v>
      </c>
      <c r="C285" s="5" t="s">
        <v>827</v>
      </c>
      <c r="D285" s="5" t="s">
        <v>74</v>
      </c>
      <c r="E285" s="5" t="s">
        <v>153</v>
      </c>
    </row>
    <row r="286" spans="1:5" x14ac:dyDescent="0.25">
      <c r="A286" s="5" t="s">
        <v>74</v>
      </c>
      <c r="B286" s="5" t="s">
        <v>828</v>
      </c>
      <c r="C286" s="5" t="s">
        <v>829</v>
      </c>
      <c r="D286" s="5" t="s">
        <v>830</v>
      </c>
      <c r="E286" s="5" t="s">
        <v>72</v>
      </c>
    </row>
    <row r="287" spans="1:5" x14ac:dyDescent="0.25">
      <c r="A287" s="5">
        <v>18185</v>
      </c>
      <c r="B287" s="5" t="s">
        <v>831</v>
      </c>
      <c r="C287" s="5" t="s">
        <v>832</v>
      </c>
      <c r="D287" s="5" t="s">
        <v>74</v>
      </c>
      <c r="E287" s="5" t="s">
        <v>153</v>
      </c>
    </row>
    <row r="288" spans="1:5" x14ac:dyDescent="0.25">
      <c r="A288" s="5" t="s">
        <v>74</v>
      </c>
      <c r="B288" s="5" t="s">
        <v>833</v>
      </c>
      <c r="C288" s="5" t="s">
        <v>834</v>
      </c>
      <c r="D288" s="5" t="s">
        <v>74</v>
      </c>
      <c r="E288" s="5" t="s">
        <v>153</v>
      </c>
    </row>
    <row r="289" spans="1:5" x14ac:dyDescent="0.25">
      <c r="A289" s="5" t="s">
        <v>74</v>
      </c>
      <c r="B289" s="5" t="s">
        <v>835</v>
      </c>
      <c r="C289" s="5" t="s">
        <v>836</v>
      </c>
      <c r="D289" s="5" t="s">
        <v>74</v>
      </c>
      <c r="E289" s="5" t="s">
        <v>74</v>
      </c>
    </row>
    <row r="290" spans="1:5" x14ac:dyDescent="0.25">
      <c r="A290" s="5" t="s">
        <v>74</v>
      </c>
      <c r="B290" s="5" t="s">
        <v>837</v>
      </c>
      <c r="C290" s="5" t="s">
        <v>838</v>
      </c>
      <c r="D290" s="5" t="s">
        <v>74</v>
      </c>
      <c r="E290" s="5" t="s">
        <v>74</v>
      </c>
    </row>
    <row r="291" spans="1:5" x14ac:dyDescent="0.25">
      <c r="A291" s="5" t="s">
        <v>74</v>
      </c>
      <c r="B291" s="5" t="s">
        <v>839</v>
      </c>
      <c r="C291" s="5" t="s">
        <v>840</v>
      </c>
      <c r="D291" s="5" t="s">
        <v>74</v>
      </c>
      <c r="E291" s="5" t="s">
        <v>74</v>
      </c>
    </row>
    <row r="292" spans="1:5" x14ac:dyDescent="0.25">
      <c r="A292" s="5" t="s">
        <v>74</v>
      </c>
      <c r="B292" s="5" t="s">
        <v>841</v>
      </c>
      <c r="C292" s="5" t="s">
        <v>842</v>
      </c>
      <c r="D292" s="5" t="s">
        <v>74</v>
      </c>
      <c r="E292" s="5" t="s">
        <v>74</v>
      </c>
    </row>
    <row r="293" spans="1:5" x14ac:dyDescent="0.25">
      <c r="A293" s="5" t="s">
        <v>74</v>
      </c>
      <c r="B293" s="5" t="s">
        <v>843</v>
      </c>
      <c r="C293" s="5" t="s">
        <v>844</v>
      </c>
      <c r="D293" s="5" t="s">
        <v>74</v>
      </c>
      <c r="E293" s="5" t="s">
        <v>74</v>
      </c>
    </row>
    <row r="294" spans="1:5" x14ac:dyDescent="0.25">
      <c r="A294" s="5">
        <v>19184</v>
      </c>
      <c r="B294" s="5" t="s">
        <v>845</v>
      </c>
      <c r="C294" s="5" t="s">
        <v>846</v>
      </c>
      <c r="D294" s="5" t="s">
        <v>847</v>
      </c>
      <c r="E294" s="5" t="s">
        <v>211</v>
      </c>
    </row>
    <row r="295" spans="1:5" x14ac:dyDescent="0.25">
      <c r="A295" s="5">
        <v>29105</v>
      </c>
      <c r="B295" s="5" t="s">
        <v>848</v>
      </c>
      <c r="C295" s="5" t="s">
        <v>849</v>
      </c>
      <c r="D295" s="5" t="s">
        <v>850</v>
      </c>
      <c r="E295" s="5" t="s">
        <v>89</v>
      </c>
    </row>
    <row r="296" spans="1:5" x14ac:dyDescent="0.25">
      <c r="A296" s="5">
        <v>92002</v>
      </c>
      <c r="B296" s="5" t="s">
        <v>851</v>
      </c>
      <c r="C296" s="5" t="s">
        <v>852</v>
      </c>
      <c r="D296" s="5" t="s">
        <v>853</v>
      </c>
      <c r="E296" s="5" t="s">
        <v>77</v>
      </c>
    </row>
    <row r="297" spans="1:5" x14ac:dyDescent="0.25">
      <c r="A297" s="5">
        <v>16044</v>
      </c>
      <c r="B297" s="5" t="s">
        <v>854</v>
      </c>
      <c r="C297" s="5" t="s">
        <v>855</v>
      </c>
      <c r="D297" s="5" t="s">
        <v>856</v>
      </c>
      <c r="E297" s="5" t="s">
        <v>72</v>
      </c>
    </row>
    <row r="298" spans="1:5" x14ac:dyDescent="0.25">
      <c r="A298" s="5">
        <v>25088</v>
      </c>
      <c r="B298" s="5" t="s">
        <v>857</v>
      </c>
      <c r="C298" s="5" t="s">
        <v>858</v>
      </c>
      <c r="D298" s="5" t="s">
        <v>84</v>
      </c>
      <c r="E298" s="5" t="s">
        <v>97</v>
      </c>
    </row>
    <row r="299" spans="1:5" x14ac:dyDescent="0.25">
      <c r="A299" s="5">
        <v>96013</v>
      </c>
      <c r="B299" s="5" t="s">
        <v>859</v>
      </c>
      <c r="C299" s="5" t="s">
        <v>860</v>
      </c>
      <c r="D299" s="5" t="s">
        <v>861</v>
      </c>
      <c r="E299" s="5" t="s">
        <v>110</v>
      </c>
    </row>
    <row r="300" spans="1:5" x14ac:dyDescent="0.25">
      <c r="A300" s="5" t="s">
        <v>74</v>
      </c>
      <c r="B300" s="5" t="s">
        <v>862</v>
      </c>
      <c r="C300" s="5" t="s">
        <v>863</v>
      </c>
      <c r="D300" s="5" t="s">
        <v>74</v>
      </c>
      <c r="E300" s="5" t="s">
        <v>74</v>
      </c>
    </row>
    <row r="301" spans="1:5" x14ac:dyDescent="0.25">
      <c r="A301" s="5">
        <v>29046</v>
      </c>
      <c r="B301" s="5" t="s">
        <v>864</v>
      </c>
      <c r="C301" s="5" t="s">
        <v>865</v>
      </c>
      <c r="D301" s="5" t="s">
        <v>722</v>
      </c>
      <c r="E301" s="5" t="s">
        <v>81</v>
      </c>
    </row>
    <row r="302" spans="1:5" x14ac:dyDescent="0.25">
      <c r="A302" s="5">
        <v>19207</v>
      </c>
      <c r="B302" s="5" t="s">
        <v>866</v>
      </c>
      <c r="C302" s="5" t="s">
        <v>867</v>
      </c>
      <c r="D302" s="5" t="s">
        <v>539</v>
      </c>
      <c r="E302" s="5" t="s">
        <v>89</v>
      </c>
    </row>
    <row r="303" spans="1:5" x14ac:dyDescent="0.25">
      <c r="A303" s="5">
        <v>18119</v>
      </c>
      <c r="B303" s="5" t="s">
        <v>868</v>
      </c>
      <c r="C303" s="5" t="s">
        <v>869</v>
      </c>
      <c r="D303" s="5" t="s">
        <v>870</v>
      </c>
      <c r="E303" s="5" t="s">
        <v>89</v>
      </c>
    </row>
    <row r="304" spans="1:5" x14ac:dyDescent="0.25">
      <c r="A304" s="5">
        <v>18153</v>
      </c>
      <c r="B304" s="5" t="s">
        <v>871</v>
      </c>
      <c r="C304" s="5" t="s">
        <v>872</v>
      </c>
      <c r="D304" s="5" t="s">
        <v>873</v>
      </c>
      <c r="E304" s="5" t="s">
        <v>312</v>
      </c>
    </row>
    <row r="305" spans="1:5" x14ac:dyDescent="0.25">
      <c r="A305" s="5">
        <v>16217</v>
      </c>
      <c r="B305" s="5" t="s">
        <v>874</v>
      </c>
      <c r="C305" s="5" t="s">
        <v>875</v>
      </c>
      <c r="D305" s="5" t="s">
        <v>876</v>
      </c>
      <c r="E305" s="5" t="s">
        <v>877</v>
      </c>
    </row>
    <row r="306" spans="1:5" x14ac:dyDescent="0.25">
      <c r="A306" s="5" t="s">
        <v>74</v>
      </c>
      <c r="B306" s="5" t="s">
        <v>878</v>
      </c>
      <c r="C306" s="5" t="s">
        <v>879</v>
      </c>
      <c r="D306" s="5" t="s">
        <v>74</v>
      </c>
      <c r="E306" s="5" t="s">
        <v>74</v>
      </c>
    </row>
    <row r="307" spans="1:5" x14ac:dyDescent="0.25">
      <c r="A307" s="5" t="s">
        <v>74</v>
      </c>
      <c r="B307" s="5" t="s">
        <v>880</v>
      </c>
      <c r="C307" s="5" t="s">
        <v>881</v>
      </c>
      <c r="D307" s="5" t="s">
        <v>74</v>
      </c>
      <c r="E307" s="5" t="s">
        <v>74</v>
      </c>
    </row>
    <row r="308" spans="1:5" x14ac:dyDescent="0.25">
      <c r="A308" s="5" t="s">
        <v>74</v>
      </c>
      <c r="B308" s="5" t="s">
        <v>882</v>
      </c>
      <c r="C308" s="5" t="s">
        <v>883</v>
      </c>
      <c r="D308" s="5" t="s">
        <v>74</v>
      </c>
      <c r="E308" s="5" t="s">
        <v>74</v>
      </c>
    </row>
    <row r="309" spans="1:5" x14ac:dyDescent="0.25">
      <c r="A309" s="5" t="s">
        <v>74</v>
      </c>
      <c r="B309" s="5" t="s">
        <v>884</v>
      </c>
      <c r="C309" s="5" t="s">
        <v>885</v>
      </c>
      <c r="D309" s="5" t="s">
        <v>74</v>
      </c>
      <c r="E309" s="5" t="s">
        <v>74</v>
      </c>
    </row>
    <row r="310" spans="1:5" x14ac:dyDescent="0.25">
      <c r="A310" s="5" t="s">
        <v>74</v>
      </c>
      <c r="B310" s="5" t="s">
        <v>886</v>
      </c>
      <c r="C310" s="5" t="s">
        <v>887</v>
      </c>
      <c r="D310" s="5" t="s">
        <v>74</v>
      </c>
      <c r="E310" s="5" t="s">
        <v>74</v>
      </c>
    </row>
    <row r="311" spans="1:5" x14ac:dyDescent="0.25">
      <c r="A311" s="5" t="s">
        <v>74</v>
      </c>
      <c r="B311" s="5" t="s">
        <v>888</v>
      </c>
      <c r="C311" s="5" t="s">
        <v>889</v>
      </c>
      <c r="D311" s="5" t="s">
        <v>74</v>
      </c>
      <c r="E311" s="5" t="s">
        <v>74</v>
      </c>
    </row>
    <row r="312" spans="1:5" x14ac:dyDescent="0.25">
      <c r="A312" s="5" t="s">
        <v>74</v>
      </c>
      <c r="B312" s="5" t="s">
        <v>890</v>
      </c>
      <c r="C312" s="5" t="s">
        <v>891</v>
      </c>
      <c r="D312" s="5" t="s">
        <v>892</v>
      </c>
      <c r="E312" s="5" t="s">
        <v>211</v>
      </c>
    </row>
    <row r="313" spans="1:5" x14ac:dyDescent="0.25">
      <c r="A313" s="5" t="s">
        <v>74</v>
      </c>
      <c r="B313" s="5" t="s">
        <v>893</v>
      </c>
      <c r="C313" s="5" t="s">
        <v>894</v>
      </c>
      <c r="D313" s="5" t="s">
        <v>892</v>
      </c>
      <c r="E313" s="5" t="s">
        <v>211</v>
      </c>
    </row>
    <row r="314" spans="1:5" x14ac:dyDescent="0.25">
      <c r="A314" s="5" t="s">
        <v>74</v>
      </c>
      <c r="B314" s="5" t="s">
        <v>895</v>
      </c>
      <c r="C314" s="5" t="s">
        <v>896</v>
      </c>
      <c r="D314" s="5" t="s">
        <v>892</v>
      </c>
      <c r="E314" s="5" t="s">
        <v>211</v>
      </c>
    </row>
    <row r="315" spans="1:5" x14ac:dyDescent="0.25">
      <c r="A315" s="5" t="s">
        <v>74</v>
      </c>
      <c r="B315" s="5" t="s">
        <v>897</v>
      </c>
      <c r="C315" s="5" t="s">
        <v>898</v>
      </c>
      <c r="D315" s="5" t="s">
        <v>892</v>
      </c>
      <c r="E315" s="5" t="s">
        <v>211</v>
      </c>
    </row>
    <row r="316" spans="1:5" x14ac:dyDescent="0.25">
      <c r="A316" s="5" t="s">
        <v>74</v>
      </c>
      <c r="B316" s="5" t="s">
        <v>899</v>
      </c>
      <c r="C316" s="5" t="s">
        <v>900</v>
      </c>
      <c r="D316" s="5" t="s">
        <v>74</v>
      </c>
      <c r="E316" s="5" t="s">
        <v>74</v>
      </c>
    </row>
    <row r="317" spans="1:5" x14ac:dyDescent="0.25">
      <c r="A317" s="5" t="s">
        <v>74</v>
      </c>
      <c r="B317" s="5" t="s">
        <v>901</v>
      </c>
      <c r="C317" s="5" t="s">
        <v>902</v>
      </c>
      <c r="D317" s="5" t="s">
        <v>74</v>
      </c>
      <c r="E317" s="5" t="s">
        <v>211</v>
      </c>
    </row>
    <row r="318" spans="1:5" x14ac:dyDescent="0.25">
      <c r="A318" s="5" t="s">
        <v>74</v>
      </c>
      <c r="B318" s="5" t="s">
        <v>903</v>
      </c>
      <c r="C318" s="5" t="s">
        <v>904</v>
      </c>
      <c r="D318" s="5" t="s">
        <v>74</v>
      </c>
      <c r="E318" s="5" t="s">
        <v>211</v>
      </c>
    </row>
    <row r="319" spans="1:5" x14ac:dyDescent="0.25">
      <c r="A319" s="5" t="s">
        <v>74</v>
      </c>
      <c r="B319" s="5" t="s">
        <v>905</v>
      </c>
      <c r="C319" s="5" t="s">
        <v>906</v>
      </c>
      <c r="D319" s="5" t="s">
        <v>74</v>
      </c>
      <c r="E319" s="5" t="s">
        <v>211</v>
      </c>
    </row>
    <row r="320" spans="1:5" x14ac:dyDescent="0.25">
      <c r="A320" s="5" t="s">
        <v>74</v>
      </c>
      <c r="B320" s="5" t="s">
        <v>907</v>
      </c>
      <c r="C320" s="5" t="s">
        <v>908</v>
      </c>
      <c r="D320" s="5" t="s">
        <v>74</v>
      </c>
      <c r="E320" s="5" t="s">
        <v>74</v>
      </c>
    </row>
    <row r="321" spans="1:5" x14ac:dyDescent="0.25">
      <c r="A321" s="5" t="s">
        <v>74</v>
      </c>
      <c r="B321" s="5" t="s">
        <v>909</v>
      </c>
      <c r="C321" s="5" t="s">
        <v>910</v>
      </c>
      <c r="D321" s="5" t="s">
        <v>74</v>
      </c>
      <c r="E321" s="5" t="s">
        <v>211</v>
      </c>
    </row>
    <row r="322" spans="1:5" x14ac:dyDescent="0.25">
      <c r="A322" s="5" t="s">
        <v>74</v>
      </c>
      <c r="B322" s="5" t="s">
        <v>911</v>
      </c>
      <c r="C322" s="5" t="s">
        <v>912</v>
      </c>
      <c r="D322" s="5" t="s">
        <v>74</v>
      </c>
      <c r="E322" s="5" t="s">
        <v>211</v>
      </c>
    </row>
    <row r="323" spans="1:5" x14ac:dyDescent="0.25">
      <c r="A323" s="5">
        <v>17091</v>
      </c>
      <c r="B323" s="5" t="s">
        <v>913</v>
      </c>
      <c r="C323" s="5" t="s">
        <v>914</v>
      </c>
      <c r="D323" s="5" t="s">
        <v>533</v>
      </c>
      <c r="E323" s="5" t="s">
        <v>72</v>
      </c>
    </row>
    <row r="324" spans="1:5" x14ac:dyDescent="0.25">
      <c r="A324" s="5">
        <v>19235</v>
      </c>
      <c r="B324" s="5" t="s">
        <v>915</v>
      </c>
      <c r="C324" s="5" t="s">
        <v>916</v>
      </c>
      <c r="D324" s="5" t="s">
        <v>408</v>
      </c>
      <c r="E324" s="5" t="s">
        <v>89</v>
      </c>
    </row>
    <row r="325" spans="1:5" x14ac:dyDescent="0.25">
      <c r="A325" s="5">
        <v>19253</v>
      </c>
      <c r="B325" s="5" t="s">
        <v>917</v>
      </c>
      <c r="C325" s="5" t="s">
        <v>918</v>
      </c>
      <c r="D325" s="5" t="s">
        <v>88</v>
      </c>
      <c r="E325" s="5" t="s">
        <v>89</v>
      </c>
    </row>
    <row r="326" spans="1:5" x14ac:dyDescent="0.25">
      <c r="A326" s="5">
        <v>15015</v>
      </c>
      <c r="B326" s="5" t="s">
        <v>919</v>
      </c>
      <c r="C326" s="5" t="s">
        <v>920</v>
      </c>
      <c r="D326" s="5" t="s">
        <v>921</v>
      </c>
      <c r="E326" s="5" t="s">
        <v>181</v>
      </c>
    </row>
    <row r="327" spans="1:5" x14ac:dyDescent="0.25">
      <c r="A327" s="5">
        <v>10029</v>
      </c>
      <c r="B327" s="5" t="s">
        <v>922</v>
      </c>
      <c r="C327" s="5" t="s">
        <v>923</v>
      </c>
      <c r="D327" s="5" t="s">
        <v>924</v>
      </c>
      <c r="E327" s="5" t="s">
        <v>188</v>
      </c>
    </row>
    <row r="328" spans="1:5" x14ac:dyDescent="0.25">
      <c r="A328" s="5">
        <v>18046</v>
      </c>
      <c r="B328" s="5" t="s">
        <v>925</v>
      </c>
      <c r="C328" s="5" t="s">
        <v>926</v>
      </c>
      <c r="D328" s="5" t="s">
        <v>297</v>
      </c>
      <c r="E328" s="5" t="s">
        <v>93</v>
      </c>
    </row>
    <row r="329" spans="1:5" x14ac:dyDescent="0.25">
      <c r="A329" s="5">
        <v>14051</v>
      </c>
      <c r="B329" s="5" t="s">
        <v>927</v>
      </c>
      <c r="C329" s="5" t="s">
        <v>928</v>
      </c>
      <c r="D329" s="5" t="s">
        <v>929</v>
      </c>
      <c r="E329" s="5" t="s">
        <v>97</v>
      </c>
    </row>
    <row r="330" spans="1:5" x14ac:dyDescent="0.25">
      <c r="A330" s="5">
        <v>26135</v>
      </c>
      <c r="B330" s="5" t="s">
        <v>930</v>
      </c>
      <c r="C330" s="5" t="s">
        <v>931</v>
      </c>
      <c r="D330" s="5" t="s">
        <v>84</v>
      </c>
      <c r="E330" s="5" t="s">
        <v>348</v>
      </c>
    </row>
    <row r="331" spans="1:5" x14ac:dyDescent="0.25">
      <c r="A331" s="5">
        <v>12117</v>
      </c>
      <c r="B331" s="5" t="s">
        <v>932</v>
      </c>
      <c r="C331" s="5" t="s">
        <v>933</v>
      </c>
      <c r="D331" s="5" t="s">
        <v>172</v>
      </c>
      <c r="E331" s="5" t="s">
        <v>140</v>
      </c>
    </row>
    <row r="332" spans="1:5" x14ac:dyDescent="0.25">
      <c r="A332" s="5">
        <v>15085</v>
      </c>
      <c r="B332" s="5" t="s">
        <v>934</v>
      </c>
      <c r="C332" s="5" t="s">
        <v>935</v>
      </c>
      <c r="D332" s="5" t="s">
        <v>246</v>
      </c>
      <c r="E332" s="5" t="s">
        <v>97</v>
      </c>
    </row>
    <row r="333" spans="1:5" x14ac:dyDescent="0.25">
      <c r="A333" s="5" t="s">
        <v>74</v>
      </c>
      <c r="B333" s="5" t="s">
        <v>936</v>
      </c>
      <c r="C333" s="5" t="s">
        <v>937</v>
      </c>
      <c r="D333" s="5" t="s">
        <v>74</v>
      </c>
      <c r="E333" s="5" t="s">
        <v>74</v>
      </c>
    </row>
    <row r="334" spans="1:5" x14ac:dyDescent="0.25">
      <c r="A334" s="5" t="s">
        <v>74</v>
      </c>
      <c r="B334" s="5" t="s">
        <v>938</v>
      </c>
      <c r="C334" s="5" t="s">
        <v>939</v>
      </c>
      <c r="D334" s="5" t="s">
        <v>74</v>
      </c>
      <c r="E334" s="5" t="s">
        <v>153</v>
      </c>
    </row>
    <row r="335" spans="1:5" x14ac:dyDescent="0.25">
      <c r="A335" s="5">
        <v>23045</v>
      </c>
      <c r="B335" s="5" t="s">
        <v>940</v>
      </c>
      <c r="C335" s="5" t="s">
        <v>941</v>
      </c>
      <c r="D335" s="5" t="s">
        <v>277</v>
      </c>
      <c r="E335" s="5" t="s">
        <v>188</v>
      </c>
    </row>
    <row r="336" spans="1:5" x14ac:dyDescent="0.25">
      <c r="A336" s="5" t="s">
        <v>74</v>
      </c>
      <c r="B336" s="5" t="s">
        <v>942</v>
      </c>
      <c r="C336" s="5" t="s">
        <v>943</v>
      </c>
      <c r="D336" s="5" t="s">
        <v>74</v>
      </c>
      <c r="E336" s="5" t="s">
        <v>140</v>
      </c>
    </row>
    <row r="337" spans="1:5" x14ac:dyDescent="0.25">
      <c r="A337" s="5" t="s">
        <v>74</v>
      </c>
      <c r="B337" s="5" t="s">
        <v>944</v>
      </c>
      <c r="C337" s="5" t="s">
        <v>945</v>
      </c>
      <c r="D337" s="5" t="s">
        <v>74</v>
      </c>
      <c r="E337" s="5" t="s">
        <v>74</v>
      </c>
    </row>
    <row r="338" spans="1:5" x14ac:dyDescent="0.25">
      <c r="A338" s="5">
        <v>17169</v>
      </c>
      <c r="B338" s="5" t="s">
        <v>946</v>
      </c>
      <c r="C338" s="5" t="s">
        <v>947</v>
      </c>
      <c r="D338" s="5" t="s">
        <v>172</v>
      </c>
      <c r="E338" s="5" t="s">
        <v>140</v>
      </c>
    </row>
    <row r="339" spans="1:5" x14ac:dyDescent="0.25">
      <c r="A339" s="5" t="s">
        <v>74</v>
      </c>
      <c r="B339" s="5" t="s">
        <v>948</v>
      </c>
      <c r="C339" s="5" t="s">
        <v>949</v>
      </c>
      <c r="D339" s="5" t="s">
        <v>74</v>
      </c>
      <c r="E339" s="5" t="s">
        <v>74</v>
      </c>
    </row>
    <row r="340" spans="1:5" x14ac:dyDescent="0.25">
      <c r="A340" s="5" t="s">
        <v>74</v>
      </c>
      <c r="B340" s="5" t="s">
        <v>950</v>
      </c>
      <c r="C340" s="5" t="s">
        <v>951</v>
      </c>
      <c r="D340" s="5" t="s">
        <v>74</v>
      </c>
      <c r="E340" s="5" t="s">
        <v>77</v>
      </c>
    </row>
    <row r="341" spans="1:5" x14ac:dyDescent="0.25">
      <c r="A341" s="5">
        <v>17127</v>
      </c>
      <c r="B341" s="5" t="s">
        <v>952</v>
      </c>
      <c r="C341" s="5" t="s">
        <v>953</v>
      </c>
      <c r="D341" s="5" t="s">
        <v>220</v>
      </c>
      <c r="E341" s="5" t="s">
        <v>72</v>
      </c>
    </row>
    <row r="342" spans="1:5" x14ac:dyDescent="0.25">
      <c r="A342" s="5" t="s">
        <v>74</v>
      </c>
      <c r="B342" s="5" t="s">
        <v>954</v>
      </c>
      <c r="C342" s="5" t="s">
        <v>955</v>
      </c>
      <c r="D342" s="5" t="s">
        <v>74</v>
      </c>
      <c r="E342" s="5" t="s">
        <v>74</v>
      </c>
    </row>
    <row r="343" spans="1:5" x14ac:dyDescent="0.25">
      <c r="A343" s="5" t="s">
        <v>74</v>
      </c>
      <c r="B343" s="5" t="s">
        <v>956</v>
      </c>
      <c r="C343" s="5" t="s">
        <v>957</v>
      </c>
      <c r="D343" s="5" t="s">
        <v>74</v>
      </c>
      <c r="E343" s="5" t="s">
        <v>74</v>
      </c>
    </row>
    <row r="344" spans="1:5" x14ac:dyDescent="0.25">
      <c r="A344" s="5">
        <v>19242</v>
      </c>
      <c r="B344" s="5" t="s">
        <v>958</v>
      </c>
      <c r="C344" s="5" t="s">
        <v>959</v>
      </c>
      <c r="D344" s="5" t="s">
        <v>408</v>
      </c>
      <c r="E344" s="5" t="s">
        <v>89</v>
      </c>
    </row>
    <row r="345" spans="1:5" x14ac:dyDescent="0.25">
      <c r="A345" s="5" t="s">
        <v>74</v>
      </c>
      <c r="B345" s="5" t="s">
        <v>960</v>
      </c>
      <c r="C345" s="5" t="s">
        <v>961</v>
      </c>
      <c r="D345" s="5" t="s">
        <v>74</v>
      </c>
      <c r="E345" s="5" t="s">
        <v>140</v>
      </c>
    </row>
    <row r="346" spans="1:5" x14ac:dyDescent="0.25">
      <c r="A346" s="5">
        <v>19004</v>
      </c>
      <c r="B346" s="5" t="s">
        <v>962</v>
      </c>
      <c r="C346" s="5" t="s">
        <v>963</v>
      </c>
      <c r="D346" s="5" t="s">
        <v>729</v>
      </c>
      <c r="E346" s="5" t="s">
        <v>153</v>
      </c>
    </row>
    <row r="347" spans="1:5" x14ac:dyDescent="0.25">
      <c r="A347" s="5">
        <v>17196</v>
      </c>
      <c r="B347" s="5" t="s">
        <v>964</v>
      </c>
      <c r="C347" s="5" t="s">
        <v>965</v>
      </c>
      <c r="D347" s="5" t="s">
        <v>386</v>
      </c>
      <c r="E347" s="5" t="s">
        <v>89</v>
      </c>
    </row>
    <row r="348" spans="1:5" x14ac:dyDescent="0.25">
      <c r="A348" s="5">
        <v>17072</v>
      </c>
      <c r="B348" s="5" t="s">
        <v>966</v>
      </c>
      <c r="C348" s="5" t="s">
        <v>967</v>
      </c>
      <c r="D348" s="5" t="s">
        <v>533</v>
      </c>
      <c r="E348" s="5" t="s">
        <v>312</v>
      </c>
    </row>
    <row r="349" spans="1:5" x14ac:dyDescent="0.25">
      <c r="A349" s="5">
        <v>15183</v>
      </c>
      <c r="B349" s="5" t="s">
        <v>968</v>
      </c>
      <c r="C349" s="5" t="s">
        <v>969</v>
      </c>
      <c r="D349" s="5" t="s">
        <v>606</v>
      </c>
      <c r="E349" s="5" t="s">
        <v>72</v>
      </c>
    </row>
    <row r="350" spans="1:5" x14ac:dyDescent="0.25">
      <c r="A350" s="5">
        <v>18217</v>
      </c>
      <c r="B350" s="5" t="s">
        <v>970</v>
      </c>
      <c r="C350" s="5" t="s">
        <v>971</v>
      </c>
      <c r="D350" s="5" t="s">
        <v>972</v>
      </c>
      <c r="E350" s="5" t="s">
        <v>72</v>
      </c>
    </row>
    <row r="351" spans="1:5" x14ac:dyDescent="0.25">
      <c r="A351" s="5">
        <v>18271</v>
      </c>
      <c r="B351" s="5" t="s">
        <v>973</v>
      </c>
      <c r="C351" s="5" t="s">
        <v>974</v>
      </c>
      <c r="D351" s="5" t="s">
        <v>739</v>
      </c>
      <c r="E351" s="5" t="s">
        <v>72</v>
      </c>
    </row>
    <row r="352" spans="1:5" x14ac:dyDescent="0.25">
      <c r="A352" s="5" t="s">
        <v>74</v>
      </c>
      <c r="B352" s="5" t="s">
        <v>975</v>
      </c>
      <c r="C352" s="5" t="s">
        <v>976</v>
      </c>
      <c r="D352" s="5" t="s">
        <v>74</v>
      </c>
      <c r="E352" s="5" t="s">
        <v>74</v>
      </c>
    </row>
    <row r="353" spans="1:5" x14ac:dyDescent="0.25">
      <c r="A353" s="5" t="s">
        <v>74</v>
      </c>
      <c r="B353" s="5" t="s">
        <v>977</v>
      </c>
      <c r="C353" s="5" t="s">
        <v>978</v>
      </c>
      <c r="D353" s="5" t="s">
        <v>74</v>
      </c>
      <c r="E353" s="5" t="s">
        <v>211</v>
      </c>
    </row>
    <row r="354" spans="1:5" x14ac:dyDescent="0.25">
      <c r="A354" s="5" t="s">
        <v>74</v>
      </c>
      <c r="B354" s="5" t="s">
        <v>979</v>
      </c>
      <c r="C354" s="5" t="s">
        <v>980</v>
      </c>
      <c r="D354" s="5" t="s">
        <v>74</v>
      </c>
      <c r="E354" s="5" t="s">
        <v>211</v>
      </c>
    </row>
    <row r="355" spans="1:5" x14ac:dyDescent="0.25">
      <c r="A355" s="5" t="s">
        <v>74</v>
      </c>
      <c r="B355" s="5" t="s">
        <v>981</v>
      </c>
      <c r="C355" s="5" t="s">
        <v>982</v>
      </c>
      <c r="D355" s="5" t="s">
        <v>74</v>
      </c>
      <c r="E355" s="5" t="s">
        <v>74</v>
      </c>
    </row>
    <row r="356" spans="1:5" x14ac:dyDescent="0.25">
      <c r="A356" s="5" t="s">
        <v>74</v>
      </c>
      <c r="B356" s="5" t="s">
        <v>983</v>
      </c>
      <c r="C356" s="5" t="s">
        <v>984</v>
      </c>
      <c r="D356" s="5" t="s">
        <v>74</v>
      </c>
      <c r="E356" s="5" t="s">
        <v>74</v>
      </c>
    </row>
    <row r="357" spans="1:5" x14ac:dyDescent="0.25">
      <c r="A357" s="5" t="s">
        <v>74</v>
      </c>
      <c r="B357" s="5" t="s">
        <v>985</v>
      </c>
      <c r="C357" s="5" t="s">
        <v>986</v>
      </c>
      <c r="D357" s="5" t="s">
        <v>74</v>
      </c>
      <c r="E357" s="5" t="s">
        <v>153</v>
      </c>
    </row>
    <row r="358" spans="1:5" x14ac:dyDescent="0.25">
      <c r="A358" s="5" t="s">
        <v>74</v>
      </c>
      <c r="B358" s="5" t="s">
        <v>987</v>
      </c>
      <c r="C358" s="5" t="s">
        <v>988</v>
      </c>
      <c r="D358" s="5" t="s">
        <v>74</v>
      </c>
      <c r="E358" s="5" t="s">
        <v>74</v>
      </c>
    </row>
    <row r="359" spans="1:5" x14ac:dyDescent="0.25">
      <c r="A359" s="5" t="s">
        <v>74</v>
      </c>
      <c r="B359" s="5" t="s">
        <v>989</v>
      </c>
      <c r="C359" s="5" t="s">
        <v>990</v>
      </c>
      <c r="D359" s="5" t="s">
        <v>74</v>
      </c>
      <c r="E359" s="5" t="s">
        <v>74</v>
      </c>
    </row>
    <row r="360" spans="1:5" x14ac:dyDescent="0.25">
      <c r="A360" s="5" t="s">
        <v>74</v>
      </c>
      <c r="B360" s="5" t="s">
        <v>991</v>
      </c>
      <c r="C360" s="5" t="s">
        <v>992</v>
      </c>
      <c r="D360" s="5" t="s">
        <v>74</v>
      </c>
      <c r="E360" s="5" t="s">
        <v>211</v>
      </c>
    </row>
    <row r="361" spans="1:5" x14ac:dyDescent="0.25">
      <c r="A361" s="5" t="s">
        <v>74</v>
      </c>
      <c r="B361" s="5" t="s">
        <v>993</v>
      </c>
      <c r="C361" s="5" t="s">
        <v>994</v>
      </c>
      <c r="D361" s="5" t="s">
        <v>74</v>
      </c>
      <c r="E361" s="5" t="s">
        <v>211</v>
      </c>
    </row>
    <row r="362" spans="1:5" x14ac:dyDescent="0.25">
      <c r="A362" s="5" t="s">
        <v>74</v>
      </c>
      <c r="B362" s="5" t="s">
        <v>995</v>
      </c>
      <c r="C362" s="5" t="s">
        <v>996</v>
      </c>
      <c r="D362" s="5" t="s">
        <v>74</v>
      </c>
      <c r="E362" s="5" t="s">
        <v>74</v>
      </c>
    </row>
    <row r="363" spans="1:5" x14ac:dyDescent="0.25">
      <c r="A363" s="5" t="s">
        <v>74</v>
      </c>
      <c r="B363" s="5" t="s">
        <v>997</v>
      </c>
      <c r="C363" s="5" t="s">
        <v>998</v>
      </c>
      <c r="D363" s="5" t="s">
        <v>74</v>
      </c>
      <c r="E363" s="5" t="s">
        <v>74</v>
      </c>
    </row>
    <row r="364" spans="1:5" x14ac:dyDescent="0.25">
      <c r="A364" s="5">
        <v>15200</v>
      </c>
      <c r="B364" s="5" t="s">
        <v>999</v>
      </c>
      <c r="C364" s="5" t="s">
        <v>1000</v>
      </c>
      <c r="D364" s="5" t="s">
        <v>507</v>
      </c>
      <c r="E364" s="5" t="s">
        <v>153</v>
      </c>
    </row>
    <row r="365" spans="1:5" x14ac:dyDescent="0.25">
      <c r="A365" s="5" t="s">
        <v>74</v>
      </c>
      <c r="B365" s="5" t="s">
        <v>1001</v>
      </c>
      <c r="C365" s="5" t="s">
        <v>1002</v>
      </c>
      <c r="D365" s="5" t="s">
        <v>74</v>
      </c>
      <c r="E365" s="5" t="s">
        <v>74</v>
      </c>
    </row>
    <row r="366" spans="1:5" x14ac:dyDescent="0.25">
      <c r="A366" s="5" t="s">
        <v>74</v>
      </c>
      <c r="B366" s="5" t="s">
        <v>1003</v>
      </c>
      <c r="C366" s="5" t="s">
        <v>1004</v>
      </c>
      <c r="D366" s="5" t="s">
        <v>74</v>
      </c>
      <c r="E366" s="5" t="s">
        <v>74</v>
      </c>
    </row>
    <row r="367" spans="1:5" x14ac:dyDescent="0.25">
      <c r="A367" s="5" t="s">
        <v>74</v>
      </c>
      <c r="B367" s="5" t="s">
        <v>1005</v>
      </c>
      <c r="C367" s="5" t="s">
        <v>1006</v>
      </c>
      <c r="D367" s="5" t="s">
        <v>892</v>
      </c>
      <c r="E367" s="5" t="s">
        <v>348</v>
      </c>
    </row>
    <row r="368" spans="1:5" x14ac:dyDescent="0.25">
      <c r="A368" s="5" t="s">
        <v>74</v>
      </c>
      <c r="B368" s="5" t="s">
        <v>1007</v>
      </c>
      <c r="C368" s="5" t="s">
        <v>1008</v>
      </c>
      <c r="D368" s="5" t="s">
        <v>74</v>
      </c>
      <c r="E368" s="5" t="s">
        <v>74</v>
      </c>
    </row>
    <row r="369" spans="1:5" x14ac:dyDescent="0.25">
      <c r="A369" s="5" t="s">
        <v>74</v>
      </c>
      <c r="B369" s="5" t="s">
        <v>1009</v>
      </c>
      <c r="C369" s="5" t="s">
        <v>1010</v>
      </c>
      <c r="D369" s="5" t="s">
        <v>74</v>
      </c>
      <c r="E369" s="5" t="s">
        <v>74</v>
      </c>
    </row>
    <row r="370" spans="1:5" x14ac:dyDescent="0.25">
      <c r="A370" s="5" t="s">
        <v>74</v>
      </c>
      <c r="B370" s="5" t="s">
        <v>1011</v>
      </c>
      <c r="C370" s="5" t="s">
        <v>1012</v>
      </c>
      <c r="D370" s="5" t="s">
        <v>74</v>
      </c>
      <c r="E370" s="5" t="s">
        <v>74</v>
      </c>
    </row>
    <row r="371" spans="1:5" x14ac:dyDescent="0.25">
      <c r="A371" s="5" t="s">
        <v>74</v>
      </c>
      <c r="B371" s="5" t="s">
        <v>1013</v>
      </c>
      <c r="C371" s="5" t="s">
        <v>1014</v>
      </c>
      <c r="D371" s="5" t="s">
        <v>74</v>
      </c>
      <c r="E371" s="5" t="s">
        <v>74</v>
      </c>
    </row>
    <row r="372" spans="1:5" x14ac:dyDescent="0.25">
      <c r="A372" s="5" t="s">
        <v>74</v>
      </c>
      <c r="B372" s="5" t="s">
        <v>1015</v>
      </c>
      <c r="C372" s="5" t="s">
        <v>1016</v>
      </c>
      <c r="D372" s="5" t="s">
        <v>74</v>
      </c>
      <c r="E372" s="5" t="s">
        <v>74</v>
      </c>
    </row>
    <row r="373" spans="1:5" x14ac:dyDescent="0.25">
      <c r="A373" s="5" t="s">
        <v>74</v>
      </c>
      <c r="B373" s="5" t="s">
        <v>1017</v>
      </c>
      <c r="C373" s="5" t="s">
        <v>1018</v>
      </c>
      <c r="D373" s="5" t="s">
        <v>74</v>
      </c>
      <c r="E373" s="5" t="s">
        <v>74</v>
      </c>
    </row>
    <row r="374" spans="1:5" x14ac:dyDescent="0.25">
      <c r="A374" s="5" t="s">
        <v>74</v>
      </c>
      <c r="B374" s="5" t="s">
        <v>1019</v>
      </c>
      <c r="C374" s="5" t="s">
        <v>1020</v>
      </c>
      <c r="D374" s="5" t="s">
        <v>74</v>
      </c>
      <c r="E374" s="5" t="s">
        <v>74</v>
      </c>
    </row>
    <row r="375" spans="1:5" x14ac:dyDescent="0.25">
      <c r="A375" s="5" t="s">
        <v>74</v>
      </c>
      <c r="B375" s="5" t="s">
        <v>1019</v>
      </c>
      <c r="C375" s="5" t="s">
        <v>1021</v>
      </c>
      <c r="D375" s="5" t="s">
        <v>74</v>
      </c>
      <c r="E375" s="5" t="s">
        <v>74</v>
      </c>
    </row>
    <row r="376" spans="1:5" x14ac:dyDescent="0.25">
      <c r="A376" s="5" t="s">
        <v>74</v>
      </c>
      <c r="B376" s="5" t="s">
        <v>1022</v>
      </c>
      <c r="C376" s="5" t="s">
        <v>1023</v>
      </c>
      <c r="D376" s="5" t="s">
        <v>74</v>
      </c>
      <c r="E376" s="5" t="s">
        <v>74</v>
      </c>
    </row>
    <row r="377" spans="1:5" x14ac:dyDescent="0.25">
      <c r="A377" s="5" t="s">
        <v>74</v>
      </c>
      <c r="B377" s="5" t="s">
        <v>1024</v>
      </c>
      <c r="C377" s="5" t="s">
        <v>1025</v>
      </c>
      <c r="D377" s="5" t="s">
        <v>74</v>
      </c>
      <c r="E377" s="5" t="s">
        <v>74</v>
      </c>
    </row>
    <row r="378" spans="1:5" x14ac:dyDescent="0.25">
      <c r="A378" s="5" t="s">
        <v>74</v>
      </c>
      <c r="B378" s="5" t="s">
        <v>1026</v>
      </c>
      <c r="C378" s="5" t="s">
        <v>1027</v>
      </c>
      <c r="D378" s="5" t="s">
        <v>74</v>
      </c>
      <c r="E378" s="5" t="s">
        <v>74</v>
      </c>
    </row>
    <row r="379" spans="1:5" x14ac:dyDescent="0.25">
      <c r="A379" s="5" t="s">
        <v>74</v>
      </c>
      <c r="B379" s="5" t="s">
        <v>1028</v>
      </c>
      <c r="C379" s="5" t="s">
        <v>1029</v>
      </c>
      <c r="D379" s="5" t="s">
        <v>74</v>
      </c>
      <c r="E379" s="5" t="s">
        <v>74</v>
      </c>
    </row>
    <row r="380" spans="1:5" x14ac:dyDescent="0.25">
      <c r="A380" s="5" t="s">
        <v>74</v>
      </c>
      <c r="B380" s="5" t="s">
        <v>1030</v>
      </c>
      <c r="C380" s="5" t="s">
        <v>1031</v>
      </c>
      <c r="D380" s="5" t="s">
        <v>74</v>
      </c>
      <c r="E380" s="5" t="s">
        <v>74</v>
      </c>
    </row>
    <row r="381" spans="1:5" x14ac:dyDescent="0.25">
      <c r="A381" s="5" t="s">
        <v>74</v>
      </c>
      <c r="B381" s="5" t="s">
        <v>1032</v>
      </c>
      <c r="C381" s="5" t="s">
        <v>1033</v>
      </c>
      <c r="D381" s="5" t="s">
        <v>74</v>
      </c>
      <c r="E381" s="5" t="s">
        <v>74</v>
      </c>
    </row>
    <row r="382" spans="1:5" x14ac:dyDescent="0.25">
      <c r="A382" s="5" t="s">
        <v>74</v>
      </c>
      <c r="B382" s="5" t="s">
        <v>1034</v>
      </c>
      <c r="C382" s="5" t="s">
        <v>1035</v>
      </c>
      <c r="D382" s="5" t="s">
        <v>74</v>
      </c>
      <c r="E382" s="5" t="s">
        <v>74</v>
      </c>
    </row>
    <row r="383" spans="1:5" x14ac:dyDescent="0.25">
      <c r="A383" s="5" t="s">
        <v>74</v>
      </c>
      <c r="B383" s="5" t="s">
        <v>1036</v>
      </c>
      <c r="C383" s="5" t="s">
        <v>1037</v>
      </c>
      <c r="D383" s="5" t="s">
        <v>74</v>
      </c>
      <c r="E383" s="5" t="s">
        <v>74</v>
      </c>
    </row>
    <row r="384" spans="1:5" x14ac:dyDescent="0.25">
      <c r="A384" s="5" t="s">
        <v>74</v>
      </c>
      <c r="B384" s="5" t="s">
        <v>1038</v>
      </c>
      <c r="C384" s="5" t="s">
        <v>1039</v>
      </c>
      <c r="D384" s="5" t="s">
        <v>74</v>
      </c>
      <c r="E384" s="5" t="s">
        <v>211</v>
      </c>
    </row>
    <row r="385" spans="1:5" x14ac:dyDescent="0.25">
      <c r="A385" s="5" t="s">
        <v>74</v>
      </c>
      <c r="B385" s="5" t="s">
        <v>1040</v>
      </c>
      <c r="C385" s="5" t="s">
        <v>1041</v>
      </c>
      <c r="D385" s="5" t="s">
        <v>74</v>
      </c>
      <c r="E385" s="5" t="s">
        <v>74</v>
      </c>
    </row>
    <row r="386" spans="1:5" x14ac:dyDescent="0.25">
      <c r="A386" s="5" t="s">
        <v>74</v>
      </c>
      <c r="B386" s="5" t="s">
        <v>1042</v>
      </c>
      <c r="C386" s="5" t="s">
        <v>1043</v>
      </c>
      <c r="D386" s="5" t="s">
        <v>74</v>
      </c>
      <c r="E386" s="5" t="s">
        <v>74</v>
      </c>
    </row>
    <row r="387" spans="1:5" x14ac:dyDescent="0.25">
      <c r="A387" s="5" t="s">
        <v>74</v>
      </c>
      <c r="B387" s="5" t="s">
        <v>1044</v>
      </c>
      <c r="C387" s="5" t="s">
        <v>1045</v>
      </c>
      <c r="D387" s="5" t="s">
        <v>74</v>
      </c>
      <c r="E387" s="5" t="s">
        <v>74</v>
      </c>
    </row>
    <row r="388" spans="1:5" x14ac:dyDescent="0.25">
      <c r="A388" s="5" t="s">
        <v>74</v>
      </c>
      <c r="B388" s="5" t="s">
        <v>1046</v>
      </c>
      <c r="C388" s="5" t="s">
        <v>1047</v>
      </c>
      <c r="D388" s="5" t="s">
        <v>74</v>
      </c>
      <c r="E388" s="5" t="s">
        <v>74</v>
      </c>
    </row>
    <row r="389" spans="1:5" x14ac:dyDescent="0.25">
      <c r="A389" s="5" t="s">
        <v>74</v>
      </c>
      <c r="B389" s="5" t="s">
        <v>1048</v>
      </c>
      <c r="C389" s="5" t="s">
        <v>1049</v>
      </c>
      <c r="D389" s="5" t="s">
        <v>74</v>
      </c>
      <c r="E389" s="5" t="s">
        <v>74</v>
      </c>
    </row>
    <row r="390" spans="1:5" x14ac:dyDescent="0.25">
      <c r="A390" s="5">
        <v>17006</v>
      </c>
      <c r="B390" s="5" t="s">
        <v>1050</v>
      </c>
      <c r="C390" s="5" t="s">
        <v>1051</v>
      </c>
      <c r="D390" s="5" t="s">
        <v>533</v>
      </c>
      <c r="E390" s="5" t="s">
        <v>89</v>
      </c>
    </row>
    <row r="391" spans="1:5" x14ac:dyDescent="0.25">
      <c r="A391" s="5" t="s">
        <v>74</v>
      </c>
      <c r="B391" s="5" t="s">
        <v>1052</v>
      </c>
      <c r="C391" s="5" t="s">
        <v>1053</v>
      </c>
      <c r="D391" s="5" t="s">
        <v>74</v>
      </c>
      <c r="E391" s="5" t="s">
        <v>74</v>
      </c>
    </row>
    <row r="392" spans="1:5" x14ac:dyDescent="0.25">
      <c r="A392" s="5" t="s">
        <v>74</v>
      </c>
      <c r="B392" s="5" t="s">
        <v>1054</v>
      </c>
      <c r="C392" s="5" t="s">
        <v>1055</v>
      </c>
      <c r="D392" s="5" t="s">
        <v>74</v>
      </c>
      <c r="E392" s="5" t="s">
        <v>211</v>
      </c>
    </row>
    <row r="393" spans="1:5" x14ac:dyDescent="0.25">
      <c r="A393" s="5" t="s">
        <v>74</v>
      </c>
      <c r="B393" s="5" t="s">
        <v>1056</v>
      </c>
      <c r="C393" s="5" t="s">
        <v>1057</v>
      </c>
      <c r="D393" s="5" t="s">
        <v>74</v>
      </c>
      <c r="E393" s="5" t="s">
        <v>74</v>
      </c>
    </row>
    <row r="394" spans="1:5" x14ac:dyDescent="0.25">
      <c r="A394" s="5" t="s">
        <v>74</v>
      </c>
      <c r="B394" s="5" t="s">
        <v>1058</v>
      </c>
      <c r="C394" s="5" t="s">
        <v>1059</v>
      </c>
      <c r="D394" s="5" t="s">
        <v>74</v>
      </c>
      <c r="E394" s="5" t="s">
        <v>74</v>
      </c>
    </row>
    <row r="395" spans="1:5" x14ac:dyDescent="0.25">
      <c r="A395" s="5" t="s">
        <v>74</v>
      </c>
      <c r="B395" s="5" t="s">
        <v>1060</v>
      </c>
      <c r="C395" s="5" t="s">
        <v>1061</v>
      </c>
      <c r="D395" s="5" t="s">
        <v>74</v>
      </c>
      <c r="E395" s="5" t="s">
        <v>74</v>
      </c>
    </row>
    <row r="396" spans="1:5" x14ac:dyDescent="0.25">
      <c r="A396" s="5" t="s">
        <v>74</v>
      </c>
      <c r="B396" s="5" t="s">
        <v>1062</v>
      </c>
      <c r="C396" s="5" t="s">
        <v>1063</v>
      </c>
      <c r="D396" s="5" t="s">
        <v>74</v>
      </c>
      <c r="E396" s="5" t="s">
        <v>74</v>
      </c>
    </row>
    <row r="397" spans="1:5" x14ac:dyDescent="0.25">
      <c r="A397" s="5" t="s">
        <v>74</v>
      </c>
      <c r="B397" s="5" t="s">
        <v>1064</v>
      </c>
      <c r="C397" s="5" t="s">
        <v>1065</v>
      </c>
      <c r="D397" s="5" t="s">
        <v>74</v>
      </c>
      <c r="E397" s="5" t="s">
        <v>74</v>
      </c>
    </row>
    <row r="398" spans="1:5" x14ac:dyDescent="0.25">
      <c r="A398" s="5" t="s">
        <v>74</v>
      </c>
      <c r="B398" s="5" t="s">
        <v>1066</v>
      </c>
      <c r="C398" s="5" t="s">
        <v>1067</v>
      </c>
      <c r="D398" s="5" t="s">
        <v>74</v>
      </c>
      <c r="E398" s="5" t="s">
        <v>74</v>
      </c>
    </row>
    <row r="399" spans="1:5" x14ac:dyDescent="0.25">
      <c r="A399" s="5" t="s">
        <v>74</v>
      </c>
      <c r="B399" s="5" t="s">
        <v>1068</v>
      </c>
      <c r="C399" s="5" t="s">
        <v>1069</v>
      </c>
      <c r="D399" s="5" t="s">
        <v>74</v>
      </c>
      <c r="E399" s="5" t="s">
        <v>74</v>
      </c>
    </row>
    <row r="400" spans="1:5" x14ac:dyDescent="0.25">
      <c r="A400" s="5" t="s">
        <v>74</v>
      </c>
      <c r="B400" s="5" t="s">
        <v>1070</v>
      </c>
      <c r="C400" s="5" t="s">
        <v>1071</v>
      </c>
      <c r="D400" s="5" t="s">
        <v>74</v>
      </c>
      <c r="E400" s="5" t="s">
        <v>188</v>
      </c>
    </row>
    <row r="401" spans="1:5" x14ac:dyDescent="0.25">
      <c r="A401" s="5" t="s">
        <v>74</v>
      </c>
      <c r="B401" s="5" t="s">
        <v>1072</v>
      </c>
      <c r="C401" s="5" t="s">
        <v>1073</v>
      </c>
      <c r="D401" s="5" t="s">
        <v>74</v>
      </c>
      <c r="E401" s="5" t="s">
        <v>74</v>
      </c>
    </row>
    <row r="402" spans="1:5" x14ac:dyDescent="0.25">
      <c r="A402" s="5" t="s">
        <v>74</v>
      </c>
      <c r="B402" s="5" t="s">
        <v>1074</v>
      </c>
      <c r="C402" s="5" t="s">
        <v>1075</v>
      </c>
      <c r="D402" s="5" t="s">
        <v>74</v>
      </c>
      <c r="E402" s="5" t="s">
        <v>51</v>
      </c>
    </row>
    <row r="403" spans="1:5" x14ac:dyDescent="0.25">
      <c r="A403" s="5" t="s">
        <v>74</v>
      </c>
      <c r="B403" s="5" t="s">
        <v>1076</v>
      </c>
      <c r="C403" s="5" t="s">
        <v>1077</v>
      </c>
      <c r="D403" s="5" t="s">
        <v>74</v>
      </c>
      <c r="E403" s="5" t="s">
        <v>74</v>
      </c>
    </row>
    <row r="404" spans="1:5" x14ac:dyDescent="0.25">
      <c r="A404" s="5" t="s">
        <v>74</v>
      </c>
      <c r="B404" s="5" t="s">
        <v>1078</v>
      </c>
      <c r="C404" s="5" t="s">
        <v>1079</v>
      </c>
      <c r="D404" s="5" t="s">
        <v>74</v>
      </c>
      <c r="E404" s="5" t="s">
        <v>74</v>
      </c>
    </row>
    <row r="405" spans="1:5" x14ac:dyDescent="0.25">
      <c r="A405" s="5" t="s">
        <v>74</v>
      </c>
      <c r="B405" s="5" t="s">
        <v>1080</v>
      </c>
      <c r="C405" s="5" t="s">
        <v>1081</v>
      </c>
      <c r="D405" s="5" t="s">
        <v>74</v>
      </c>
      <c r="E405" s="5" t="s">
        <v>74</v>
      </c>
    </row>
    <row r="406" spans="1:5" x14ac:dyDescent="0.25">
      <c r="A406" s="5" t="s">
        <v>74</v>
      </c>
      <c r="B406" s="5" t="s">
        <v>1082</v>
      </c>
      <c r="C406" s="5" t="s">
        <v>1083</v>
      </c>
      <c r="D406" s="5" t="s">
        <v>74</v>
      </c>
      <c r="E406" s="5" t="s">
        <v>74</v>
      </c>
    </row>
    <row r="407" spans="1:5" x14ac:dyDescent="0.25">
      <c r="A407" s="5" t="s">
        <v>74</v>
      </c>
      <c r="B407" s="5" t="s">
        <v>1084</v>
      </c>
      <c r="C407" s="5" t="s">
        <v>1085</v>
      </c>
      <c r="D407" s="5" t="s">
        <v>74</v>
      </c>
      <c r="E407" s="5" t="s">
        <v>74</v>
      </c>
    </row>
    <row r="408" spans="1:5" x14ac:dyDescent="0.25">
      <c r="A408" s="5" t="s">
        <v>74</v>
      </c>
      <c r="B408" s="5" t="s">
        <v>1086</v>
      </c>
      <c r="C408" s="5" t="s">
        <v>1087</v>
      </c>
      <c r="D408" s="5" t="s">
        <v>74</v>
      </c>
      <c r="E408" s="5" t="s">
        <v>74</v>
      </c>
    </row>
    <row r="409" spans="1:5" x14ac:dyDescent="0.25">
      <c r="A409" s="5" t="s">
        <v>74</v>
      </c>
      <c r="B409" s="5" t="s">
        <v>1088</v>
      </c>
      <c r="C409" s="5" t="s">
        <v>1089</v>
      </c>
      <c r="D409" s="5" t="s">
        <v>74</v>
      </c>
      <c r="E409" s="5" t="s">
        <v>74</v>
      </c>
    </row>
    <row r="410" spans="1:5" x14ac:dyDescent="0.25">
      <c r="A410" s="5" t="s">
        <v>74</v>
      </c>
      <c r="B410" s="5" t="s">
        <v>1090</v>
      </c>
      <c r="C410" s="5" t="s">
        <v>1091</v>
      </c>
      <c r="D410" s="5" t="s">
        <v>74</v>
      </c>
      <c r="E410" s="5" t="s">
        <v>211</v>
      </c>
    </row>
    <row r="411" spans="1:5" x14ac:dyDescent="0.25">
      <c r="A411" s="5" t="s">
        <v>74</v>
      </c>
      <c r="B411" s="5" t="s">
        <v>1092</v>
      </c>
      <c r="C411" s="5" t="s">
        <v>1093</v>
      </c>
      <c r="D411" s="5" t="s">
        <v>74</v>
      </c>
      <c r="E411" s="5" t="s">
        <v>74</v>
      </c>
    </row>
    <row r="412" spans="1:5" x14ac:dyDescent="0.25">
      <c r="A412" s="5">
        <v>18097</v>
      </c>
      <c r="B412" s="5" t="s">
        <v>1094</v>
      </c>
      <c r="C412" s="5" t="s">
        <v>1095</v>
      </c>
      <c r="D412" s="5" t="s">
        <v>74</v>
      </c>
      <c r="E412" s="5" t="s">
        <v>153</v>
      </c>
    </row>
    <row r="413" spans="1:5" x14ac:dyDescent="0.25">
      <c r="A413" s="5" t="s">
        <v>74</v>
      </c>
      <c r="B413" s="5" t="s">
        <v>1096</v>
      </c>
      <c r="C413" s="5" t="s">
        <v>1097</v>
      </c>
      <c r="D413" s="5" t="s">
        <v>74</v>
      </c>
      <c r="E413" s="5" t="s">
        <v>74</v>
      </c>
    </row>
    <row r="414" spans="1:5" x14ac:dyDescent="0.25">
      <c r="A414" s="5" t="s">
        <v>74</v>
      </c>
      <c r="B414" s="5" t="s">
        <v>1098</v>
      </c>
      <c r="C414" s="5" t="s">
        <v>1099</v>
      </c>
      <c r="D414" s="5" t="s">
        <v>74</v>
      </c>
      <c r="E414" s="5" t="s">
        <v>74</v>
      </c>
    </row>
    <row r="415" spans="1:5" x14ac:dyDescent="0.25">
      <c r="A415" s="5" t="s">
        <v>74</v>
      </c>
      <c r="B415" s="5" t="s">
        <v>1100</v>
      </c>
      <c r="C415" s="5" t="s">
        <v>1101</v>
      </c>
      <c r="D415" s="5" t="s">
        <v>74</v>
      </c>
      <c r="E415" s="5" t="s">
        <v>74</v>
      </c>
    </row>
    <row r="416" spans="1:5" x14ac:dyDescent="0.25">
      <c r="A416" s="5">
        <v>14172</v>
      </c>
      <c r="B416" s="5" t="s">
        <v>1102</v>
      </c>
      <c r="C416" s="5" t="s">
        <v>1103</v>
      </c>
      <c r="D416" s="5" t="s">
        <v>1104</v>
      </c>
      <c r="E416" s="5" t="s">
        <v>51</v>
      </c>
    </row>
    <row r="417" spans="1:5" x14ac:dyDescent="0.25">
      <c r="A417" s="5">
        <v>17054</v>
      </c>
      <c r="B417" s="5" t="s">
        <v>1105</v>
      </c>
      <c r="C417" s="5" t="s">
        <v>1106</v>
      </c>
      <c r="D417" s="5" t="s">
        <v>455</v>
      </c>
      <c r="E417" s="5" t="s">
        <v>206</v>
      </c>
    </row>
    <row r="418" spans="1:5" x14ac:dyDescent="0.25">
      <c r="A418" s="5">
        <v>26065</v>
      </c>
      <c r="B418" s="5" t="s">
        <v>1107</v>
      </c>
      <c r="C418" s="5" t="s">
        <v>1108</v>
      </c>
      <c r="D418" s="5" t="s">
        <v>1109</v>
      </c>
      <c r="E418" s="5" t="s">
        <v>188</v>
      </c>
    </row>
    <row r="419" spans="1:5" x14ac:dyDescent="0.25">
      <c r="A419" s="5">
        <v>14150</v>
      </c>
      <c r="B419" s="5" t="s">
        <v>1110</v>
      </c>
      <c r="C419" s="5" t="s">
        <v>1111</v>
      </c>
      <c r="D419" s="5" t="s">
        <v>329</v>
      </c>
      <c r="E419" s="5" t="s">
        <v>206</v>
      </c>
    </row>
    <row r="420" spans="1:5" x14ac:dyDescent="0.25">
      <c r="A420" s="5" t="s">
        <v>74</v>
      </c>
      <c r="B420" s="5" t="s">
        <v>1112</v>
      </c>
      <c r="C420" s="5" t="s">
        <v>1113</v>
      </c>
      <c r="D420" s="5" t="s">
        <v>74</v>
      </c>
      <c r="E420" s="5" t="s">
        <v>74</v>
      </c>
    </row>
    <row r="421" spans="1:5" x14ac:dyDescent="0.25">
      <c r="A421" s="5" t="s">
        <v>74</v>
      </c>
      <c r="B421" s="5" t="s">
        <v>1114</v>
      </c>
      <c r="C421" s="5" t="s">
        <v>1115</v>
      </c>
      <c r="D421" s="5" t="s">
        <v>74</v>
      </c>
      <c r="E421" s="5" t="s">
        <v>74</v>
      </c>
    </row>
    <row r="422" spans="1:5" x14ac:dyDescent="0.25">
      <c r="A422" s="5">
        <v>13330</v>
      </c>
      <c r="B422" s="5" t="s">
        <v>1116</v>
      </c>
      <c r="C422" s="5" t="s">
        <v>1117</v>
      </c>
      <c r="D422" s="5" t="s">
        <v>452</v>
      </c>
      <c r="E422" s="5" t="s">
        <v>153</v>
      </c>
    </row>
    <row r="423" spans="1:5" x14ac:dyDescent="0.25">
      <c r="A423" s="5" t="s">
        <v>74</v>
      </c>
      <c r="B423" s="5" t="s">
        <v>1118</v>
      </c>
      <c r="C423" s="5" t="s">
        <v>1119</v>
      </c>
      <c r="D423" s="5" t="s">
        <v>74</v>
      </c>
      <c r="E423" s="5" t="s">
        <v>153</v>
      </c>
    </row>
    <row r="424" spans="1:5" x14ac:dyDescent="0.25">
      <c r="A424" s="5" t="s">
        <v>74</v>
      </c>
      <c r="B424" s="5" t="s">
        <v>1120</v>
      </c>
      <c r="C424" s="5" t="s">
        <v>1121</v>
      </c>
      <c r="D424" s="5" t="s">
        <v>74</v>
      </c>
      <c r="E424" s="5" t="s">
        <v>74</v>
      </c>
    </row>
    <row r="425" spans="1:5" x14ac:dyDescent="0.25">
      <c r="A425" s="5" t="s">
        <v>74</v>
      </c>
      <c r="B425" s="5" t="s">
        <v>1122</v>
      </c>
      <c r="C425" s="5" t="s">
        <v>1123</v>
      </c>
      <c r="D425" s="5" t="s">
        <v>74</v>
      </c>
      <c r="E425" s="5" t="s">
        <v>74</v>
      </c>
    </row>
    <row r="426" spans="1:5" x14ac:dyDescent="0.25">
      <c r="A426" s="5" t="s">
        <v>74</v>
      </c>
      <c r="B426" s="5" t="s">
        <v>1124</v>
      </c>
      <c r="C426" s="5" t="s">
        <v>1125</v>
      </c>
      <c r="D426" s="5" t="s">
        <v>74</v>
      </c>
      <c r="E426" s="5" t="s">
        <v>74</v>
      </c>
    </row>
    <row r="427" spans="1:5" x14ac:dyDescent="0.25">
      <c r="A427" s="5" t="s">
        <v>74</v>
      </c>
      <c r="B427" s="5" t="s">
        <v>1126</v>
      </c>
      <c r="C427" s="5" t="s">
        <v>1127</v>
      </c>
      <c r="D427" s="5" t="s">
        <v>74</v>
      </c>
      <c r="E427" s="5" t="s">
        <v>74</v>
      </c>
    </row>
    <row r="428" spans="1:5" x14ac:dyDescent="0.25">
      <c r="A428" s="5" t="s">
        <v>74</v>
      </c>
      <c r="B428" s="5" t="s">
        <v>1128</v>
      </c>
      <c r="C428" s="5" t="s">
        <v>1129</v>
      </c>
      <c r="D428" s="5" t="s">
        <v>74</v>
      </c>
      <c r="E428" s="5" t="s">
        <v>74</v>
      </c>
    </row>
    <row r="429" spans="1:5" x14ac:dyDescent="0.25">
      <c r="A429" s="5" t="s">
        <v>74</v>
      </c>
      <c r="B429" s="5" t="s">
        <v>1130</v>
      </c>
      <c r="C429" s="5" t="s">
        <v>1131</v>
      </c>
      <c r="D429" s="5" t="s">
        <v>74</v>
      </c>
      <c r="E429" s="5" t="s">
        <v>74</v>
      </c>
    </row>
    <row r="430" spans="1:5" x14ac:dyDescent="0.25">
      <c r="A430" s="5">
        <v>13279</v>
      </c>
      <c r="B430" s="5" t="s">
        <v>1132</v>
      </c>
      <c r="C430" s="5" t="s">
        <v>1133</v>
      </c>
      <c r="D430" s="5" t="s">
        <v>507</v>
      </c>
      <c r="E430" s="5" t="s">
        <v>72</v>
      </c>
    </row>
    <row r="431" spans="1:5" x14ac:dyDescent="0.25">
      <c r="A431" s="5">
        <v>94008</v>
      </c>
      <c r="B431" s="5" t="s">
        <v>1134</v>
      </c>
      <c r="C431" s="5" t="s">
        <v>1135</v>
      </c>
      <c r="D431" s="5" t="s">
        <v>1136</v>
      </c>
      <c r="E431" s="5" t="s">
        <v>632</v>
      </c>
    </row>
    <row r="432" spans="1:5" x14ac:dyDescent="0.25">
      <c r="A432" s="5" t="s">
        <v>74</v>
      </c>
      <c r="B432" s="5" t="s">
        <v>1137</v>
      </c>
      <c r="C432" s="5" t="s">
        <v>1138</v>
      </c>
      <c r="D432" s="5" t="s">
        <v>74</v>
      </c>
      <c r="E432" s="5" t="s">
        <v>74</v>
      </c>
    </row>
    <row r="433" spans="1:5" x14ac:dyDescent="0.25">
      <c r="A433" s="5" t="s">
        <v>74</v>
      </c>
      <c r="B433" s="5" t="s">
        <v>1139</v>
      </c>
      <c r="C433" s="5" t="s">
        <v>1140</v>
      </c>
      <c r="D433" s="5" t="s">
        <v>74</v>
      </c>
      <c r="E433" s="5" t="s">
        <v>74</v>
      </c>
    </row>
    <row r="434" spans="1:5" x14ac:dyDescent="0.25">
      <c r="A434" s="5" t="s">
        <v>74</v>
      </c>
      <c r="B434" s="5" t="s">
        <v>1141</v>
      </c>
      <c r="C434" s="5" t="s">
        <v>1142</v>
      </c>
      <c r="D434" s="5" t="s">
        <v>74</v>
      </c>
      <c r="E434" s="5" t="s">
        <v>74</v>
      </c>
    </row>
    <row r="435" spans="1:5" x14ac:dyDescent="0.25">
      <c r="A435" s="5">
        <v>24052</v>
      </c>
      <c r="B435" s="5" t="s">
        <v>1143</v>
      </c>
      <c r="C435" s="5" t="s">
        <v>1144</v>
      </c>
      <c r="D435" s="5" t="s">
        <v>1145</v>
      </c>
      <c r="E435" s="5" t="s">
        <v>648</v>
      </c>
    </row>
    <row r="436" spans="1:5" x14ac:dyDescent="0.25">
      <c r="A436" s="5">
        <v>13283</v>
      </c>
      <c r="B436" s="5" t="s">
        <v>1146</v>
      </c>
      <c r="C436" s="5" t="s">
        <v>1147</v>
      </c>
      <c r="D436" s="5" t="s">
        <v>1148</v>
      </c>
      <c r="E436" s="5" t="s">
        <v>206</v>
      </c>
    </row>
    <row r="437" spans="1:5" x14ac:dyDescent="0.25">
      <c r="A437" s="5" t="s">
        <v>74</v>
      </c>
      <c r="B437" s="5" t="s">
        <v>1149</v>
      </c>
      <c r="C437" s="5" t="s">
        <v>1150</v>
      </c>
      <c r="D437" s="5" t="s">
        <v>74</v>
      </c>
      <c r="E437" s="5" t="s">
        <v>74</v>
      </c>
    </row>
    <row r="438" spans="1:5" x14ac:dyDescent="0.25">
      <c r="A438" s="5">
        <v>18152</v>
      </c>
      <c r="B438" s="5" t="s">
        <v>1151</v>
      </c>
      <c r="C438" s="5" t="s">
        <v>1152</v>
      </c>
      <c r="D438" s="5" t="s">
        <v>393</v>
      </c>
      <c r="E438" s="5" t="s">
        <v>89</v>
      </c>
    </row>
    <row r="439" spans="1:5" x14ac:dyDescent="0.25">
      <c r="A439" s="5">
        <v>14085</v>
      </c>
      <c r="B439" s="5" t="s">
        <v>1153</v>
      </c>
      <c r="C439" s="5" t="s">
        <v>1154</v>
      </c>
      <c r="D439" s="5" t="s">
        <v>169</v>
      </c>
      <c r="E439" s="5" t="s">
        <v>312</v>
      </c>
    </row>
    <row r="440" spans="1:5" x14ac:dyDescent="0.25">
      <c r="A440" s="5" t="s">
        <v>74</v>
      </c>
      <c r="B440" s="5" t="s">
        <v>1155</v>
      </c>
      <c r="C440" s="5" t="s">
        <v>1156</v>
      </c>
      <c r="D440" s="5" t="s">
        <v>74</v>
      </c>
      <c r="E440" s="5" t="s">
        <v>74</v>
      </c>
    </row>
    <row r="441" spans="1:5" x14ac:dyDescent="0.25">
      <c r="A441" s="5">
        <v>18054</v>
      </c>
      <c r="B441" s="5" t="s">
        <v>1157</v>
      </c>
      <c r="C441" s="5" t="s">
        <v>1158</v>
      </c>
      <c r="D441" s="5" t="s">
        <v>1159</v>
      </c>
      <c r="E441" s="5" t="s">
        <v>72</v>
      </c>
    </row>
    <row r="442" spans="1:5" x14ac:dyDescent="0.25">
      <c r="A442" s="5">
        <v>13069</v>
      </c>
      <c r="B442" s="5" t="s">
        <v>1160</v>
      </c>
      <c r="C442" s="5" t="s">
        <v>1161</v>
      </c>
      <c r="D442" s="5" t="s">
        <v>475</v>
      </c>
      <c r="E442" s="5" t="s">
        <v>72</v>
      </c>
    </row>
    <row r="443" spans="1:5" x14ac:dyDescent="0.25">
      <c r="A443" s="5">
        <v>18247</v>
      </c>
      <c r="B443" s="5" t="s">
        <v>1162</v>
      </c>
      <c r="C443" s="5" t="s">
        <v>1163</v>
      </c>
      <c r="D443" s="5" t="s">
        <v>1164</v>
      </c>
      <c r="E443" s="5" t="s">
        <v>211</v>
      </c>
    </row>
    <row r="444" spans="1:5" x14ac:dyDescent="0.25">
      <c r="A444" s="5">
        <v>18201</v>
      </c>
      <c r="B444" s="5" t="s">
        <v>1165</v>
      </c>
      <c r="C444" s="5" t="s">
        <v>1166</v>
      </c>
      <c r="D444" s="5" t="s">
        <v>1167</v>
      </c>
      <c r="E444" s="5" t="s">
        <v>72</v>
      </c>
    </row>
    <row r="445" spans="1:5" x14ac:dyDescent="0.25">
      <c r="A445" s="5">
        <v>27043</v>
      </c>
      <c r="B445" s="5" t="s">
        <v>1168</v>
      </c>
      <c r="C445" s="5" t="s">
        <v>1169</v>
      </c>
      <c r="D445" s="5" t="s">
        <v>533</v>
      </c>
      <c r="E445" s="5" t="s">
        <v>81</v>
      </c>
    </row>
    <row r="446" spans="1:5" x14ac:dyDescent="0.25">
      <c r="A446" s="5">
        <v>19294</v>
      </c>
      <c r="B446" s="5" t="s">
        <v>1170</v>
      </c>
      <c r="C446" s="5" t="s">
        <v>1171</v>
      </c>
      <c r="D446" s="5" t="s">
        <v>1167</v>
      </c>
      <c r="E446" s="5" t="s">
        <v>72</v>
      </c>
    </row>
    <row r="447" spans="1:5" x14ac:dyDescent="0.25">
      <c r="A447" s="5">
        <v>18275</v>
      </c>
      <c r="B447" s="5" t="s">
        <v>1172</v>
      </c>
      <c r="C447" s="5" t="s">
        <v>1173</v>
      </c>
      <c r="D447" s="5" t="s">
        <v>1174</v>
      </c>
      <c r="E447" s="5" t="s">
        <v>72</v>
      </c>
    </row>
    <row r="448" spans="1:5" x14ac:dyDescent="0.25">
      <c r="A448" s="5">
        <v>19201</v>
      </c>
      <c r="B448" s="5" t="s">
        <v>1175</v>
      </c>
      <c r="C448" s="5" t="s">
        <v>1176</v>
      </c>
      <c r="D448" s="5" t="s">
        <v>1177</v>
      </c>
      <c r="E448" s="5" t="s">
        <v>89</v>
      </c>
    </row>
    <row r="449" spans="1:5" x14ac:dyDescent="0.25">
      <c r="A449" s="5">
        <v>13271</v>
      </c>
      <c r="B449" s="5" t="s">
        <v>1178</v>
      </c>
      <c r="C449" s="5" t="s">
        <v>1179</v>
      </c>
      <c r="D449" s="5" t="s">
        <v>1180</v>
      </c>
      <c r="E449" s="5" t="s">
        <v>72</v>
      </c>
    </row>
    <row r="450" spans="1:5" x14ac:dyDescent="0.25">
      <c r="A450" s="5">
        <v>15192</v>
      </c>
      <c r="B450" s="5" t="s">
        <v>1181</v>
      </c>
      <c r="C450" s="5" t="s">
        <v>1182</v>
      </c>
      <c r="D450" s="5" t="s">
        <v>638</v>
      </c>
      <c r="E450" s="5" t="s">
        <v>153</v>
      </c>
    </row>
    <row r="451" spans="1:5" x14ac:dyDescent="0.25">
      <c r="A451" s="5" t="s">
        <v>74</v>
      </c>
      <c r="B451" s="5" t="s">
        <v>1183</v>
      </c>
      <c r="C451" s="5" t="s">
        <v>1184</v>
      </c>
      <c r="D451" s="5" t="s">
        <v>74</v>
      </c>
      <c r="E451" s="5" t="s">
        <v>74</v>
      </c>
    </row>
    <row r="452" spans="1:5" x14ac:dyDescent="0.25">
      <c r="A452" s="5" t="s">
        <v>74</v>
      </c>
      <c r="B452" s="5" t="s">
        <v>1185</v>
      </c>
      <c r="C452" s="5" t="s">
        <v>1186</v>
      </c>
      <c r="D452" s="5" t="s">
        <v>74</v>
      </c>
      <c r="E452" s="5" t="s">
        <v>74</v>
      </c>
    </row>
    <row r="453" spans="1:5" x14ac:dyDescent="0.25">
      <c r="A453" s="5" t="s">
        <v>74</v>
      </c>
      <c r="B453" s="5" t="s">
        <v>1187</v>
      </c>
      <c r="C453" s="5" t="s">
        <v>1188</v>
      </c>
      <c r="D453" s="5" t="s">
        <v>74</v>
      </c>
      <c r="E453" s="5" t="s">
        <v>74</v>
      </c>
    </row>
    <row r="454" spans="1:5" x14ac:dyDescent="0.25">
      <c r="A454" s="5" t="s">
        <v>74</v>
      </c>
      <c r="B454" s="5" t="s">
        <v>1189</v>
      </c>
      <c r="C454" s="5" t="s">
        <v>1190</v>
      </c>
      <c r="D454" s="5" t="s">
        <v>74</v>
      </c>
      <c r="E454" s="5" t="s">
        <v>74</v>
      </c>
    </row>
    <row r="455" spans="1:5" x14ac:dyDescent="0.25">
      <c r="A455" s="5" t="s">
        <v>74</v>
      </c>
      <c r="B455" s="5" t="s">
        <v>1191</v>
      </c>
      <c r="C455" s="5" t="s">
        <v>1192</v>
      </c>
      <c r="D455" s="5" t="s">
        <v>74</v>
      </c>
      <c r="E455" s="5" t="s">
        <v>74</v>
      </c>
    </row>
    <row r="456" spans="1:5" x14ac:dyDescent="0.25">
      <c r="A456" s="5" t="s">
        <v>74</v>
      </c>
      <c r="B456" s="5" t="s">
        <v>1193</v>
      </c>
      <c r="C456" s="5" t="s">
        <v>1194</v>
      </c>
      <c r="D456" s="5" t="s">
        <v>74</v>
      </c>
      <c r="E456" s="5" t="s">
        <v>74</v>
      </c>
    </row>
    <row r="457" spans="1:5" x14ac:dyDescent="0.25">
      <c r="A457" s="5" t="s">
        <v>1196</v>
      </c>
      <c r="B457" s="5" t="s">
        <v>1195</v>
      </c>
      <c r="C457" s="5" t="s">
        <v>1197</v>
      </c>
      <c r="D457" s="5" t="s">
        <v>1198</v>
      </c>
      <c r="E457" s="5" t="s">
        <v>93</v>
      </c>
    </row>
    <row r="458" spans="1:5" x14ac:dyDescent="0.25">
      <c r="A458" s="5">
        <v>19295</v>
      </c>
      <c r="B458" s="5" t="s">
        <v>1199</v>
      </c>
      <c r="C458" s="5" t="s">
        <v>1200</v>
      </c>
      <c r="D458" s="5" t="s">
        <v>220</v>
      </c>
      <c r="E458" s="5" t="s">
        <v>117</v>
      </c>
    </row>
    <row r="459" spans="1:5" x14ac:dyDescent="0.25">
      <c r="A459" s="5">
        <v>18135</v>
      </c>
      <c r="B459" s="5" t="s">
        <v>1201</v>
      </c>
      <c r="C459" s="5" t="s">
        <v>1202</v>
      </c>
      <c r="D459" s="5" t="s">
        <v>1203</v>
      </c>
      <c r="E459" s="5" t="s">
        <v>312</v>
      </c>
    </row>
    <row r="460" spans="1:5" x14ac:dyDescent="0.25">
      <c r="A460" s="5" t="s">
        <v>74</v>
      </c>
      <c r="B460" s="5" t="s">
        <v>1204</v>
      </c>
      <c r="C460" s="5" t="s">
        <v>1205</v>
      </c>
      <c r="D460" s="5" t="s">
        <v>74</v>
      </c>
      <c r="E460" s="5" t="s">
        <v>74</v>
      </c>
    </row>
    <row r="461" spans="1:5" x14ac:dyDescent="0.25">
      <c r="A461" s="5" t="s">
        <v>74</v>
      </c>
      <c r="B461" s="5" t="s">
        <v>1206</v>
      </c>
      <c r="C461" s="5" t="s">
        <v>1207</v>
      </c>
      <c r="D461" s="5" t="s">
        <v>74</v>
      </c>
      <c r="E461" s="5" t="s">
        <v>74</v>
      </c>
    </row>
    <row r="462" spans="1:5" x14ac:dyDescent="0.25">
      <c r="A462" s="5" t="s">
        <v>74</v>
      </c>
      <c r="B462" s="5" t="s">
        <v>1208</v>
      </c>
      <c r="C462" s="5" t="s">
        <v>1209</v>
      </c>
      <c r="D462" s="5" t="s">
        <v>74</v>
      </c>
      <c r="E462" s="5" t="s">
        <v>74</v>
      </c>
    </row>
    <row r="463" spans="1:5" x14ac:dyDescent="0.25">
      <c r="A463" s="5" t="s">
        <v>74</v>
      </c>
      <c r="B463" s="5" t="s">
        <v>1210</v>
      </c>
      <c r="C463" s="5" t="s">
        <v>1211</v>
      </c>
      <c r="D463" s="5" t="s">
        <v>74</v>
      </c>
      <c r="E463" s="5" t="s">
        <v>74</v>
      </c>
    </row>
    <row r="464" spans="1:5" x14ac:dyDescent="0.25">
      <c r="A464" s="5" t="s">
        <v>74</v>
      </c>
      <c r="B464" s="5" t="s">
        <v>1212</v>
      </c>
      <c r="C464" s="5" t="s">
        <v>1213</v>
      </c>
      <c r="D464" s="5" t="s">
        <v>74</v>
      </c>
      <c r="E464" s="5" t="s">
        <v>74</v>
      </c>
    </row>
    <row r="465" spans="1:5" x14ac:dyDescent="0.25">
      <c r="A465" s="5" t="s">
        <v>74</v>
      </c>
      <c r="B465" s="5" t="s">
        <v>1214</v>
      </c>
      <c r="C465" s="5" t="s">
        <v>1215</v>
      </c>
      <c r="D465" s="5" t="s">
        <v>74</v>
      </c>
      <c r="E465" s="5" t="s">
        <v>74</v>
      </c>
    </row>
    <row r="466" spans="1:5" x14ac:dyDescent="0.25">
      <c r="A466" s="5">
        <v>13114</v>
      </c>
      <c r="B466" s="5" t="s">
        <v>1216</v>
      </c>
      <c r="C466" s="5" t="s">
        <v>1217</v>
      </c>
      <c r="D466" s="5" t="s">
        <v>1218</v>
      </c>
      <c r="E466" s="5" t="s">
        <v>140</v>
      </c>
    </row>
    <row r="467" spans="1:5" x14ac:dyDescent="0.25">
      <c r="A467" s="5" t="s">
        <v>74</v>
      </c>
      <c r="B467" s="5" t="s">
        <v>1219</v>
      </c>
      <c r="C467" s="5" t="s">
        <v>1220</v>
      </c>
      <c r="D467" s="5" t="s">
        <v>74</v>
      </c>
      <c r="E467" s="5" t="s">
        <v>74</v>
      </c>
    </row>
    <row r="468" spans="1:5" x14ac:dyDescent="0.25">
      <c r="A468" s="5" t="s">
        <v>74</v>
      </c>
      <c r="B468" s="5" t="s">
        <v>1221</v>
      </c>
      <c r="C468" s="5" t="s">
        <v>1222</v>
      </c>
      <c r="D468" s="5" t="s">
        <v>74</v>
      </c>
      <c r="E468" s="5" t="s">
        <v>74</v>
      </c>
    </row>
    <row r="469" spans="1:5" x14ac:dyDescent="0.25">
      <c r="A469" s="5">
        <v>15216</v>
      </c>
      <c r="B469" s="5" t="s">
        <v>1223</v>
      </c>
      <c r="C469" s="5" t="s">
        <v>1224</v>
      </c>
      <c r="D469" s="5" t="s">
        <v>143</v>
      </c>
      <c r="E469" s="5" t="s">
        <v>188</v>
      </c>
    </row>
    <row r="470" spans="1:5" x14ac:dyDescent="0.25">
      <c r="A470" s="5" t="s">
        <v>74</v>
      </c>
      <c r="B470" s="5" t="s">
        <v>1225</v>
      </c>
      <c r="C470" s="5" t="s">
        <v>1226</v>
      </c>
      <c r="D470" s="5" t="s">
        <v>74</v>
      </c>
      <c r="E470" s="5" t="s">
        <v>74</v>
      </c>
    </row>
    <row r="471" spans="1:5" x14ac:dyDescent="0.25">
      <c r="A471" s="5" t="s">
        <v>74</v>
      </c>
      <c r="B471" s="5" t="s">
        <v>1227</v>
      </c>
      <c r="C471" s="5" t="s">
        <v>1228</v>
      </c>
      <c r="D471" s="5" t="s">
        <v>74</v>
      </c>
      <c r="E471" s="5" t="s">
        <v>74</v>
      </c>
    </row>
    <row r="472" spans="1:5" x14ac:dyDescent="0.25">
      <c r="A472" s="5" t="s">
        <v>74</v>
      </c>
      <c r="B472" s="5" t="s">
        <v>1229</v>
      </c>
      <c r="C472" s="5" t="s">
        <v>1230</v>
      </c>
      <c r="D472" s="5" t="s">
        <v>74</v>
      </c>
      <c r="E472" s="5" t="s">
        <v>74</v>
      </c>
    </row>
    <row r="473" spans="1:5" x14ac:dyDescent="0.25">
      <c r="A473" s="5" t="s">
        <v>74</v>
      </c>
      <c r="B473" s="5" t="s">
        <v>1231</v>
      </c>
      <c r="C473" s="5" t="s">
        <v>1232</v>
      </c>
      <c r="D473" s="5" t="s">
        <v>74</v>
      </c>
      <c r="E473" s="5" t="s">
        <v>74</v>
      </c>
    </row>
    <row r="474" spans="1:5" x14ac:dyDescent="0.25">
      <c r="A474" s="5" t="s">
        <v>74</v>
      </c>
      <c r="B474" s="5" t="s">
        <v>1233</v>
      </c>
      <c r="C474" s="5" t="s">
        <v>1234</v>
      </c>
      <c r="D474" s="5" t="s">
        <v>74</v>
      </c>
      <c r="E474" s="5" t="s">
        <v>74</v>
      </c>
    </row>
    <row r="475" spans="1:5" x14ac:dyDescent="0.25">
      <c r="A475" s="5" t="s">
        <v>74</v>
      </c>
      <c r="B475" s="5" t="s">
        <v>1235</v>
      </c>
      <c r="C475" s="5" t="s">
        <v>1235</v>
      </c>
      <c r="D475" s="5" t="s">
        <v>74</v>
      </c>
      <c r="E475" s="5" t="s">
        <v>74</v>
      </c>
    </row>
    <row r="476" spans="1:5" x14ac:dyDescent="0.25">
      <c r="A476" s="5">
        <v>12076</v>
      </c>
      <c r="B476" s="5" t="s">
        <v>1236</v>
      </c>
      <c r="C476" s="5" t="s">
        <v>1237</v>
      </c>
      <c r="D476" s="5" t="s">
        <v>1238</v>
      </c>
      <c r="E476" s="5" t="s">
        <v>89</v>
      </c>
    </row>
    <row r="477" spans="1:5" x14ac:dyDescent="0.25">
      <c r="A477" s="5">
        <v>14154</v>
      </c>
      <c r="B477" s="5" t="s">
        <v>1239</v>
      </c>
      <c r="C477" s="5" t="s">
        <v>1240</v>
      </c>
      <c r="D477" s="5" t="s">
        <v>752</v>
      </c>
      <c r="E477" s="5" t="s">
        <v>188</v>
      </c>
    </row>
    <row r="478" spans="1:5" x14ac:dyDescent="0.25">
      <c r="A478" s="5" t="s">
        <v>74</v>
      </c>
      <c r="B478" s="5" t="s">
        <v>1241</v>
      </c>
      <c r="C478" s="5" t="s">
        <v>1242</v>
      </c>
      <c r="D478" s="5" t="s">
        <v>1243</v>
      </c>
      <c r="E478" s="5" t="s">
        <v>479</v>
      </c>
    </row>
    <row r="479" spans="1:5" x14ac:dyDescent="0.25">
      <c r="A479" s="5">
        <v>26066</v>
      </c>
      <c r="B479" s="5" t="s">
        <v>1244</v>
      </c>
      <c r="C479" s="5" t="s">
        <v>1245</v>
      </c>
      <c r="D479" s="5" t="s">
        <v>552</v>
      </c>
      <c r="E479" s="5" t="s">
        <v>312</v>
      </c>
    </row>
    <row r="480" spans="1:5" x14ac:dyDescent="0.25">
      <c r="A480" s="5">
        <v>15088</v>
      </c>
      <c r="B480" s="5" t="s">
        <v>1246</v>
      </c>
      <c r="C480" s="5" t="s">
        <v>1247</v>
      </c>
      <c r="D480" s="5" t="s">
        <v>850</v>
      </c>
      <c r="E480" s="5" t="s">
        <v>89</v>
      </c>
    </row>
    <row r="481" spans="1:5" x14ac:dyDescent="0.25">
      <c r="A481" s="5">
        <v>99133</v>
      </c>
      <c r="B481" s="5" t="s">
        <v>1248</v>
      </c>
      <c r="C481" s="5" t="s">
        <v>1249</v>
      </c>
      <c r="D481" s="5" t="s">
        <v>1250</v>
      </c>
      <c r="E481" s="5" t="s">
        <v>206</v>
      </c>
    </row>
    <row r="482" spans="1:5" x14ac:dyDescent="0.25">
      <c r="A482" s="5" t="s">
        <v>74</v>
      </c>
      <c r="B482" s="5" t="s">
        <v>1251</v>
      </c>
      <c r="C482" s="5" t="s">
        <v>1252</v>
      </c>
      <c r="D482" s="5" t="s">
        <v>74</v>
      </c>
      <c r="E482" s="5" t="s">
        <v>74</v>
      </c>
    </row>
    <row r="483" spans="1:5" x14ac:dyDescent="0.25">
      <c r="A483" s="5">
        <v>25076</v>
      </c>
      <c r="B483" s="5" t="s">
        <v>1253</v>
      </c>
      <c r="C483" s="5" t="s">
        <v>1254</v>
      </c>
      <c r="D483" s="5" t="s">
        <v>425</v>
      </c>
      <c r="E483" s="5" t="s">
        <v>97</v>
      </c>
    </row>
    <row r="484" spans="1:5" x14ac:dyDescent="0.25">
      <c r="A484" s="5">
        <v>28045</v>
      </c>
      <c r="B484" s="5" t="s">
        <v>1255</v>
      </c>
      <c r="C484" s="5" t="s">
        <v>1256</v>
      </c>
      <c r="D484" s="5" t="s">
        <v>1257</v>
      </c>
      <c r="E484" s="5" t="s">
        <v>51</v>
      </c>
    </row>
    <row r="485" spans="1:5" x14ac:dyDescent="0.25">
      <c r="A485" s="5">
        <v>11060</v>
      </c>
      <c r="B485" s="5" t="s">
        <v>1258</v>
      </c>
      <c r="C485" s="5" t="s">
        <v>1259</v>
      </c>
      <c r="D485" s="5" t="s">
        <v>1260</v>
      </c>
      <c r="E485" s="5" t="s">
        <v>1261</v>
      </c>
    </row>
    <row r="486" spans="1:5" x14ac:dyDescent="0.25">
      <c r="A486" s="5">
        <v>23022</v>
      </c>
      <c r="B486" s="5" t="s">
        <v>1262</v>
      </c>
      <c r="C486" s="5" t="s">
        <v>1263</v>
      </c>
      <c r="D486" s="5" t="s">
        <v>1264</v>
      </c>
      <c r="E486" s="5" t="s">
        <v>1265</v>
      </c>
    </row>
    <row r="487" spans="1:5" x14ac:dyDescent="0.25">
      <c r="A487" s="5">
        <v>99090</v>
      </c>
      <c r="B487" s="5" t="s">
        <v>1266</v>
      </c>
      <c r="C487" s="5" t="s">
        <v>1267</v>
      </c>
      <c r="D487" s="5" t="s">
        <v>1268</v>
      </c>
      <c r="E487" s="5" t="s">
        <v>206</v>
      </c>
    </row>
    <row r="488" spans="1:5" x14ac:dyDescent="0.25">
      <c r="A488" s="5" t="s">
        <v>74</v>
      </c>
      <c r="B488" s="5" t="s">
        <v>1269</v>
      </c>
      <c r="C488" s="5" t="s">
        <v>1270</v>
      </c>
      <c r="D488" s="5" t="s">
        <v>74</v>
      </c>
      <c r="E488" s="5" t="s">
        <v>74</v>
      </c>
    </row>
    <row r="489" spans="1:5" x14ac:dyDescent="0.25">
      <c r="A489" s="5" t="s">
        <v>74</v>
      </c>
      <c r="B489" s="5" t="s">
        <v>1271</v>
      </c>
      <c r="C489" s="5" t="s">
        <v>1272</v>
      </c>
      <c r="D489" s="5" t="s">
        <v>74</v>
      </c>
      <c r="E489" s="5" t="s">
        <v>74</v>
      </c>
    </row>
    <row r="490" spans="1:5" x14ac:dyDescent="0.25">
      <c r="A490" s="5">
        <v>25039</v>
      </c>
      <c r="B490" s="5" t="s">
        <v>1273</v>
      </c>
      <c r="C490" s="5" t="s">
        <v>1274</v>
      </c>
      <c r="D490" s="5" t="s">
        <v>1275</v>
      </c>
      <c r="E490" s="5" t="s">
        <v>211</v>
      </c>
    </row>
    <row r="491" spans="1:5" x14ac:dyDescent="0.25">
      <c r="A491" s="5" t="s">
        <v>74</v>
      </c>
      <c r="B491" s="5" t="s">
        <v>1276</v>
      </c>
      <c r="C491" s="5" t="s">
        <v>1277</v>
      </c>
      <c r="D491" s="5" t="s">
        <v>74</v>
      </c>
      <c r="E491" s="5" t="s">
        <v>74</v>
      </c>
    </row>
    <row r="492" spans="1:5" x14ac:dyDescent="0.25">
      <c r="A492" s="5" t="s">
        <v>74</v>
      </c>
      <c r="B492" s="5" t="s">
        <v>1278</v>
      </c>
      <c r="C492" s="5" t="s">
        <v>1279</v>
      </c>
      <c r="D492" s="5" t="s">
        <v>74</v>
      </c>
      <c r="E492" s="5" t="s">
        <v>74</v>
      </c>
    </row>
    <row r="493" spans="1:5" x14ac:dyDescent="0.25">
      <c r="A493" s="5" t="s">
        <v>74</v>
      </c>
      <c r="B493" s="5" t="s">
        <v>1280</v>
      </c>
      <c r="C493" s="5" t="s">
        <v>1281</v>
      </c>
      <c r="D493" s="5" t="s">
        <v>74</v>
      </c>
      <c r="E493" s="5" t="s">
        <v>74</v>
      </c>
    </row>
    <row r="494" spans="1:5" x14ac:dyDescent="0.25">
      <c r="A494" s="5" t="s">
        <v>74</v>
      </c>
      <c r="B494" s="5" t="s">
        <v>1282</v>
      </c>
      <c r="C494" s="5" t="s">
        <v>1283</v>
      </c>
      <c r="D494" s="5" t="s">
        <v>74</v>
      </c>
      <c r="E494" s="5" t="s">
        <v>74</v>
      </c>
    </row>
    <row r="495" spans="1:5" x14ac:dyDescent="0.25">
      <c r="A495" s="5" t="s">
        <v>74</v>
      </c>
      <c r="B495" s="5" t="s">
        <v>1284</v>
      </c>
      <c r="C495" s="5" t="s">
        <v>1285</v>
      </c>
      <c r="D495" s="5" t="s">
        <v>74</v>
      </c>
      <c r="E495" s="5" t="s">
        <v>74</v>
      </c>
    </row>
    <row r="496" spans="1:5" x14ac:dyDescent="0.25">
      <c r="A496" s="5" t="s">
        <v>74</v>
      </c>
      <c r="B496" s="5" t="s">
        <v>1286</v>
      </c>
      <c r="C496" s="5" t="s">
        <v>1287</v>
      </c>
      <c r="D496" s="5" t="s">
        <v>74</v>
      </c>
      <c r="E496" s="5" t="s">
        <v>74</v>
      </c>
    </row>
    <row r="497" spans="1:5" x14ac:dyDescent="0.25">
      <c r="A497" s="5">
        <v>15100</v>
      </c>
      <c r="B497" s="5" t="s">
        <v>1288</v>
      </c>
      <c r="C497" s="5" t="s">
        <v>1289</v>
      </c>
      <c r="D497" s="5" t="s">
        <v>870</v>
      </c>
      <c r="E497" s="5" t="s">
        <v>89</v>
      </c>
    </row>
    <row r="498" spans="1:5" x14ac:dyDescent="0.25">
      <c r="A498" s="5">
        <v>19287</v>
      </c>
      <c r="B498" s="5" t="s">
        <v>1290</v>
      </c>
      <c r="C498" s="5" t="s">
        <v>1291</v>
      </c>
      <c r="D498" s="5" t="s">
        <v>1292</v>
      </c>
      <c r="E498" s="5" t="s">
        <v>188</v>
      </c>
    </row>
    <row r="499" spans="1:5" x14ac:dyDescent="0.25">
      <c r="A499" s="5" t="s">
        <v>74</v>
      </c>
      <c r="B499" s="5" t="s">
        <v>1293</v>
      </c>
      <c r="C499" s="5" t="s">
        <v>1294</v>
      </c>
      <c r="D499" s="5" t="s">
        <v>74</v>
      </c>
      <c r="E499" s="5" t="s">
        <v>74</v>
      </c>
    </row>
    <row r="500" spans="1:5" x14ac:dyDescent="0.25">
      <c r="A500" s="5" t="s">
        <v>74</v>
      </c>
      <c r="B500" s="5" t="s">
        <v>1295</v>
      </c>
      <c r="C500" s="5" t="s">
        <v>1296</v>
      </c>
      <c r="D500" s="5" t="s">
        <v>74</v>
      </c>
      <c r="E500" s="5" t="s">
        <v>74</v>
      </c>
    </row>
    <row r="501" spans="1:5" x14ac:dyDescent="0.25">
      <c r="A501" s="5" t="s">
        <v>74</v>
      </c>
      <c r="B501" s="5" t="s">
        <v>1297</v>
      </c>
      <c r="C501" s="5" t="s">
        <v>1298</v>
      </c>
      <c r="D501" s="5" t="s">
        <v>74</v>
      </c>
      <c r="E501" s="5" t="s">
        <v>74</v>
      </c>
    </row>
    <row r="502" spans="1:5" x14ac:dyDescent="0.25">
      <c r="A502" s="5" t="s">
        <v>74</v>
      </c>
      <c r="B502" s="5" t="s">
        <v>1299</v>
      </c>
      <c r="C502" s="5" t="s">
        <v>1300</v>
      </c>
      <c r="D502" s="5" t="s">
        <v>74</v>
      </c>
      <c r="E502" s="5" t="s">
        <v>74</v>
      </c>
    </row>
    <row r="503" spans="1:5" x14ac:dyDescent="0.25">
      <c r="A503" s="5" t="s">
        <v>74</v>
      </c>
      <c r="B503" s="5" t="s">
        <v>1301</v>
      </c>
      <c r="C503" s="5" t="s">
        <v>1302</v>
      </c>
      <c r="D503" s="5" t="s">
        <v>74</v>
      </c>
      <c r="E503" s="5" t="s">
        <v>74</v>
      </c>
    </row>
    <row r="504" spans="1:5" x14ac:dyDescent="0.25">
      <c r="A504" s="5" t="s">
        <v>74</v>
      </c>
      <c r="B504" s="5" t="s">
        <v>1303</v>
      </c>
      <c r="C504" s="5" t="s">
        <v>1304</v>
      </c>
      <c r="D504" s="5" t="s">
        <v>74</v>
      </c>
      <c r="E504" s="5" t="s">
        <v>74</v>
      </c>
    </row>
    <row r="505" spans="1:5" x14ac:dyDescent="0.25">
      <c r="A505" s="5" t="s">
        <v>74</v>
      </c>
      <c r="B505" s="5" t="s">
        <v>1305</v>
      </c>
      <c r="C505" s="5" t="s">
        <v>1306</v>
      </c>
      <c r="D505" s="5" t="s">
        <v>74</v>
      </c>
      <c r="E505" s="5" t="s">
        <v>74</v>
      </c>
    </row>
    <row r="506" spans="1:5" x14ac:dyDescent="0.25">
      <c r="A506" s="5" t="s">
        <v>74</v>
      </c>
      <c r="B506" s="5" t="s">
        <v>1307</v>
      </c>
      <c r="C506" s="5" t="s">
        <v>1308</v>
      </c>
      <c r="D506" s="5" t="s">
        <v>74</v>
      </c>
      <c r="E506" s="5" t="s">
        <v>74</v>
      </c>
    </row>
    <row r="507" spans="1:5" x14ac:dyDescent="0.25">
      <c r="A507" s="5" t="s">
        <v>74</v>
      </c>
      <c r="B507" s="5" t="s">
        <v>1309</v>
      </c>
      <c r="C507" s="5" t="s">
        <v>1310</v>
      </c>
      <c r="D507" s="5" t="s">
        <v>74</v>
      </c>
      <c r="E507" s="5" t="s">
        <v>74</v>
      </c>
    </row>
    <row r="508" spans="1:5" x14ac:dyDescent="0.25">
      <c r="A508" s="5" t="s">
        <v>74</v>
      </c>
      <c r="B508" s="5" t="s">
        <v>1311</v>
      </c>
      <c r="C508" s="5" t="s">
        <v>1312</v>
      </c>
      <c r="D508" s="5" t="s">
        <v>74</v>
      </c>
      <c r="E508" s="5" t="s">
        <v>74</v>
      </c>
    </row>
    <row r="509" spans="1:5" x14ac:dyDescent="0.25">
      <c r="A509" s="5" t="s">
        <v>74</v>
      </c>
      <c r="B509" s="5" t="s">
        <v>1313</v>
      </c>
      <c r="C509" s="5" t="s">
        <v>1314</v>
      </c>
      <c r="D509" s="5" t="s">
        <v>74</v>
      </c>
      <c r="E509" s="5" t="s">
        <v>74</v>
      </c>
    </row>
    <row r="510" spans="1:5" x14ac:dyDescent="0.25">
      <c r="A510" s="5" t="s">
        <v>74</v>
      </c>
      <c r="B510" s="5" t="s">
        <v>1315</v>
      </c>
      <c r="C510" s="5" t="s">
        <v>1316</v>
      </c>
      <c r="D510" s="5" t="s">
        <v>74</v>
      </c>
      <c r="E510" s="5" t="s">
        <v>74</v>
      </c>
    </row>
    <row r="511" spans="1:5" x14ac:dyDescent="0.25">
      <c r="A511" s="5">
        <v>17148</v>
      </c>
      <c r="B511" s="5" t="s">
        <v>1317</v>
      </c>
      <c r="C511" s="5" t="s">
        <v>1318</v>
      </c>
      <c r="D511" s="5" t="s">
        <v>294</v>
      </c>
      <c r="E511" s="5" t="s">
        <v>97</v>
      </c>
    </row>
    <row r="512" spans="1:5" x14ac:dyDescent="0.25">
      <c r="A512" s="5" t="s">
        <v>74</v>
      </c>
      <c r="B512" s="5" t="s">
        <v>1319</v>
      </c>
      <c r="C512" s="5" t="s">
        <v>1320</v>
      </c>
      <c r="D512" s="5" t="s">
        <v>585</v>
      </c>
      <c r="E512" s="5" t="s">
        <v>181</v>
      </c>
    </row>
    <row r="513" spans="1:5" x14ac:dyDescent="0.25">
      <c r="A513" s="5">
        <v>14014</v>
      </c>
      <c r="B513" s="5" t="s">
        <v>1321</v>
      </c>
      <c r="C513" s="5" t="s">
        <v>1322</v>
      </c>
      <c r="D513" s="5" t="s">
        <v>191</v>
      </c>
      <c r="E513" s="5" t="s">
        <v>97</v>
      </c>
    </row>
    <row r="514" spans="1:5" x14ac:dyDescent="0.25">
      <c r="A514" s="5">
        <v>17106</v>
      </c>
      <c r="B514" s="5" t="s">
        <v>1323</v>
      </c>
      <c r="C514" s="5" t="s">
        <v>1324</v>
      </c>
      <c r="D514" s="5" t="s">
        <v>1325</v>
      </c>
      <c r="E514" s="5" t="s">
        <v>97</v>
      </c>
    </row>
    <row r="515" spans="1:5" x14ac:dyDescent="0.25">
      <c r="A515" s="5">
        <v>18072</v>
      </c>
      <c r="B515" s="5" t="s">
        <v>1326</v>
      </c>
      <c r="C515" s="5" t="s">
        <v>1327</v>
      </c>
      <c r="D515" s="5" t="s">
        <v>1328</v>
      </c>
      <c r="E515" s="5" t="s">
        <v>181</v>
      </c>
    </row>
    <row r="516" spans="1:5" x14ac:dyDescent="0.25">
      <c r="A516" s="5">
        <v>19267</v>
      </c>
      <c r="B516" s="5" t="s">
        <v>1329</v>
      </c>
      <c r="C516" s="5" t="s">
        <v>1330</v>
      </c>
      <c r="D516" s="5" t="s">
        <v>1331</v>
      </c>
      <c r="E516" s="5" t="s">
        <v>89</v>
      </c>
    </row>
    <row r="517" spans="1:5" x14ac:dyDescent="0.25">
      <c r="A517" s="5">
        <v>15106</v>
      </c>
      <c r="B517" s="5" t="s">
        <v>1332</v>
      </c>
      <c r="C517" s="5" t="s">
        <v>1333</v>
      </c>
      <c r="D517" s="5" t="s">
        <v>1334</v>
      </c>
      <c r="E517" s="5" t="s">
        <v>312</v>
      </c>
    </row>
    <row r="518" spans="1:5" x14ac:dyDescent="0.25">
      <c r="A518" s="5">
        <v>99051</v>
      </c>
      <c r="B518" s="5" t="s">
        <v>1335</v>
      </c>
      <c r="C518" s="5" t="s">
        <v>1336</v>
      </c>
      <c r="D518" s="5" t="s">
        <v>507</v>
      </c>
      <c r="E518" s="5" t="s">
        <v>72</v>
      </c>
    </row>
    <row r="519" spans="1:5" x14ac:dyDescent="0.25">
      <c r="A519" s="5">
        <v>27074</v>
      </c>
      <c r="B519" s="5" t="s">
        <v>1337</v>
      </c>
      <c r="C519" s="5" t="s">
        <v>1338</v>
      </c>
      <c r="D519" s="5" t="s">
        <v>552</v>
      </c>
      <c r="E519" s="5" t="s">
        <v>312</v>
      </c>
    </row>
    <row r="520" spans="1:5" x14ac:dyDescent="0.25">
      <c r="A520" s="5">
        <v>99117</v>
      </c>
      <c r="B520" s="5" t="s">
        <v>1339</v>
      </c>
      <c r="C520" s="5" t="s">
        <v>1340</v>
      </c>
      <c r="D520" s="5" t="s">
        <v>1341</v>
      </c>
      <c r="E520" s="5" t="s">
        <v>188</v>
      </c>
    </row>
    <row r="521" spans="1:5" x14ac:dyDescent="0.25">
      <c r="A521" s="5">
        <v>96014</v>
      </c>
      <c r="B521" s="5" t="s">
        <v>1342</v>
      </c>
      <c r="C521" s="5" t="s">
        <v>1343</v>
      </c>
      <c r="D521" s="5" t="s">
        <v>1250</v>
      </c>
      <c r="E521" s="5" t="s">
        <v>206</v>
      </c>
    </row>
    <row r="522" spans="1:5" x14ac:dyDescent="0.25">
      <c r="A522" s="5">
        <v>12041</v>
      </c>
      <c r="B522" s="5" t="s">
        <v>1344</v>
      </c>
      <c r="C522" s="5" t="s">
        <v>1345</v>
      </c>
      <c r="D522" s="5" t="s">
        <v>1346</v>
      </c>
      <c r="E522" s="5" t="s">
        <v>89</v>
      </c>
    </row>
    <row r="523" spans="1:5" x14ac:dyDescent="0.25">
      <c r="A523" s="5">
        <v>19163</v>
      </c>
      <c r="B523" s="5" t="s">
        <v>1347</v>
      </c>
      <c r="C523" s="5" t="s">
        <v>1348</v>
      </c>
      <c r="D523" s="5" t="s">
        <v>1349</v>
      </c>
      <c r="E523" s="5" t="s">
        <v>206</v>
      </c>
    </row>
    <row r="524" spans="1:5" x14ac:dyDescent="0.25">
      <c r="A524" s="5" t="s">
        <v>74</v>
      </c>
      <c r="B524" s="5" t="s">
        <v>1350</v>
      </c>
      <c r="C524" s="5" t="s">
        <v>1351</v>
      </c>
      <c r="D524" s="5" t="s">
        <v>74</v>
      </c>
      <c r="E524" s="5" t="s">
        <v>74</v>
      </c>
    </row>
    <row r="525" spans="1:5" x14ac:dyDescent="0.25">
      <c r="A525" s="5" t="s">
        <v>74</v>
      </c>
      <c r="B525" s="5" t="s">
        <v>1352</v>
      </c>
      <c r="C525" s="5" t="s">
        <v>1353</v>
      </c>
      <c r="D525" s="5" t="s">
        <v>74</v>
      </c>
      <c r="E525" s="5" t="s">
        <v>74</v>
      </c>
    </row>
    <row r="526" spans="1:5" x14ac:dyDescent="0.25">
      <c r="A526" s="5" t="s">
        <v>74</v>
      </c>
      <c r="B526" s="5" t="s">
        <v>1354</v>
      </c>
      <c r="C526" s="5" t="s">
        <v>1355</v>
      </c>
      <c r="D526" s="5" t="s">
        <v>74</v>
      </c>
      <c r="E526" s="5" t="s">
        <v>74</v>
      </c>
    </row>
    <row r="527" spans="1:5" x14ac:dyDescent="0.25">
      <c r="A527" s="5">
        <v>13360</v>
      </c>
      <c r="B527" s="5" t="s">
        <v>1356</v>
      </c>
      <c r="C527" s="5" t="s">
        <v>1357</v>
      </c>
      <c r="D527" s="5" t="s">
        <v>1358</v>
      </c>
      <c r="E527" s="5" t="s">
        <v>72</v>
      </c>
    </row>
    <row r="528" spans="1:5" x14ac:dyDescent="0.25">
      <c r="A528" s="5" t="s">
        <v>74</v>
      </c>
      <c r="B528" s="5" t="s">
        <v>1359</v>
      </c>
      <c r="C528" s="5" t="s">
        <v>1360</v>
      </c>
      <c r="D528" s="5" t="s">
        <v>74</v>
      </c>
      <c r="E528" s="5" t="s">
        <v>74</v>
      </c>
    </row>
    <row r="529" spans="1:5" x14ac:dyDescent="0.25">
      <c r="A529" s="5" t="s">
        <v>74</v>
      </c>
      <c r="B529" s="5" t="s">
        <v>1361</v>
      </c>
      <c r="C529" s="5" t="s">
        <v>1362</v>
      </c>
      <c r="D529" s="5" t="s">
        <v>74</v>
      </c>
      <c r="E529" s="5" t="s">
        <v>74</v>
      </c>
    </row>
    <row r="530" spans="1:5" x14ac:dyDescent="0.25">
      <c r="A530" s="5">
        <v>26028</v>
      </c>
      <c r="B530" s="5" t="s">
        <v>1363</v>
      </c>
      <c r="C530" s="5" t="s">
        <v>1364</v>
      </c>
      <c r="D530" s="5" t="s">
        <v>929</v>
      </c>
      <c r="E530" s="5" t="s">
        <v>479</v>
      </c>
    </row>
    <row r="531" spans="1:5" x14ac:dyDescent="0.25">
      <c r="A531" s="5" t="s">
        <v>74</v>
      </c>
      <c r="B531" s="5" t="s">
        <v>1365</v>
      </c>
      <c r="C531" s="5" t="s">
        <v>1366</v>
      </c>
      <c r="D531" s="5" t="s">
        <v>74</v>
      </c>
      <c r="E531" s="5" t="s">
        <v>74</v>
      </c>
    </row>
    <row r="532" spans="1:5" x14ac:dyDescent="0.25">
      <c r="A532" s="5" t="s">
        <v>74</v>
      </c>
      <c r="B532" s="5" t="s">
        <v>1367</v>
      </c>
      <c r="C532" s="5" t="s">
        <v>1368</v>
      </c>
      <c r="D532" s="5" t="s">
        <v>74</v>
      </c>
      <c r="E532" s="5" t="s">
        <v>181</v>
      </c>
    </row>
    <row r="533" spans="1:5" x14ac:dyDescent="0.25">
      <c r="A533" s="5" t="s">
        <v>74</v>
      </c>
      <c r="B533" s="5" t="s">
        <v>1369</v>
      </c>
      <c r="C533" s="5" t="s">
        <v>1370</v>
      </c>
      <c r="D533" s="5" t="s">
        <v>74</v>
      </c>
      <c r="E533" s="5" t="s">
        <v>74</v>
      </c>
    </row>
    <row r="534" spans="1:5" x14ac:dyDescent="0.25">
      <c r="A534" s="5" t="s">
        <v>74</v>
      </c>
      <c r="B534" s="5" t="s">
        <v>1371</v>
      </c>
      <c r="C534" s="5" t="s">
        <v>1372</v>
      </c>
      <c r="D534" s="5" t="s">
        <v>74</v>
      </c>
      <c r="E534" s="5" t="s">
        <v>181</v>
      </c>
    </row>
    <row r="535" spans="1:5" x14ac:dyDescent="0.25">
      <c r="A535" s="5" t="s">
        <v>74</v>
      </c>
      <c r="B535" s="5" t="s">
        <v>1373</v>
      </c>
      <c r="C535" s="5" t="s">
        <v>1374</v>
      </c>
      <c r="D535" s="5" t="s">
        <v>74</v>
      </c>
      <c r="E535" s="5" t="s">
        <v>74</v>
      </c>
    </row>
    <row r="536" spans="1:5" x14ac:dyDescent="0.25">
      <c r="A536" s="5" t="s">
        <v>74</v>
      </c>
      <c r="B536" s="5" t="s">
        <v>1375</v>
      </c>
      <c r="C536" s="5" t="s">
        <v>1376</v>
      </c>
      <c r="D536" s="5" t="s">
        <v>74</v>
      </c>
      <c r="E536" s="5" t="s">
        <v>181</v>
      </c>
    </row>
    <row r="537" spans="1:5" x14ac:dyDescent="0.25">
      <c r="A537" s="5" t="s">
        <v>74</v>
      </c>
      <c r="B537" s="5" t="s">
        <v>1377</v>
      </c>
      <c r="C537" s="5" t="s">
        <v>1378</v>
      </c>
      <c r="D537" s="5" t="s">
        <v>74</v>
      </c>
      <c r="E537" s="5" t="s">
        <v>181</v>
      </c>
    </row>
    <row r="538" spans="1:5" x14ac:dyDescent="0.25">
      <c r="A538" s="5" t="s">
        <v>74</v>
      </c>
      <c r="B538" s="5" t="s">
        <v>1379</v>
      </c>
      <c r="C538" s="5" t="s">
        <v>1380</v>
      </c>
      <c r="D538" s="5" t="s">
        <v>74</v>
      </c>
      <c r="E538" s="5" t="s">
        <v>74</v>
      </c>
    </row>
    <row r="539" spans="1:5" x14ac:dyDescent="0.25">
      <c r="A539" s="5" t="s">
        <v>74</v>
      </c>
      <c r="B539" s="5" t="s">
        <v>1381</v>
      </c>
      <c r="C539" s="5" t="s">
        <v>1382</v>
      </c>
      <c r="D539" s="5" t="s">
        <v>74</v>
      </c>
      <c r="E539" s="5" t="s">
        <v>181</v>
      </c>
    </row>
    <row r="540" spans="1:5" x14ac:dyDescent="0.25">
      <c r="A540" s="5" t="s">
        <v>74</v>
      </c>
      <c r="B540" s="5" t="s">
        <v>1383</v>
      </c>
      <c r="C540" s="5" t="s">
        <v>1384</v>
      </c>
      <c r="D540" s="5" t="s">
        <v>74</v>
      </c>
      <c r="E540" s="5" t="s">
        <v>181</v>
      </c>
    </row>
    <row r="541" spans="1:5" x14ac:dyDescent="0.25">
      <c r="A541" s="5" t="s">
        <v>74</v>
      </c>
      <c r="B541" s="5" t="s">
        <v>1385</v>
      </c>
      <c r="C541" s="5" t="s">
        <v>1386</v>
      </c>
      <c r="D541" s="5" t="s">
        <v>74</v>
      </c>
      <c r="E541" s="5" t="s">
        <v>74</v>
      </c>
    </row>
    <row r="542" spans="1:5" x14ac:dyDescent="0.25">
      <c r="A542" s="5" t="s">
        <v>74</v>
      </c>
      <c r="B542" s="5" t="s">
        <v>1387</v>
      </c>
      <c r="C542" s="5" t="s">
        <v>1388</v>
      </c>
      <c r="D542" s="5" t="s">
        <v>74</v>
      </c>
      <c r="E542" s="5" t="s">
        <v>74</v>
      </c>
    </row>
    <row r="543" spans="1:5" x14ac:dyDescent="0.25">
      <c r="A543" s="5">
        <v>99099</v>
      </c>
      <c r="B543" s="5" t="s">
        <v>1389</v>
      </c>
      <c r="C543" s="5" t="s">
        <v>1390</v>
      </c>
      <c r="D543" s="5" t="s">
        <v>722</v>
      </c>
      <c r="E543" s="5" t="s">
        <v>89</v>
      </c>
    </row>
    <row r="544" spans="1:5" x14ac:dyDescent="0.25">
      <c r="A544" s="5" t="s">
        <v>74</v>
      </c>
      <c r="B544" s="5" t="s">
        <v>1391</v>
      </c>
      <c r="C544" s="5" t="s">
        <v>1392</v>
      </c>
      <c r="D544" s="5" t="s">
        <v>74</v>
      </c>
      <c r="E544" s="5" t="s">
        <v>74</v>
      </c>
    </row>
    <row r="545" spans="1:5" x14ac:dyDescent="0.25">
      <c r="A545" s="5" t="s">
        <v>74</v>
      </c>
      <c r="B545" s="5" t="s">
        <v>1393</v>
      </c>
      <c r="C545" s="5" t="s">
        <v>1394</v>
      </c>
      <c r="D545" s="5" t="s">
        <v>74</v>
      </c>
      <c r="E545" s="5" t="s">
        <v>74</v>
      </c>
    </row>
    <row r="546" spans="1:5" x14ac:dyDescent="0.25">
      <c r="A546" s="5">
        <v>17066</v>
      </c>
      <c r="B546" s="5" t="s">
        <v>1395</v>
      </c>
      <c r="C546" s="5" t="s">
        <v>1396</v>
      </c>
      <c r="D546" s="5" t="s">
        <v>309</v>
      </c>
      <c r="E546" s="5" t="s">
        <v>89</v>
      </c>
    </row>
    <row r="547" spans="1:5" x14ac:dyDescent="0.25">
      <c r="A547" s="5" t="s">
        <v>74</v>
      </c>
      <c r="B547" s="5" t="s">
        <v>1397</v>
      </c>
      <c r="C547" s="5" t="s">
        <v>1398</v>
      </c>
      <c r="D547" s="5" t="s">
        <v>1399</v>
      </c>
      <c r="E547" s="5" t="s">
        <v>181</v>
      </c>
    </row>
    <row r="548" spans="1:5" x14ac:dyDescent="0.25">
      <c r="A548" s="5">
        <v>19096</v>
      </c>
      <c r="B548" s="5" t="s">
        <v>1400</v>
      </c>
      <c r="C548" s="5" t="s">
        <v>1401</v>
      </c>
      <c r="D548" s="5" t="s">
        <v>220</v>
      </c>
      <c r="E548" s="5" t="s">
        <v>117</v>
      </c>
    </row>
    <row r="549" spans="1:5" x14ac:dyDescent="0.25">
      <c r="A549" s="5" t="s">
        <v>74</v>
      </c>
      <c r="B549" s="5" t="s">
        <v>1402</v>
      </c>
      <c r="C549" s="5" t="s">
        <v>1403</v>
      </c>
      <c r="D549" s="5" t="s">
        <v>74</v>
      </c>
      <c r="E549" s="5" t="s">
        <v>74</v>
      </c>
    </row>
    <row r="550" spans="1:5" x14ac:dyDescent="0.25">
      <c r="A550" s="5">
        <v>79005</v>
      </c>
      <c r="B550" s="5" t="s">
        <v>1404</v>
      </c>
      <c r="C550" s="5" t="s">
        <v>1405</v>
      </c>
      <c r="D550" s="5" t="s">
        <v>1406</v>
      </c>
      <c r="E550" s="5" t="s">
        <v>51</v>
      </c>
    </row>
    <row r="551" spans="1:5" x14ac:dyDescent="0.25">
      <c r="A551" s="5" t="s">
        <v>74</v>
      </c>
      <c r="B551" s="5" t="s">
        <v>479</v>
      </c>
      <c r="C551" s="5" t="s">
        <v>1407</v>
      </c>
      <c r="D551" s="5" t="s">
        <v>74</v>
      </c>
      <c r="E551" s="5" t="s">
        <v>74</v>
      </c>
    </row>
    <row r="552" spans="1:5" x14ac:dyDescent="0.25">
      <c r="A552" s="5" t="s">
        <v>74</v>
      </c>
      <c r="B552" s="5" t="s">
        <v>1408</v>
      </c>
      <c r="C552" s="5" t="s">
        <v>1409</v>
      </c>
      <c r="D552" s="5" t="s">
        <v>74</v>
      </c>
      <c r="E552" s="5" t="s">
        <v>74</v>
      </c>
    </row>
    <row r="553" spans="1:5" x14ac:dyDescent="0.25">
      <c r="A553" s="5" t="s">
        <v>74</v>
      </c>
      <c r="B553" s="5" t="s">
        <v>1410</v>
      </c>
      <c r="C553" s="5" t="s">
        <v>1411</v>
      </c>
      <c r="D553" s="5" t="s">
        <v>74</v>
      </c>
      <c r="E553" s="5" t="s">
        <v>74</v>
      </c>
    </row>
    <row r="554" spans="1:5" x14ac:dyDescent="0.25">
      <c r="A554" s="5" t="s">
        <v>74</v>
      </c>
      <c r="B554" s="5" t="s">
        <v>1412</v>
      </c>
      <c r="C554" s="5" t="s">
        <v>1413</v>
      </c>
      <c r="D554" s="5" t="s">
        <v>74</v>
      </c>
      <c r="E554" s="5" t="s">
        <v>74</v>
      </c>
    </row>
    <row r="555" spans="1:5" x14ac:dyDescent="0.25">
      <c r="A555" s="5" t="s">
        <v>74</v>
      </c>
      <c r="B555" s="5" t="s">
        <v>1414</v>
      </c>
      <c r="C555" s="5" t="s">
        <v>1415</v>
      </c>
      <c r="D555" s="5" t="s">
        <v>74</v>
      </c>
      <c r="E555" s="5" t="s">
        <v>74</v>
      </c>
    </row>
    <row r="556" spans="1:5" x14ac:dyDescent="0.25">
      <c r="A556" s="5" t="s">
        <v>74</v>
      </c>
      <c r="B556" s="5" t="s">
        <v>1416</v>
      </c>
      <c r="C556" s="5" t="s">
        <v>1417</v>
      </c>
      <c r="D556" s="5" t="s">
        <v>74</v>
      </c>
      <c r="E556" s="5" t="s">
        <v>74</v>
      </c>
    </row>
    <row r="557" spans="1:5" x14ac:dyDescent="0.25">
      <c r="A557" s="5" t="s">
        <v>74</v>
      </c>
      <c r="B557" s="5" t="s">
        <v>1418</v>
      </c>
      <c r="C557" s="5" t="s">
        <v>1419</v>
      </c>
      <c r="D557" s="5" t="s">
        <v>74</v>
      </c>
      <c r="E557" s="5" t="s">
        <v>74</v>
      </c>
    </row>
    <row r="558" spans="1:5" x14ac:dyDescent="0.25">
      <c r="A558" s="5" t="s">
        <v>74</v>
      </c>
      <c r="B558" s="5" t="s">
        <v>1420</v>
      </c>
      <c r="C558" s="5" t="s">
        <v>1421</v>
      </c>
      <c r="D558" s="5" t="s">
        <v>74</v>
      </c>
      <c r="E558" s="5" t="s">
        <v>74</v>
      </c>
    </row>
    <row r="559" spans="1:5" x14ac:dyDescent="0.25">
      <c r="A559" s="5" t="s">
        <v>74</v>
      </c>
      <c r="B559" s="5" t="s">
        <v>1422</v>
      </c>
      <c r="C559" s="5" t="s">
        <v>1423</v>
      </c>
      <c r="D559" s="5" t="s">
        <v>74</v>
      </c>
      <c r="E559" s="5" t="s">
        <v>74</v>
      </c>
    </row>
    <row r="560" spans="1:5" x14ac:dyDescent="0.25">
      <c r="A560" s="5" t="s">
        <v>74</v>
      </c>
      <c r="B560" s="5" t="s">
        <v>1424</v>
      </c>
      <c r="C560" s="5" t="s">
        <v>1425</v>
      </c>
      <c r="D560" s="5" t="s">
        <v>74</v>
      </c>
      <c r="E560" s="5" t="s">
        <v>74</v>
      </c>
    </row>
    <row r="561" spans="1:5" x14ac:dyDescent="0.25">
      <c r="A561" s="5" t="s">
        <v>74</v>
      </c>
      <c r="B561" s="5" t="s">
        <v>1426</v>
      </c>
      <c r="C561" s="5" t="s">
        <v>1427</v>
      </c>
      <c r="D561" s="5" t="s">
        <v>74</v>
      </c>
      <c r="E561" s="5" t="s">
        <v>74</v>
      </c>
    </row>
    <row r="562" spans="1:5" x14ac:dyDescent="0.25">
      <c r="A562" s="5" t="s">
        <v>74</v>
      </c>
      <c r="B562" s="5" t="s">
        <v>1428</v>
      </c>
      <c r="C562" s="5" t="s">
        <v>1429</v>
      </c>
      <c r="D562" s="5" t="s">
        <v>74</v>
      </c>
      <c r="E562" s="5" t="s">
        <v>74</v>
      </c>
    </row>
    <row r="563" spans="1:5" x14ac:dyDescent="0.25">
      <c r="A563" s="5" t="s">
        <v>74</v>
      </c>
      <c r="B563" s="5" t="s">
        <v>1430</v>
      </c>
      <c r="C563" s="5" t="s">
        <v>1431</v>
      </c>
      <c r="D563" s="5" t="s">
        <v>74</v>
      </c>
      <c r="E563" s="5" t="s">
        <v>74</v>
      </c>
    </row>
    <row r="564" spans="1:5" x14ac:dyDescent="0.25">
      <c r="A564" s="5" t="s">
        <v>74</v>
      </c>
      <c r="B564" s="5" t="s">
        <v>1432</v>
      </c>
      <c r="C564" s="5" t="s">
        <v>1433</v>
      </c>
      <c r="D564" s="5" t="s">
        <v>74</v>
      </c>
      <c r="E564" s="5" t="s">
        <v>74</v>
      </c>
    </row>
    <row r="565" spans="1:5" x14ac:dyDescent="0.25">
      <c r="A565" s="5" t="s">
        <v>74</v>
      </c>
      <c r="B565" s="5" t="s">
        <v>1434</v>
      </c>
      <c r="C565" s="5" t="s">
        <v>1435</v>
      </c>
      <c r="D565" s="5" t="s">
        <v>74</v>
      </c>
      <c r="E565" s="5" t="s">
        <v>74</v>
      </c>
    </row>
    <row r="566" spans="1:5" x14ac:dyDescent="0.25">
      <c r="A566" s="5" t="s">
        <v>74</v>
      </c>
      <c r="B566" s="5" t="s">
        <v>1436</v>
      </c>
      <c r="C566" s="5" t="s">
        <v>1437</v>
      </c>
      <c r="D566" s="5" t="s">
        <v>74</v>
      </c>
      <c r="E566" s="5" t="s">
        <v>153</v>
      </c>
    </row>
    <row r="567" spans="1:5" x14ac:dyDescent="0.25">
      <c r="A567" s="5" t="s">
        <v>74</v>
      </c>
      <c r="B567" s="5" t="s">
        <v>1438</v>
      </c>
      <c r="C567" s="5" t="s">
        <v>1439</v>
      </c>
      <c r="D567" s="5" t="s">
        <v>74</v>
      </c>
      <c r="E567" s="5" t="s">
        <v>74</v>
      </c>
    </row>
    <row r="568" spans="1:5" x14ac:dyDescent="0.25">
      <c r="A568" s="5" t="s">
        <v>74</v>
      </c>
      <c r="B568" s="5" t="s">
        <v>1440</v>
      </c>
      <c r="C568" s="5" t="s">
        <v>1441</v>
      </c>
      <c r="D568" s="5" t="s">
        <v>74</v>
      </c>
      <c r="E568" s="5" t="s">
        <v>74</v>
      </c>
    </row>
    <row r="569" spans="1:5" x14ac:dyDescent="0.25">
      <c r="A569" s="5" t="s">
        <v>74</v>
      </c>
      <c r="B569" s="5" t="s">
        <v>1442</v>
      </c>
      <c r="C569" s="5" t="s">
        <v>1443</v>
      </c>
      <c r="D569" s="5" t="s">
        <v>74</v>
      </c>
      <c r="E569" s="5" t="s">
        <v>74</v>
      </c>
    </row>
    <row r="570" spans="1:5" x14ac:dyDescent="0.25">
      <c r="A570" s="5" t="s">
        <v>74</v>
      </c>
      <c r="B570" s="5" t="s">
        <v>1444</v>
      </c>
      <c r="C570" s="5" t="s">
        <v>1445</v>
      </c>
      <c r="D570" s="5" t="s">
        <v>74</v>
      </c>
      <c r="E570" s="5" t="s">
        <v>74</v>
      </c>
    </row>
    <row r="571" spans="1:5" x14ac:dyDescent="0.25">
      <c r="A571" s="5">
        <v>17164</v>
      </c>
      <c r="B571" s="5" t="s">
        <v>1446</v>
      </c>
      <c r="C571" s="5" t="s">
        <v>1447</v>
      </c>
      <c r="D571" s="5" t="s">
        <v>220</v>
      </c>
      <c r="E571" s="5" t="s">
        <v>117</v>
      </c>
    </row>
    <row r="572" spans="1:5" x14ac:dyDescent="0.25">
      <c r="A572" s="5">
        <v>17099</v>
      </c>
      <c r="B572" s="5" t="s">
        <v>1448</v>
      </c>
      <c r="C572" s="5" t="s">
        <v>1449</v>
      </c>
      <c r="D572" s="5" t="s">
        <v>1450</v>
      </c>
      <c r="E572" s="5" t="s">
        <v>72</v>
      </c>
    </row>
    <row r="573" spans="1:5" x14ac:dyDescent="0.25">
      <c r="A573" s="5">
        <v>94018</v>
      </c>
      <c r="B573" s="5" t="s">
        <v>1451</v>
      </c>
      <c r="C573" s="5" t="s">
        <v>1452</v>
      </c>
      <c r="D573" s="5" t="s">
        <v>1453</v>
      </c>
      <c r="E573" s="5" t="s">
        <v>312</v>
      </c>
    </row>
    <row r="574" spans="1:5" x14ac:dyDescent="0.25">
      <c r="A574" s="5">
        <v>18070</v>
      </c>
      <c r="B574" s="5" t="s">
        <v>1454</v>
      </c>
      <c r="C574" s="5" t="s">
        <v>1455</v>
      </c>
      <c r="D574" s="5" t="s">
        <v>106</v>
      </c>
      <c r="E574" s="5" t="s">
        <v>85</v>
      </c>
    </row>
    <row r="575" spans="1:5" x14ac:dyDescent="0.25">
      <c r="A575" s="5">
        <v>17160</v>
      </c>
      <c r="B575" s="5" t="s">
        <v>1456</v>
      </c>
      <c r="C575" s="5" t="s">
        <v>1457</v>
      </c>
      <c r="D575" s="5" t="s">
        <v>1458</v>
      </c>
      <c r="E575" s="5" t="s">
        <v>312</v>
      </c>
    </row>
    <row r="576" spans="1:5" x14ac:dyDescent="0.25">
      <c r="A576" s="5">
        <v>13009</v>
      </c>
      <c r="B576" s="5" t="s">
        <v>1459</v>
      </c>
      <c r="C576" s="5" t="s">
        <v>1460</v>
      </c>
      <c r="D576" s="5" t="s">
        <v>1461</v>
      </c>
      <c r="E576" s="5" t="s">
        <v>72</v>
      </c>
    </row>
    <row r="577" spans="1:5" x14ac:dyDescent="0.25">
      <c r="A577" s="5" t="s">
        <v>74</v>
      </c>
      <c r="B577" s="5" t="s">
        <v>1462</v>
      </c>
      <c r="C577" s="5" t="s">
        <v>1463</v>
      </c>
      <c r="D577" s="5" t="s">
        <v>1464</v>
      </c>
      <c r="E577" s="5" t="s">
        <v>181</v>
      </c>
    </row>
    <row r="578" spans="1:5" x14ac:dyDescent="0.25">
      <c r="A578" s="5">
        <v>14053</v>
      </c>
      <c r="B578" s="5" t="s">
        <v>1465</v>
      </c>
      <c r="C578" s="5" t="s">
        <v>1466</v>
      </c>
      <c r="D578" s="5" t="s">
        <v>590</v>
      </c>
      <c r="E578" s="5" t="s">
        <v>89</v>
      </c>
    </row>
    <row r="579" spans="1:5" x14ac:dyDescent="0.25">
      <c r="A579" s="5">
        <v>18200</v>
      </c>
      <c r="B579" s="5" t="s">
        <v>1467</v>
      </c>
      <c r="C579" s="5" t="s">
        <v>1468</v>
      </c>
      <c r="D579" s="5" t="s">
        <v>533</v>
      </c>
      <c r="E579" s="5" t="s">
        <v>312</v>
      </c>
    </row>
    <row r="580" spans="1:5" x14ac:dyDescent="0.25">
      <c r="A580" s="5" t="s">
        <v>74</v>
      </c>
      <c r="B580" s="5" t="s">
        <v>1469</v>
      </c>
      <c r="C580" s="5" t="s">
        <v>1470</v>
      </c>
      <c r="D580" s="5" t="s">
        <v>74</v>
      </c>
      <c r="E580" s="5" t="s">
        <v>153</v>
      </c>
    </row>
    <row r="581" spans="1:5" x14ac:dyDescent="0.25">
      <c r="A581" s="5">
        <v>15188</v>
      </c>
      <c r="B581" s="5" t="s">
        <v>1471</v>
      </c>
      <c r="C581" s="5" t="s">
        <v>1472</v>
      </c>
      <c r="D581" s="5" t="s">
        <v>1473</v>
      </c>
      <c r="E581" s="5" t="s">
        <v>348</v>
      </c>
    </row>
    <row r="582" spans="1:5" x14ac:dyDescent="0.25">
      <c r="A582" s="5">
        <v>90007</v>
      </c>
      <c r="B582" s="5" t="s">
        <v>1474</v>
      </c>
      <c r="C582" s="5" t="s">
        <v>1475</v>
      </c>
      <c r="D582" s="5" t="s">
        <v>1109</v>
      </c>
      <c r="E582" s="5" t="s">
        <v>188</v>
      </c>
    </row>
    <row r="583" spans="1:5" x14ac:dyDescent="0.25">
      <c r="A583" s="5" t="s">
        <v>74</v>
      </c>
      <c r="B583" s="5" t="s">
        <v>1476</v>
      </c>
      <c r="C583" s="5" t="s">
        <v>1477</v>
      </c>
      <c r="D583" s="5" t="s">
        <v>74</v>
      </c>
      <c r="E583" s="5" t="s">
        <v>74</v>
      </c>
    </row>
    <row r="584" spans="1:5" x14ac:dyDescent="0.25">
      <c r="A584" s="5" t="s">
        <v>74</v>
      </c>
      <c r="B584" s="5" t="s">
        <v>1478</v>
      </c>
      <c r="C584" s="5" t="s">
        <v>1479</v>
      </c>
      <c r="D584" s="5" t="s">
        <v>74</v>
      </c>
      <c r="E584" s="5" t="s">
        <v>74</v>
      </c>
    </row>
    <row r="585" spans="1:5" x14ac:dyDescent="0.25">
      <c r="A585" s="5" t="s">
        <v>74</v>
      </c>
      <c r="B585" s="5" t="s">
        <v>1480</v>
      </c>
      <c r="C585" s="5" t="s">
        <v>1481</v>
      </c>
      <c r="D585" s="5" t="s">
        <v>74</v>
      </c>
      <c r="E585" s="5" t="s">
        <v>74</v>
      </c>
    </row>
    <row r="586" spans="1:5" x14ac:dyDescent="0.25">
      <c r="A586" s="5" t="s">
        <v>74</v>
      </c>
      <c r="B586" s="5" t="s">
        <v>1482</v>
      </c>
      <c r="C586" s="5" t="s">
        <v>1483</v>
      </c>
      <c r="D586" s="5" t="s">
        <v>74</v>
      </c>
      <c r="E586" s="5" t="s">
        <v>74</v>
      </c>
    </row>
    <row r="587" spans="1:5" x14ac:dyDescent="0.25">
      <c r="A587" s="5" t="s">
        <v>74</v>
      </c>
      <c r="B587" s="5" t="s">
        <v>1484</v>
      </c>
      <c r="C587" s="5" t="s">
        <v>1485</v>
      </c>
      <c r="D587" s="5" t="s">
        <v>74</v>
      </c>
      <c r="E587" s="5" t="s">
        <v>74</v>
      </c>
    </row>
    <row r="588" spans="1:5" x14ac:dyDescent="0.25">
      <c r="A588" s="5" t="s">
        <v>74</v>
      </c>
      <c r="B588" s="5" t="s">
        <v>1486</v>
      </c>
      <c r="C588" s="5" t="s">
        <v>1487</v>
      </c>
      <c r="D588" s="5" t="s">
        <v>74</v>
      </c>
      <c r="E588" s="5" t="s">
        <v>74</v>
      </c>
    </row>
    <row r="589" spans="1:5" x14ac:dyDescent="0.25">
      <c r="A589" s="5" t="s">
        <v>74</v>
      </c>
      <c r="B589" s="5" t="s">
        <v>1488</v>
      </c>
      <c r="C589" s="5" t="s">
        <v>1489</v>
      </c>
      <c r="D589" s="5" t="s">
        <v>74</v>
      </c>
      <c r="E589" s="5" t="s">
        <v>74</v>
      </c>
    </row>
    <row r="590" spans="1:5" x14ac:dyDescent="0.25">
      <c r="A590" s="5" t="s">
        <v>74</v>
      </c>
      <c r="B590" s="5" t="s">
        <v>1490</v>
      </c>
      <c r="C590" s="5" t="s">
        <v>1491</v>
      </c>
      <c r="D590" s="5" t="s">
        <v>74</v>
      </c>
      <c r="E590" s="5" t="s">
        <v>74</v>
      </c>
    </row>
    <row r="591" spans="1:5" x14ac:dyDescent="0.25">
      <c r="A591" s="5" t="s">
        <v>74</v>
      </c>
      <c r="B591" s="5" t="s">
        <v>1492</v>
      </c>
      <c r="C591" s="5" t="s">
        <v>1493</v>
      </c>
      <c r="D591" s="5" t="s">
        <v>74</v>
      </c>
      <c r="E591" s="5" t="s">
        <v>1261</v>
      </c>
    </row>
    <row r="592" spans="1:5" x14ac:dyDescent="0.25">
      <c r="A592" s="5" t="s">
        <v>74</v>
      </c>
      <c r="B592" s="5" t="s">
        <v>1494</v>
      </c>
      <c r="C592" s="5" t="s">
        <v>1495</v>
      </c>
      <c r="D592" s="5" t="s">
        <v>74</v>
      </c>
      <c r="E592" s="5" t="s">
        <v>181</v>
      </c>
    </row>
    <row r="593" spans="1:5" x14ac:dyDescent="0.25">
      <c r="A593" s="5" t="s">
        <v>74</v>
      </c>
      <c r="B593" s="5" t="s">
        <v>1496</v>
      </c>
      <c r="C593" s="5" t="s">
        <v>1497</v>
      </c>
      <c r="D593" s="5" t="s">
        <v>74</v>
      </c>
      <c r="E593" s="5" t="s">
        <v>74</v>
      </c>
    </row>
    <row r="594" spans="1:5" x14ac:dyDescent="0.25">
      <c r="A594" s="5" t="s">
        <v>74</v>
      </c>
      <c r="B594" s="5" t="s">
        <v>1498</v>
      </c>
      <c r="C594" s="5" t="s">
        <v>1499</v>
      </c>
      <c r="D594" s="5" t="s">
        <v>74</v>
      </c>
      <c r="E594" s="5" t="s">
        <v>74</v>
      </c>
    </row>
    <row r="595" spans="1:5" x14ac:dyDescent="0.25">
      <c r="A595" s="5" t="s">
        <v>74</v>
      </c>
      <c r="B595" s="5" t="s">
        <v>1500</v>
      </c>
      <c r="C595" s="5" t="s">
        <v>1501</v>
      </c>
      <c r="D595" s="5" t="s">
        <v>74</v>
      </c>
      <c r="E595" s="5" t="s">
        <v>74</v>
      </c>
    </row>
    <row r="596" spans="1:5" x14ac:dyDescent="0.25">
      <c r="A596" s="5" t="s">
        <v>74</v>
      </c>
      <c r="B596" s="5" t="s">
        <v>1502</v>
      </c>
      <c r="C596" s="5" t="s">
        <v>1503</v>
      </c>
      <c r="D596" s="5" t="s">
        <v>74</v>
      </c>
      <c r="E596" s="5" t="s">
        <v>74</v>
      </c>
    </row>
    <row r="597" spans="1:5" x14ac:dyDescent="0.25">
      <c r="A597" s="5" t="s">
        <v>74</v>
      </c>
      <c r="B597" s="5" t="s">
        <v>1504</v>
      </c>
      <c r="C597" s="5" t="s">
        <v>1505</v>
      </c>
      <c r="D597" s="5" t="s">
        <v>74</v>
      </c>
      <c r="E597" s="5" t="s">
        <v>74</v>
      </c>
    </row>
    <row r="598" spans="1:5" x14ac:dyDescent="0.25">
      <c r="A598" s="5" t="s">
        <v>74</v>
      </c>
      <c r="B598" s="5" t="s">
        <v>1506</v>
      </c>
      <c r="C598" s="5" t="s">
        <v>1507</v>
      </c>
      <c r="D598" s="5" t="s">
        <v>74</v>
      </c>
      <c r="E598" s="5" t="s">
        <v>74</v>
      </c>
    </row>
    <row r="599" spans="1:5" x14ac:dyDescent="0.25">
      <c r="A599" s="5" t="s">
        <v>74</v>
      </c>
      <c r="B599" s="5" t="s">
        <v>1508</v>
      </c>
      <c r="C599" s="5" t="s">
        <v>1509</v>
      </c>
      <c r="D599" s="5" t="s">
        <v>74</v>
      </c>
      <c r="E599" s="5" t="s">
        <v>74</v>
      </c>
    </row>
    <row r="600" spans="1:5" x14ac:dyDescent="0.25">
      <c r="A600" s="5" t="s">
        <v>74</v>
      </c>
      <c r="B600" s="5" t="s">
        <v>1510</v>
      </c>
      <c r="C600" s="5" t="s">
        <v>1511</v>
      </c>
      <c r="D600" s="5" t="s">
        <v>74</v>
      </c>
      <c r="E600" s="5" t="s">
        <v>74</v>
      </c>
    </row>
    <row r="601" spans="1:5" x14ac:dyDescent="0.25">
      <c r="A601" s="5" t="s">
        <v>74</v>
      </c>
      <c r="B601" s="5" t="s">
        <v>1512</v>
      </c>
      <c r="C601" s="5" t="s">
        <v>1513</v>
      </c>
      <c r="D601" s="5" t="s">
        <v>74</v>
      </c>
      <c r="E601" s="5" t="s">
        <v>74</v>
      </c>
    </row>
    <row r="602" spans="1:5" x14ac:dyDescent="0.25">
      <c r="A602" s="5" t="s">
        <v>74</v>
      </c>
      <c r="B602" s="5" t="s">
        <v>1514</v>
      </c>
      <c r="C602" s="5" t="s">
        <v>1515</v>
      </c>
      <c r="D602" s="5" t="s">
        <v>74</v>
      </c>
      <c r="E602" s="5" t="s">
        <v>74</v>
      </c>
    </row>
    <row r="603" spans="1:5" x14ac:dyDescent="0.25">
      <c r="A603" s="5" t="s">
        <v>74</v>
      </c>
      <c r="B603" s="5" t="s">
        <v>1516</v>
      </c>
      <c r="C603" s="5" t="s">
        <v>1517</v>
      </c>
      <c r="D603" s="5" t="s">
        <v>74</v>
      </c>
      <c r="E603" s="5" t="s">
        <v>74</v>
      </c>
    </row>
    <row r="604" spans="1:5" x14ac:dyDescent="0.25">
      <c r="A604" s="5" t="s">
        <v>74</v>
      </c>
      <c r="B604" s="5" t="s">
        <v>1518</v>
      </c>
      <c r="C604" s="5" t="s">
        <v>1519</v>
      </c>
      <c r="D604" s="5" t="s">
        <v>74</v>
      </c>
      <c r="E604" s="5" t="s">
        <v>1520</v>
      </c>
    </row>
    <row r="605" spans="1:5" x14ac:dyDescent="0.25">
      <c r="A605" s="5" t="s">
        <v>74</v>
      </c>
      <c r="B605" s="5" t="s">
        <v>1521</v>
      </c>
      <c r="C605" s="5" t="s">
        <v>1522</v>
      </c>
      <c r="D605" s="5" t="s">
        <v>74</v>
      </c>
      <c r="E605" s="5" t="s">
        <v>74</v>
      </c>
    </row>
    <row r="606" spans="1:5" x14ac:dyDescent="0.25">
      <c r="A606" s="5" t="s">
        <v>74</v>
      </c>
      <c r="B606" s="5" t="s">
        <v>1523</v>
      </c>
      <c r="C606" s="5" t="s">
        <v>1524</v>
      </c>
      <c r="D606" s="5" t="s">
        <v>74</v>
      </c>
      <c r="E606" s="5" t="s">
        <v>74</v>
      </c>
    </row>
    <row r="607" spans="1:5" x14ac:dyDescent="0.25">
      <c r="A607" s="5" t="s">
        <v>74</v>
      </c>
      <c r="B607" s="5" t="s">
        <v>1525</v>
      </c>
      <c r="C607" s="5" t="s">
        <v>1526</v>
      </c>
      <c r="D607" s="5" t="s">
        <v>74</v>
      </c>
      <c r="E607" s="5" t="s">
        <v>74</v>
      </c>
    </row>
    <row r="608" spans="1:5" x14ac:dyDescent="0.25">
      <c r="A608" s="5" t="s">
        <v>74</v>
      </c>
      <c r="B608" s="5" t="s">
        <v>1527</v>
      </c>
      <c r="C608" s="5" t="s">
        <v>1528</v>
      </c>
      <c r="D608" s="5" t="s">
        <v>74</v>
      </c>
      <c r="E608" s="5" t="s">
        <v>74</v>
      </c>
    </row>
    <row r="609" spans="1:5" x14ac:dyDescent="0.25">
      <c r="A609" s="5">
        <v>13107</v>
      </c>
      <c r="B609" s="5" t="s">
        <v>1529</v>
      </c>
      <c r="C609" s="5" t="s">
        <v>1530</v>
      </c>
      <c r="D609" s="5" t="s">
        <v>809</v>
      </c>
      <c r="E609" s="5" t="s">
        <v>117</v>
      </c>
    </row>
    <row r="610" spans="1:5" x14ac:dyDescent="0.25">
      <c r="A610" s="5">
        <v>18002</v>
      </c>
      <c r="B610" s="5" t="s">
        <v>1531</v>
      </c>
      <c r="C610" s="5" t="s">
        <v>1532</v>
      </c>
      <c r="D610" s="5" t="s">
        <v>1533</v>
      </c>
      <c r="E610" s="5" t="s">
        <v>72</v>
      </c>
    </row>
    <row r="611" spans="1:5" x14ac:dyDescent="0.25">
      <c r="A611" s="5">
        <v>99118</v>
      </c>
      <c r="B611" s="5" t="s">
        <v>1534</v>
      </c>
      <c r="C611" s="5" t="s">
        <v>1535</v>
      </c>
      <c r="D611" s="5" t="s">
        <v>277</v>
      </c>
      <c r="E611" s="5" t="s">
        <v>188</v>
      </c>
    </row>
    <row r="612" spans="1:5" x14ac:dyDescent="0.25">
      <c r="A612" s="5" t="s">
        <v>74</v>
      </c>
      <c r="B612" s="5" t="s">
        <v>1536</v>
      </c>
      <c r="C612" s="5" t="s">
        <v>1537</v>
      </c>
      <c r="D612" s="5" t="s">
        <v>74</v>
      </c>
      <c r="E612" s="5" t="s">
        <v>74</v>
      </c>
    </row>
    <row r="613" spans="1:5" x14ac:dyDescent="0.25">
      <c r="A613" s="5" t="s">
        <v>74</v>
      </c>
      <c r="B613" s="5" t="s">
        <v>1538</v>
      </c>
      <c r="C613" s="5" t="s">
        <v>1539</v>
      </c>
      <c r="D613" s="5" t="s">
        <v>74</v>
      </c>
      <c r="E613" s="5" t="s">
        <v>74</v>
      </c>
    </row>
    <row r="614" spans="1:5" x14ac:dyDescent="0.25">
      <c r="A614" s="5">
        <v>14182</v>
      </c>
      <c r="B614" s="5" t="s">
        <v>1540</v>
      </c>
      <c r="C614" s="5" t="s">
        <v>1541</v>
      </c>
      <c r="D614" s="5" t="s">
        <v>1542</v>
      </c>
      <c r="E614" s="5" t="s">
        <v>153</v>
      </c>
    </row>
    <row r="615" spans="1:5" x14ac:dyDescent="0.25">
      <c r="A615" s="5" t="s">
        <v>74</v>
      </c>
      <c r="B615" s="5" t="s">
        <v>1543</v>
      </c>
      <c r="C615" s="5" t="s">
        <v>1544</v>
      </c>
      <c r="D615" s="5" t="s">
        <v>74</v>
      </c>
      <c r="E615" s="5" t="s">
        <v>74</v>
      </c>
    </row>
    <row r="616" spans="1:5" x14ac:dyDescent="0.25">
      <c r="A616" s="5" t="s">
        <v>74</v>
      </c>
      <c r="B616" s="5" t="s">
        <v>1545</v>
      </c>
      <c r="C616" s="5" t="s">
        <v>1546</v>
      </c>
      <c r="D616" s="5" t="s">
        <v>74</v>
      </c>
      <c r="E616" s="5" t="s">
        <v>74</v>
      </c>
    </row>
    <row r="617" spans="1:5" x14ac:dyDescent="0.25">
      <c r="A617" s="5" t="s">
        <v>74</v>
      </c>
      <c r="B617" s="5" t="s">
        <v>1547</v>
      </c>
      <c r="C617" s="5" t="s">
        <v>1548</v>
      </c>
      <c r="D617" s="5" t="s">
        <v>74</v>
      </c>
      <c r="E617" s="5" t="s">
        <v>74</v>
      </c>
    </row>
    <row r="618" spans="1:5" x14ac:dyDescent="0.25">
      <c r="A618" s="5" t="s">
        <v>74</v>
      </c>
      <c r="B618" s="5" t="s">
        <v>1549</v>
      </c>
      <c r="C618" s="5" t="s">
        <v>1550</v>
      </c>
      <c r="D618" s="5" t="s">
        <v>74</v>
      </c>
      <c r="E618" s="5" t="s">
        <v>74</v>
      </c>
    </row>
    <row r="619" spans="1:5" x14ac:dyDescent="0.25">
      <c r="A619" s="5" t="s">
        <v>74</v>
      </c>
      <c r="B619" s="5" t="s">
        <v>117</v>
      </c>
      <c r="C619" s="5" t="s">
        <v>1551</v>
      </c>
      <c r="D619" s="5" t="s">
        <v>74</v>
      </c>
      <c r="E619" s="5" t="s">
        <v>74</v>
      </c>
    </row>
    <row r="620" spans="1:5" x14ac:dyDescent="0.25">
      <c r="A620" s="5" t="s">
        <v>74</v>
      </c>
      <c r="B620" s="5" t="s">
        <v>1552</v>
      </c>
      <c r="C620" s="5" t="s">
        <v>1553</v>
      </c>
      <c r="D620" s="5" t="s">
        <v>74</v>
      </c>
      <c r="E620" s="5" t="s">
        <v>74</v>
      </c>
    </row>
    <row r="621" spans="1:5" x14ac:dyDescent="0.25">
      <c r="A621" s="5" t="s">
        <v>74</v>
      </c>
      <c r="B621" s="5" t="s">
        <v>1554</v>
      </c>
      <c r="C621" s="5" t="s">
        <v>1555</v>
      </c>
      <c r="D621" s="5" t="s">
        <v>74</v>
      </c>
      <c r="E621" s="5" t="s">
        <v>74</v>
      </c>
    </row>
    <row r="622" spans="1:5" x14ac:dyDescent="0.25">
      <c r="A622" s="5" t="s">
        <v>74</v>
      </c>
      <c r="B622" s="5" t="s">
        <v>1556</v>
      </c>
      <c r="C622" s="5" t="s">
        <v>1557</v>
      </c>
      <c r="D622" s="5" t="s">
        <v>74</v>
      </c>
      <c r="E622" s="5" t="s">
        <v>74</v>
      </c>
    </row>
    <row r="623" spans="1:5" x14ac:dyDescent="0.25">
      <c r="A623" s="5" t="s">
        <v>74</v>
      </c>
      <c r="B623" s="5" t="s">
        <v>1558</v>
      </c>
      <c r="C623" s="5" t="s">
        <v>1559</v>
      </c>
      <c r="D623" s="5" t="s">
        <v>74</v>
      </c>
      <c r="E623" s="5" t="s">
        <v>74</v>
      </c>
    </row>
    <row r="624" spans="1:5" x14ac:dyDescent="0.25">
      <c r="A624" s="5" t="s">
        <v>74</v>
      </c>
      <c r="B624" s="5" t="s">
        <v>1560</v>
      </c>
      <c r="C624" s="5" t="s">
        <v>1561</v>
      </c>
      <c r="D624" s="5" t="s">
        <v>870</v>
      </c>
      <c r="E624" s="5" t="s">
        <v>89</v>
      </c>
    </row>
    <row r="625" spans="1:5" x14ac:dyDescent="0.25">
      <c r="A625" s="5">
        <v>18255</v>
      </c>
      <c r="B625" s="5" t="s">
        <v>1562</v>
      </c>
      <c r="C625" s="5" t="s">
        <v>1563</v>
      </c>
      <c r="D625" s="5" t="s">
        <v>1564</v>
      </c>
      <c r="E625" s="5" t="s">
        <v>89</v>
      </c>
    </row>
    <row r="626" spans="1:5" x14ac:dyDescent="0.25">
      <c r="A626" s="5">
        <v>17088</v>
      </c>
      <c r="B626" s="5" t="s">
        <v>1565</v>
      </c>
      <c r="C626" s="5" t="s">
        <v>1566</v>
      </c>
      <c r="D626" s="5" t="s">
        <v>1567</v>
      </c>
      <c r="E626" s="5" t="s">
        <v>1568</v>
      </c>
    </row>
    <row r="627" spans="1:5" x14ac:dyDescent="0.25">
      <c r="A627" s="5">
        <v>18184</v>
      </c>
      <c r="B627" s="5" t="s">
        <v>1569</v>
      </c>
      <c r="C627" s="5" t="s">
        <v>1570</v>
      </c>
      <c r="D627" s="5" t="s">
        <v>96</v>
      </c>
      <c r="E627" s="5" t="s">
        <v>85</v>
      </c>
    </row>
    <row r="628" spans="1:5" x14ac:dyDescent="0.25">
      <c r="A628" s="5">
        <v>99088</v>
      </c>
      <c r="B628" s="5" t="s">
        <v>1571</v>
      </c>
      <c r="C628" s="5" t="s">
        <v>1572</v>
      </c>
      <c r="D628" s="5" t="s">
        <v>84</v>
      </c>
      <c r="E628" s="5" t="s">
        <v>93</v>
      </c>
    </row>
    <row r="629" spans="1:5" x14ac:dyDescent="0.25">
      <c r="A629" s="5">
        <v>26113</v>
      </c>
      <c r="B629" s="5" t="s">
        <v>1573</v>
      </c>
      <c r="C629" s="5" t="s">
        <v>1574</v>
      </c>
      <c r="D629" s="5" t="s">
        <v>1450</v>
      </c>
      <c r="E629" s="5" t="s">
        <v>89</v>
      </c>
    </row>
    <row r="630" spans="1:5" x14ac:dyDescent="0.25">
      <c r="A630" s="5" t="s">
        <v>74</v>
      </c>
      <c r="B630" s="5" t="s">
        <v>1575</v>
      </c>
      <c r="C630" s="5" t="s">
        <v>1576</v>
      </c>
      <c r="D630" s="5" t="s">
        <v>74</v>
      </c>
      <c r="E630" s="5" t="s">
        <v>181</v>
      </c>
    </row>
    <row r="631" spans="1:5" x14ac:dyDescent="0.25">
      <c r="A631" s="5" t="s">
        <v>74</v>
      </c>
      <c r="B631" s="5" t="s">
        <v>1577</v>
      </c>
      <c r="C631" s="5" t="s">
        <v>1578</v>
      </c>
      <c r="D631" s="5" t="s">
        <v>191</v>
      </c>
      <c r="E631" s="5" t="s">
        <v>97</v>
      </c>
    </row>
    <row r="632" spans="1:5" x14ac:dyDescent="0.25">
      <c r="A632" s="5">
        <v>19099</v>
      </c>
      <c r="B632" s="5" t="s">
        <v>1579</v>
      </c>
      <c r="C632" s="5" t="s">
        <v>1580</v>
      </c>
      <c r="D632" s="5" t="s">
        <v>475</v>
      </c>
      <c r="E632" s="5" t="s">
        <v>97</v>
      </c>
    </row>
    <row r="633" spans="1:5" x14ac:dyDescent="0.25">
      <c r="A633" s="5">
        <v>28029</v>
      </c>
      <c r="B633" s="5" t="s">
        <v>1581</v>
      </c>
      <c r="C633" s="5" t="s">
        <v>1582</v>
      </c>
      <c r="D633" s="5" t="s">
        <v>1583</v>
      </c>
      <c r="E633" s="5" t="s">
        <v>188</v>
      </c>
    </row>
    <row r="634" spans="1:5" x14ac:dyDescent="0.25">
      <c r="A634" s="5" t="s">
        <v>74</v>
      </c>
      <c r="B634" s="5" t="s">
        <v>1584</v>
      </c>
      <c r="C634" s="5" t="s">
        <v>1585</v>
      </c>
      <c r="D634" s="5" t="s">
        <v>74</v>
      </c>
      <c r="E634" s="5" t="s">
        <v>74</v>
      </c>
    </row>
    <row r="635" spans="1:5" x14ac:dyDescent="0.25">
      <c r="A635" s="5">
        <v>18191</v>
      </c>
      <c r="B635" s="5" t="s">
        <v>1586</v>
      </c>
      <c r="C635" s="5" t="s">
        <v>1587</v>
      </c>
      <c r="D635" s="5" t="s">
        <v>1588</v>
      </c>
      <c r="E635" s="5" t="s">
        <v>348</v>
      </c>
    </row>
    <row r="636" spans="1:5" x14ac:dyDescent="0.25">
      <c r="A636" s="5">
        <v>16036</v>
      </c>
      <c r="B636" s="5" t="s">
        <v>1589</v>
      </c>
      <c r="C636" s="5" t="s">
        <v>1590</v>
      </c>
      <c r="D636" s="5" t="s">
        <v>1591</v>
      </c>
      <c r="E636" s="5" t="s">
        <v>72</v>
      </c>
    </row>
    <row r="637" spans="1:5" x14ac:dyDescent="0.25">
      <c r="A637" s="5">
        <v>19109</v>
      </c>
      <c r="B637" s="5" t="s">
        <v>1592</v>
      </c>
      <c r="C637" s="5" t="s">
        <v>1593</v>
      </c>
      <c r="D637" s="5" t="s">
        <v>493</v>
      </c>
      <c r="E637" s="5" t="s">
        <v>110</v>
      </c>
    </row>
    <row r="638" spans="1:5" x14ac:dyDescent="0.25">
      <c r="A638" s="5">
        <v>19200</v>
      </c>
      <c r="B638" s="5" t="s">
        <v>1594</v>
      </c>
      <c r="C638" s="5" t="s">
        <v>1595</v>
      </c>
      <c r="D638" s="5" t="s">
        <v>1596</v>
      </c>
      <c r="E638" s="5" t="s">
        <v>351</v>
      </c>
    </row>
    <row r="639" spans="1:5" x14ac:dyDescent="0.25">
      <c r="A639" s="5">
        <v>11018</v>
      </c>
      <c r="B639" s="5" t="s">
        <v>1597</v>
      </c>
      <c r="C639" s="5" t="s">
        <v>1598</v>
      </c>
      <c r="D639" s="5" t="s">
        <v>1599</v>
      </c>
      <c r="E639" s="5" t="s">
        <v>89</v>
      </c>
    </row>
    <row r="640" spans="1:5" x14ac:dyDescent="0.25">
      <c r="A640" s="5" t="s">
        <v>74</v>
      </c>
      <c r="B640" s="5" t="s">
        <v>1600</v>
      </c>
      <c r="C640" s="5" t="s">
        <v>1601</v>
      </c>
      <c r="D640" s="5" t="s">
        <v>74</v>
      </c>
      <c r="E640" s="5" t="s">
        <v>74</v>
      </c>
    </row>
    <row r="641" spans="1:5" x14ac:dyDescent="0.25">
      <c r="A641" s="5">
        <v>17065</v>
      </c>
      <c r="B641" s="5" t="s">
        <v>1602</v>
      </c>
      <c r="C641" s="5" t="s">
        <v>1603</v>
      </c>
      <c r="D641" s="5" t="s">
        <v>1604</v>
      </c>
      <c r="E641" s="5" t="s">
        <v>89</v>
      </c>
    </row>
    <row r="642" spans="1:5" x14ac:dyDescent="0.25">
      <c r="A642" s="5">
        <v>13100</v>
      </c>
      <c r="B642" s="5" t="s">
        <v>1605</v>
      </c>
      <c r="C642" s="5" t="s">
        <v>1606</v>
      </c>
      <c r="D642" s="5" t="s">
        <v>1607</v>
      </c>
      <c r="E642" s="5" t="s">
        <v>1265</v>
      </c>
    </row>
    <row r="643" spans="1:5" x14ac:dyDescent="0.25">
      <c r="A643" s="5">
        <v>13195</v>
      </c>
      <c r="B643" s="5" t="s">
        <v>1608</v>
      </c>
      <c r="C643" s="5" t="s">
        <v>1609</v>
      </c>
      <c r="D643" s="5" t="s">
        <v>1610</v>
      </c>
      <c r="E643" s="5" t="s">
        <v>72</v>
      </c>
    </row>
    <row r="644" spans="1:5" x14ac:dyDescent="0.25">
      <c r="A644" s="5">
        <v>12095</v>
      </c>
      <c r="B644" s="5" t="s">
        <v>1611</v>
      </c>
      <c r="C644" s="5" t="s">
        <v>1612</v>
      </c>
      <c r="D644" s="5" t="s">
        <v>259</v>
      </c>
      <c r="E644" s="5" t="s">
        <v>72</v>
      </c>
    </row>
    <row r="645" spans="1:5" x14ac:dyDescent="0.25">
      <c r="A645" s="5">
        <v>17142</v>
      </c>
      <c r="B645" s="5" t="s">
        <v>1613</v>
      </c>
      <c r="C645" s="5" t="s">
        <v>1614</v>
      </c>
      <c r="D645" s="5" t="s">
        <v>1615</v>
      </c>
      <c r="E645" s="5" t="s">
        <v>188</v>
      </c>
    </row>
    <row r="646" spans="1:5" x14ac:dyDescent="0.25">
      <c r="A646" s="5" t="s">
        <v>1617</v>
      </c>
      <c r="B646" s="5" t="s">
        <v>1616</v>
      </c>
      <c r="C646" s="5" t="s">
        <v>1618</v>
      </c>
      <c r="D646" s="5" t="s">
        <v>419</v>
      </c>
      <c r="E646" s="5" t="s">
        <v>93</v>
      </c>
    </row>
    <row r="647" spans="1:5" x14ac:dyDescent="0.25">
      <c r="A647" s="5">
        <v>12109</v>
      </c>
      <c r="B647" s="5" t="s">
        <v>1619</v>
      </c>
      <c r="C647" s="5" t="s">
        <v>1620</v>
      </c>
      <c r="D647" s="5" t="s">
        <v>1621</v>
      </c>
      <c r="E647" s="5" t="s">
        <v>93</v>
      </c>
    </row>
    <row r="648" spans="1:5" x14ac:dyDescent="0.25">
      <c r="A648" s="5">
        <v>13059</v>
      </c>
      <c r="B648" s="5" t="s">
        <v>1622</v>
      </c>
      <c r="C648" s="5" t="s">
        <v>1623</v>
      </c>
      <c r="D648" s="5" t="s">
        <v>606</v>
      </c>
      <c r="E648" s="5" t="s">
        <v>110</v>
      </c>
    </row>
    <row r="649" spans="1:5" x14ac:dyDescent="0.25">
      <c r="A649" s="5">
        <v>19256</v>
      </c>
      <c r="B649" s="5" t="s">
        <v>1624</v>
      </c>
      <c r="C649" s="5" t="s">
        <v>1625</v>
      </c>
      <c r="D649" s="5" t="s">
        <v>80</v>
      </c>
      <c r="E649" s="5" t="s">
        <v>81</v>
      </c>
    </row>
    <row r="650" spans="1:5" x14ac:dyDescent="0.25">
      <c r="A650" s="5">
        <v>11039</v>
      </c>
      <c r="B650" s="5" t="s">
        <v>1626</v>
      </c>
      <c r="C650" s="5" t="s">
        <v>1627</v>
      </c>
      <c r="D650" s="5" t="s">
        <v>435</v>
      </c>
      <c r="E650" s="5" t="s">
        <v>85</v>
      </c>
    </row>
    <row r="651" spans="1:5" x14ac:dyDescent="0.25">
      <c r="A651" s="5">
        <v>19232</v>
      </c>
      <c r="B651" s="5" t="s">
        <v>1628</v>
      </c>
      <c r="C651" s="5" t="s">
        <v>1629</v>
      </c>
      <c r="D651" s="5" t="s">
        <v>88</v>
      </c>
      <c r="E651" s="5" t="s">
        <v>89</v>
      </c>
    </row>
    <row r="652" spans="1:5" x14ac:dyDescent="0.25">
      <c r="A652" s="5">
        <v>26005</v>
      </c>
      <c r="B652" s="5" t="s">
        <v>1630</v>
      </c>
      <c r="C652" s="5" t="s">
        <v>1631</v>
      </c>
      <c r="D652" s="5" t="s">
        <v>1632</v>
      </c>
      <c r="E652" s="5" t="s">
        <v>188</v>
      </c>
    </row>
    <row r="653" spans="1:5" x14ac:dyDescent="0.25">
      <c r="A653" s="5">
        <v>13080</v>
      </c>
      <c r="B653" s="5" t="s">
        <v>1633</v>
      </c>
      <c r="C653" s="5" t="s">
        <v>1634</v>
      </c>
      <c r="D653" s="5" t="s">
        <v>246</v>
      </c>
      <c r="E653" s="5" t="s">
        <v>85</v>
      </c>
    </row>
    <row r="654" spans="1:5" x14ac:dyDescent="0.25">
      <c r="A654" s="5">
        <v>26119</v>
      </c>
      <c r="B654" s="5" t="s">
        <v>1635</v>
      </c>
      <c r="C654" s="5" t="s">
        <v>1636</v>
      </c>
      <c r="D654" s="5" t="s">
        <v>1637</v>
      </c>
      <c r="E654" s="5" t="s">
        <v>348</v>
      </c>
    </row>
    <row r="655" spans="1:5" x14ac:dyDescent="0.25">
      <c r="A655" s="5">
        <v>28035</v>
      </c>
      <c r="B655" s="5" t="s">
        <v>1638</v>
      </c>
      <c r="C655" s="5" t="s">
        <v>1639</v>
      </c>
      <c r="D655" s="5" t="s">
        <v>1640</v>
      </c>
      <c r="E655" s="5" t="s">
        <v>628</v>
      </c>
    </row>
    <row r="656" spans="1:5" x14ac:dyDescent="0.25">
      <c r="A656" s="5" t="s">
        <v>1642</v>
      </c>
      <c r="B656" s="5" t="s">
        <v>1641</v>
      </c>
      <c r="C656" s="5" t="s">
        <v>1643</v>
      </c>
      <c r="D656" s="5" t="s">
        <v>513</v>
      </c>
      <c r="E656" s="5" t="s">
        <v>89</v>
      </c>
    </row>
    <row r="657" spans="1:5" x14ac:dyDescent="0.25">
      <c r="A657" s="5">
        <v>92003</v>
      </c>
      <c r="B657" s="5" t="s">
        <v>1644</v>
      </c>
      <c r="C657" s="5" t="s">
        <v>1645</v>
      </c>
      <c r="D657" s="5" t="s">
        <v>1646</v>
      </c>
      <c r="E657" s="5" t="s">
        <v>188</v>
      </c>
    </row>
    <row r="658" spans="1:5" x14ac:dyDescent="0.25">
      <c r="A658" s="5">
        <v>13067</v>
      </c>
      <c r="B658" s="5" t="s">
        <v>1647</v>
      </c>
      <c r="C658" s="5" t="s">
        <v>1648</v>
      </c>
      <c r="D658" s="5" t="s">
        <v>1649</v>
      </c>
      <c r="E658" s="5" t="s">
        <v>110</v>
      </c>
    </row>
    <row r="659" spans="1:5" x14ac:dyDescent="0.25">
      <c r="A659" s="5">
        <v>19128</v>
      </c>
      <c r="B659" s="5" t="s">
        <v>1650</v>
      </c>
      <c r="C659" s="5" t="s">
        <v>1651</v>
      </c>
      <c r="D659" s="5" t="s">
        <v>1264</v>
      </c>
      <c r="E659" s="5" t="s">
        <v>89</v>
      </c>
    </row>
    <row r="660" spans="1:5" x14ac:dyDescent="0.25">
      <c r="A660" s="5">
        <v>16085</v>
      </c>
      <c r="B660" s="5" t="s">
        <v>1652</v>
      </c>
      <c r="C660" s="5" t="s">
        <v>1653</v>
      </c>
      <c r="D660" s="5" t="s">
        <v>475</v>
      </c>
      <c r="E660" s="5" t="s">
        <v>72</v>
      </c>
    </row>
    <row r="661" spans="1:5" x14ac:dyDescent="0.25">
      <c r="A661" s="5">
        <v>21038</v>
      </c>
      <c r="B661" s="5" t="s">
        <v>1654</v>
      </c>
      <c r="C661" s="5" t="s">
        <v>1655</v>
      </c>
      <c r="D661" s="5" t="s">
        <v>1656</v>
      </c>
      <c r="E661" s="5" t="s">
        <v>77</v>
      </c>
    </row>
    <row r="662" spans="1:5" x14ac:dyDescent="0.25">
      <c r="A662" s="5" t="s">
        <v>74</v>
      </c>
      <c r="B662" s="5" t="s">
        <v>1657</v>
      </c>
      <c r="C662" s="5" t="s">
        <v>1658</v>
      </c>
      <c r="D662" s="5" t="s">
        <v>485</v>
      </c>
      <c r="E662" s="5" t="s">
        <v>140</v>
      </c>
    </row>
    <row r="663" spans="1:5" x14ac:dyDescent="0.25">
      <c r="A663" s="5" t="s">
        <v>74</v>
      </c>
      <c r="B663" s="5" t="s">
        <v>1659</v>
      </c>
      <c r="C663" s="5" t="s">
        <v>1660</v>
      </c>
      <c r="D663" s="5" t="s">
        <v>74</v>
      </c>
      <c r="E663" s="5" t="s">
        <v>74</v>
      </c>
    </row>
    <row r="664" spans="1:5" x14ac:dyDescent="0.25">
      <c r="A664" s="5" t="s">
        <v>74</v>
      </c>
      <c r="B664" s="5" t="s">
        <v>1661</v>
      </c>
      <c r="C664" s="5" t="s">
        <v>1662</v>
      </c>
      <c r="D664" s="5" t="s">
        <v>74</v>
      </c>
      <c r="E664" s="5" t="s">
        <v>74</v>
      </c>
    </row>
    <row r="665" spans="1:5" x14ac:dyDescent="0.25">
      <c r="A665" s="5" t="s">
        <v>74</v>
      </c>
      <c r="B665" s="5" t="s">
        <v>51</v>
      </c>
      <c r="C665" s="5" t="s">
        <v>1663</v>
      </c>
      <c r="D665" s="5" t="s">
        <v>74</v>
      </c>
      <c r="E665" s="5" t="s">
        <v>74</v>
      </c>
    </row>
    <row r="666" spans="1:5" x14ac:dyDescent="0.25">
      <c r="A666" s="5" t="s">
        <v>74</v>
      </c>
      <c r="B666" s="5" t="s">
        <v>1664</v>
      </c>
      <c r="C666" s="5" t="s">
        <v>1665</v>
      </c>
      <c r="D666" s="5" t="s">
        <v>74</v>
      </c>
      <c r="E666" s="5" t="s">
        <v>74</v>
      </c>
    </row>
    <row r="667" spans="1:5" x14ac:dyDescent="0.25">
      <c r="A667" s="5" t="s">
        <v>74</v>
      </c>
      <c r="B667" s="5" t="s">
        <v>1666</v>
      </c>
      <c r="C667" s="5" t="s">
        <v>1667</v>
      </c>
      <c r="D667" s="5" t="s">
        <v>74</v>
      </c>
      <c r="E667" s="5" t="s">
        <v>74</v>
      </c>
    </row>
    <row r="668" spans="1:5" x14ac:dyDescent="0.25">
      <c r="A668" s="5" t="s">
        <v>74</v>
      </c>
      <c r="B668" s="5" t="s">
        <v>1668</v>
      </c>
      <c r="C668" s="5" t="s">
        <v>1669</v>
      </c>
      <c r="D668" s="5" t="s">
        <v>74</v>
      </c>
      <c r="E668" s="5" t="s">
        <v>74</v>
      </c>
    </row>
    <row r="669" spans="1:5" x14ac:dyDescent="0.25">
      <c r="A669" s="5" t="s">
        <v>74</v>
      </c>
      <c r="B669" s="5" t="s">
        <v>1670</v>
      </c>
      <c r="C669" s="5" t="s">
        <v>1671</v>
      </c>
      <c r="D669" s="5" t="s">
        <v>74</v>
      </c>
      <c r="E669" s="5" t="s">
        <v>74</v>
      </c>
    </row>
    <row r="670" spans="1:5" x14ac:dyDescent="0.25">
      <c r="A670" s="5" t="s">
        <v>74</v>
      </c>
      <c r="B670" s="5" t="s">
        <v>1672</v>
      </c>
      <c r="C670" s="5" t="s">
        <v>1673</v>
      </c>
      <c r="D670" s="5" t="s">
        <v>74</v>
      </c>
      <c r="E670" s="5" t="s">
        <v>74</v>
      </c>
    </row>
    <row r="671" spans="1:5" x14ac:dyDescent="0.25">
      <c r="A671" s="5">
        <v>19185</v>
      </c>
      <c r="B671" s="5" t="s">
        <v>1674</v>
      </c>
      <c r="C671" s="5" t="s">
        <v>1675</v>
      </c>
      <c r="D671" s="5" t="s">
        <v>1676</v>
      </c>
      <c r="E671" s="5" t="s">
        <v>117</v>
      </c>
    </row>
    <row r="672" spans="1:5" x14ac:dyDescent="0.25">
      <c r="A672" s="5" t="s">
        <v>74</v>
      </c>
      <c r="B672" s="5" t="s">
        <v>1677</v>
      </c>
      <c r="C672" s="5" t="s">
        <v>1678</v>
      </c>
      <c r="D672" s="5" t="s">
        <v>74</v>
      </c>
      <c r="E672" s="5" t="s">
        <v>74</v>
      </c>
    </row>
    <row r="673" spans="1:5" x14ac:dyDescent="0.25">
      <c r="A673" s="5" t="s">
        <v>74</v>
      </c>
      <c r="B673" s="5" t="s">
        <v>1679</v>
      </c>
      <c r="C673" s="5" t="s">
        <v>1680</v>
      </c>
      <c r="D673" s="5" t="s">
        <v>74</v>
      </c>
      <c r="E673" s="5" t="s">
        <v>74</v>
      </c>
    </row>
    <row r="674" spans="1:5" x14ac:dyDescent="0.25">
      <c r="A674" s="5">
        <v>27120</v>
      </c>
      <c r="B674" s="5" t="s">
        <v>1681</v>
      </c>
      <c r="C674" s="5" t="s">
        <v>1682</v>
      </c>
      <c r="D674" s="5" t="s">
        <v>685</v>
      </c>
      <c r="E674" s="5" t="s">
        <v>85</v>
      </c>
    </row>
    <row r="675" spans="1:5" x14ac:dyDescent="0.25">
      <c r="A675" s="5">
        <v>19001</v>
      </c>
      <c r="B675" s="5" t="s">
        <v>1683</v>
      </c>
      <c r="C675" s="5" t="s">
        <v>1684</v>
      </c>
      <c r="D675" s="5" t="s">
        <v>393</v>
      </c>
      <c r="E675" s="5" t="s">
        <v>89</v>
      </c>
    </row>
    <row r="676" spans="1:5" x14ac:dyDescent="0.25">
      <c r="A676" s="5">
        <v>12036</v>
      </c>
      <c r="B676" s="5" t="s">
        <v>1685</v>
      </c>
      <c r="C676" s="5" t="s">
        <v>1686</v>
      </c>
      <c r="D676" s="5" t="s">
        <v>530</v>
      </c>
      <c r="E676" s="5" t="s">
        <v>89</v>
      </c>
    </row>
    <row r="677" spans="1:5" x14ac:dyDescent="0.25">
      <c r="A677" s="5">
        <v>13075</v>
      </c>
      <c r="B677" s="5" t="s">
        <v>1687</v>
      </c>
      <c r="C677" s="5" t="s">
        <v>1688</v>
      </c>
      <c r="D677" s="5" t="s">
        <v>1689</v>
      </c>
      <c r="E677" s="5" t="s">
        <v>81</v>
      </c>
    </row>
    <row r="678" spans="1:5" x14ac:dyDescent="0.25">
      <c r="A678" s="5">
        <v>19054</v>
      </c>
      <c r="B678" s="5" t="s">
        <v>1690</v>
      </c>
      <c r="C678" s="5" t="s">
        <v>1691</v>
      </c>
      <c r="D678" s="5" t="s">
        <v>729</v>
      </c>
      <c r="E678" s="5" t="s">
        <v>81</v>
      </c>
    </row>
    <row r="679" spans="1:5" x14ac:dyDescent="0.25">
      <c r="A679" s="5">
        <v>17098</v>
      </c>
      <c r="B679" s="5" t="s">
        <v>1692</v>
      </c>
      <c r="C679" s="5" t="s">
        <v>1693</v>
      </c>
      <c r="D679" s="5" t="s">
        <v>220</v>
      </c>
      <c r="E679" s="5" t="s">
        <v>72</v>
      </c>
    </row>
    <row r="680" spans="1:5" x14ac:dyDescent="0.25">
      <c r="A680" s="5">
        <v>17042</v>
      </c>
      <c r="B680" s="5" t="s">
        <v>1694</v>
      </c>
      <c r="C680" s="5" t="s">
        <v>1695</v>
      </c>
      <c r="D680" s="5" t="s">
        <v>1696</v>
      </c>
      <c r="E680" s="5" t="s">
        <v>188</v>
      </c>
    </row>
    <row r="681" spans="1:5" x14ac:dyDescent="0.25">
      <c r="A681" s="5">
        <v>10038</v>
      </c>
      <c r="B681" s="5" t="s">
        <v>1697</v>
      </c>
      <c r="C681" s="5" t="s">
        <v>1698</v>
      </c>
      <c r="D681" s="5" t="s">
        <v>1699</v>
      </c>
      <c r="E681" s="5" t="s">
        <v>1261</v>
      </c>
    </row>
    <row r="682" spans="1:5" x14ac:dyDescent="0.25">
      <c r="A682" s="5">
        <v>18071</v>
      </c>
      <c r="B682" s="5" t="s">
        <v>1700</v>
      </c>
      <c r="C682" s="5" t="s">
        <v>1701</v>
      </c>
      <c r="D682" s="5" t="s">
        <v>1702</v>
      </c>
      <c r="E682" s="5" t="s">
        <v>1265</v>
      </c>
    </row>
    <row r="683" spans="1:5" x14ac:dyDescent="0.25">
      <c r="A683" s="5" t="s">
        <v>74</v>
      </c>
      <c r="B683" s="5" t="s">
        <v>1703</v>
      </c>
      <c r="C683" s="5" t="s">
        <v>1704</v>
      </c>
      <c r="D683" s="5" t="s">
        <v>74</v>
      </c>
      <c r="E683" s="5" t="s">
        <v>74</v>
      </c>
    </row>
    <row r="684" spans="1:5" x14ac:dyDescent="0.25">
      <c r="A684" s="5" t="s">
        <v>74</v>
      </c>
      <c r="B684" s="5" t="s">
        <v>1705</v>
      </c>
      <c r="C684" s="5" t="s">
        <v>1706</v>
      </c>
      <c r="D684" s="5" t="s">
        <v>74</v>
      </c>
      <c r="E684" s="5" t="s">
        <v>74</v>
      </c>
    </row>
    <row r="685" spans="1:5" x14ac:dyDescent="0.25">
      <c r="A685" s="5" t="s">
        <v>74</v>
      </c>
      <c r="B685" s="5" t="s">
        <v>1707</v>
      </c>
      <c r="C685" s="5" t="s">
        <v>1708</v>
      </c>
      <c r="D685" s="5" t="s">
        <v>74</v>
      </c>
      <c r="E685" s="5" t="s">
        <v>74</v>
      </c>
    </row>
    <row r="686" spans="1:5" x14ac:dyDescent="0.25">
      <c r="A686" s="5">
        <v>16043</v>
      </c>
      <c r="B686" s="5" t="s">
        <v>1709</v>
      </c>
      <c r="C686" s="5" t="s">
        <v>1710</v>
      </c>
      <c r="D686" s="5" t="s">
        <v>116</v>
      </c>
      <c r="E686" s="5" t="s">
        <v>117</v>
      </c>
    </row>
    <row r="687" spans="1:5" x14ac:dyDescent="0.25">
      <c r="A687" s="5" t="s">
        <v>74</v>
      </c>
      <c r="B687" s="5" t="s">
        <v>1711</v>
      </c>
      <c r="C687" s="5" t="s">
        <v>1712</v>
      </c>
      <c r="D687" s="5" t="s">
        <v>74</v>
      </c>
      <c r="E687" s="5" t="s">
        <v>74</v>
      </c>
    </row>
    <row r="688" spans="1:5" x14ac:dyDescent="0.25">
      <c r="A688" s="5">
        <v>12022</v>
      </c>
      <c r="B688" s="5" t="s">
        <v>1713</v>
      </c>
      <c r="C688" s="5" t="s">
        <v>1714</v>
      </c>
      <c r="D688" s="5" t="s">
        <v>764</v>
      </c>
      <c r="E688" s="5" t="s">
        <v>97</v>
      </c>
    </row>
    <row r="689" spans="1:5" x14ac:dyDescent="0.25">
      <c r="A689" s="5">
        <v>24040</v>
      </c>
      <c r="B689" s="5" t="s">
        <v>1715</v>
      </c>
      <c r="C689" s="5" t="s">
        <v>1716</v>
      </c>
      <c r="D689" s="5" t="s">
        <v>850</v>
      </c>
      <c r="E689" s="5" t="s">
        <v>89</v>
      </c>
    </row>
    <row r="690" spans="1:5" x14ac:dyDescent="0.25">
      <c r="A690" s="5">
        <v>99073</v>
      </c>
      <c r="B690" s="5" t="s">
        <v>1717</v>
      </c>
      <c r="C690" s="5" t="s">
        <v>1718</v>
      </c>
      <c r="D690" s="5" t="s">
        <v>590</v>
      </c>
      <c r="E690" s="5" t="s">
        <v>89</v>
      </c>
    </row>
    <row r="691" spans="1:5" x14ac:dyDescent="0.25">
      <c r="A691" s="5" t="s">
        <v>74</v>
      </c>
      <c r="B691" s="5" t="s">
        <v>1719</v>
      </c>
      <c r="C691" s="5" t="s">
        <v>1720</v>
      </c>
      <c r="D691" s="5" t="s">
        <v>74</v>
      </c>
      <c r="E691" s="5" t="s">
        <v>74</v>
      </c>
    </row>
    <row r="692" spans="1:5" x14ac:dyDescent="0.25">
      <c r="A692" s="5" t="s">
        <v>74</v>
      </c>
      <c r="B692" s="5" t="s">
        <v>1721</v>
      </c>
      <c r="C692" s="5" t="s">
        <v>1722</v>
      </c>
      <c r="D692" s="5" t="s">
        <v>74</v>
      </c>
      <c r="E692" s="5" t="s">
        <v>74</v>
      </c>
    </row>
    <row r="693" spans="1:5" x14ac:dyDescent="0.25">
      <c r="A693" s="5" t="s">
        <v>74</v>
      </c>
      <c r="B693" s="5" t="s">
        <v>1723</v>
      </c>
      <c r="C693" s="5" t="s">
        <v>1724</v>
      </c>
      <c r="D693" s="5" t="s">
        <v>74</v>
      </c>
      <c r="E693" s="5" t="s">
        <v>74</v>
      </c>
    </row>
    <row r="694" spans="1:5" x14ac:dyDescent="0.25">
      <c r="A694" s="5" t="s">
        <v>74</v>
      </c>
      <c r="B694" s="5" t="s">
        <v>1725</v>
      </c>
      <c r="C694" s="5" t="s">
        <v>1726</v>
      </c>
      <c r="D694" s="5" t="s">
        <v>74</v>
      </c>
      <c r="E694" s="5" t="s">
        <v>74</v>
      </c>
    </row>
    <row r="695" spans="1:5" x14ac:dyDescent="0.25">
      <c r="A695" s="5">
        <v>29056</v>
      </c>
      <c r="B695" s="5" t="s">
        <v>1727</v>
      </c>
      <c r="C695" s="5" t="s">
        <v>1728</v>
      </c>
      <c r="D695" s="5" t="s">
        <v>1729</v>
      </c>
      <c r="E695" s="5" t="s">
        <v>89</v>
      </c>
    </row>
    <row r="696" spans="1:5" x14ac:dyDescent="0.25">
      <c r="A696" s="5">
        <v>25066</v>
      </c>
      <c r="B696" s="5" t="s">
        <v>1730</v>
      </c>
      <c r="C696" s="5" t="s">
        <v>1731</v>
      </c>
      <c r="D696" s="5" t="s">
        <v>475</v>
      </c>
      <c r="E696" s="5" t="s">
        <v>89</v>
      </c>
    </row>
    <row r="697" spans="1:5" x14ac:dyDescent="0.25">
      <c r="A697" s="5">
        <v>12013</v>
      </c>
      <c r="B697" s="5" t="s">
        <v>1732</v>
      </c>
      <c r="C697" s="5" t="s">
        <v>1733</v>
      </c>
      <c r="D697" s="5" t="s">
        <v>1734</v>
      </c>
      <c r="E697" s="5" t="s">
        <v>188</v>
      </c>
    </row>
    <row r="698" spans="1:5" x14ac:dyDescent="0.25">
      <c r="A698" s="5">
        <v>10052</v>
      </c>
      <c r="B698" s="5" t="s">
        <v>1735</v>
      </c>
      <c r="C698" s="5" t="s">
        <v>1736</v>
      </c>
      <c r="D698" s="5" t="s">
        <v>315</v>
      </c>
      <c r="E698" s="5" t="s">
        <v>89</v>
      </c>
    </row>
    <row r="699" spans="1:5" x14ac:dyDescent="0.25">
      <c r="A699" s="5">
        <v>15163</v>
      </c>
      <c r="B699" s="5" t="s">
        <v>1737</v>
      </c>
      <c r="C699" s="5" t="s">
        <v>1738</v>
      </c>
      <c r="D699" s="5" t="s">
        <v>246</v>
      </c>
      <c r="E699" s="5" t="s">
        <v>93</v>
      </c>
    </row>
    <row r="700" spans="1:5" x14ac:dyDescent="0.25">
      <c r="A700" s="5">
        <v>13035</v>
      </c>
      <c r="B700" s="5" t="s">
        <v>1739</v>
      </c>
      <c r="C700" s="5" t="s">
        <v>1740</v>
      </c>
      <c r="D700" s="5" t="s">
        <v>1741</v>
      </c>
      <c r="E700" s="5" t="s">
        <v>89</v>
      </c>
    </row>
    <row r="701" spans="1:5" x14ac:dyDescent="0.25">
      <c r="A701" s="5">
        <v>19098</v>
      </c>
      <c r="B701" s="5" t="s">
        <v>1742</v>
      </c>
      <c r="C701" s="5" t="s">
        <v>1743</v>
      </c>
      <c r="D701" s="5" t="s">
        <v>452</v>
      </c>
      <c r="E701" s="5" t="s">
        <v>117</v>
      </c>
    </row>
    <row r="702" spans="1:5" x14ac:dyDescent="0.25">
      <c r="A702" s="5">
        <v>19083</v>
      </c>
      <c r="B702" s="5" t="s">
        <v>1744</v>
      </c>
      <c r="C702" s="5" t="s">
        <v>1745</v>
      </c>
      <c r="D702" s="5" t="s">
        <v>1746</v>
      </c>
      <c r="E702" s="5" t="s">
        <v>312</v>
      </c>
    </row>
    <row r="703" spans="1:5" x14ac:dyDescent="0.25">
      <c r="A703" s="5">
        <v>19179</v>
      </c>
      <c r="B703" s="5" t="s">
        <v>1747</v>
      </c>
      <c r="C703" s="5" t="s">
        <v>1748</v>
      </c>
      <c r="D703" s="5" t="s">
        <v>1749</v>
      </c>
      <c r="E703" s="5" t="s">
        <v>89</v>
      </c>
    </row>
    <row r="704" spans="1:5" x14ac:dyDescent="0.25">
      <c r="A704" s="5">
        <v>13071</v>
      </c>
      <c r="B704" s="5" t="s">
        <v>1750</v>
      </c>
      <c r="C704" s="5" t="s">
        <v>1751</v>
      </c>
      <c r="D704" s="5" t="s">
        <v>1109</v>
      </c>
      <c r="E704" s="5" t="s">
        <v>1265</v>
      </c>
    </row>
    <row r="705" spans="1:5" x14ac:dyDescent="0.25">
      <c r="A705" s="5" t="s">
        <v>74</v>
      </c>
      <c r="B705" s="5" t="s">
        <v>1752</v>
      </c>
      <c r="C705" s="5" t="s">
        <v>1753</v>
      </c>
      <c r="D705" s="5" t="s">
        <v>74</v>
      </c>
      <c r="E705" s="5" t="s">
        <v>74</v>
      </c>
    </row>
    <row r="706" spans="1:5" x14ac:dyDescent="0.25">
      <c r="A706" s="5" t="s">
        <v>74</v>
      </c>
      <c r="B706" s="5" t="s">
        <v>1754</v>
      </c>
      <c r="C706" s="5" t="s">
        <v>1755</v>
      </c>
      <c r="D706" s="5" t="s">
        <v>74</v>
      </c>
      <c r="E706" s="5" t="s">
        <v>74</v>
      </c>
    </row>
    <row r="707" spans="1:5" x14ac:dyDescent="0.25">
      <c r="A707" s="5" t="s">
        <v>74</v>
      </c>
      <c r="B707" s="5" t="s">
        <v>1756</v>
      </c>
      <c r="C707" s="5" t="s">
        <v>1757</v>
      </c>
      <c r="D707" s="5" t="s">
        <v>74</v>
      </c>
      <c r="E707" s="5" t="s">
        <v>74</v>
      </c>
    </row>
    <row r="708" spans="1:5" x14ac:dyDescent="0.25">
      <c r="A708" s="5" t="s">
        <v>74</v>
      </c>
      <c r="B708" s="5" t="s">
        <v>1758</v>
      </c>
      <c r="C708" s="5" t="s">
        <v>1759</v>
      </c>
      <c r="D708" s="5" t="s">
        <v>74</v>
      </c>
      <c r="E708" s="5" t="s">
        <v>74</v>
      </c>
    </row>
    <row r="709" spans="1:5" x14ac:dyDescent="0.25">
      <c r="A709" s="5" t="s">
        <v>74</v>
      </c>
      <c r="B709" s="5" t="s">
        <v>1760</v>
      </c>
      <c r="C709" s="5" t="s">
        <v>1761</v>
      </c>
      <c r="D709" s="5" t="s">
        <v>74</v>
      </c>
      <c r="E709" s="5" t="s">
        <v>74</v>
      </c>
    </row>
    <row r="710" spans="1:5" x14ac:dyDescent="0.25">
      <c r="A710" s="5" t="s">
        <v>74</v>
      </c>
      <c r="B710" s="5" t="s">
        <v>1762</v>
      </c>
      <c r="C710" s="5" t="s">
        <v>1763</v>
      </c>
      <c r="D710" s="5" t="s">
        <v>74</v>
      </c>
      <c r="E710" s="5" t="s">
        <v>74</v>
      </c>
    </row>
    <row r="711" spans="1:5" x14ac:dyDescent="0.25">
      <c r="A711" s="5" t="s">
        <v>74</v>
      </c>
      <c r="B711" s="5" t="s">
        <v>1764</v>
      </c>
      <c r="C711" s="5" t="s">
        <v>1765</v>
      </c>
      <c r="D711" s="5" t="s">
        <v>74</v>
      </c>
      <c r="E711" s="5" t="s">
        <v>74</v>
      </c>
    </row>
    <row r="712" spans="1:5" x14ac:dyDescent="0.25">
      <c r="A712" s="5" t="s">
        <v>74</v>
      </c>
      <c r="B712" s="5" t="s">
        <v>1766</v>
      </c>
      <c r="C712" s="5" t="s">
        <v>1767</v>
      </c>
      <c r="D712" s="5" t="s">
        <v>74</v>
      </c>
      <c r="E712" s="5" t="s">
        <v>74</v>
      </c>
    </row>
    <row r="713" spans="1:5" x14ac:dyDescent="0.25">
      <c r="A713" s="5" t="s">
        <v>74</v>
      </c>
      <c r="B713" s="5" t="s">
        <v>1768</v>
      </c>
      <c r="C713" s="5" t="s">
        <v>1769</v>
      </c>
      <c r="D713" s="5" t="s">
        <v>74</v>
      </c>
      <c r="E713" s="5" t="s">
        <v>74</v>
      </c>
    </row>
    <row r="714" spans="1:5" x14ac:dyDescent="0.25">
      <c r="A714" s="5" t="s">
        <v>74</v>
      </c>
      <c r="B714" s="5" t="s">
        <v>1770</v>
      </c>
      <c r="C714" s="5" t="s">
        <v>1771</v>
      </c>
      <c r="D714" s="5" t="s">
        <v>74</v>
      </c>
      <c r="E714" s="5" t="s">
        <v>1772</v>
      </c>
    </row>
    <row r="715" spans="1:5" x14ac:dyDescent="0.25">
      <c r="A715" s="5">
        <v>16136</v>
      </c>
      <c r="B715" s="5" t="s">
        <v>1773</v>
      </c>
      <c r="C715" s="5" t="s">
        <v>1774</v>
      </c>
      <c r="D715" s="5" t="s">
        <v>1775</v>
      </c>
      <c r="E715" s="5" t="s">
        <v>1568</v>
      </c>
    </row>
    <row r="716" spans="1:5" x14ac:dyDescent="0.25">
      <c r="A716" s="5">
        <v>18211</v>
      </c>
      <c r="B716" s="5" t="s">
        <v>1776</v>
      </c>
      <c r="C716" s="5" t="s">
        <v>1777</v>
      </c>
      <c r="D716" s="5" t="s">
        <v>1778</v>
      </c>
      <c r="E716" s="5" t="s">
        <v>1668</v>
      </c>
    </row>
    <row r="717" spans="1:5" x14ac:dyDescent="0.25">
      <c r="A717" s="5" t="s">
        <v>74</v>
      </c>
      <c r="B717" s="5" t="s">
        <v>1779</v>
      </c>
      <c r="C717" s="5" t="s">
        <v>1780</v>
      </c>
      <c r="D717" s="5" t="s">
        <v>74</v>
      </c>
      <c r="E717" s="5" t="s">
        <v>140</v>
      </c>
    </row>
    <row r="718" spans="1:5" x14ac:dyDescent="0.25">
      <c r="A718" s="5" t="s">
        <v>74</v>
      </c>
      <c r="B718" s="5" t="s">
        <v>1781</v>
      </c>
      <c r="C718" s="5" t="s">
        <v>1782</v>
      </c>
      <c r="D718" s="5" t="s">
        <v>74</v>
      </c>
      <c r="E718" s="5" t="s">
        <v>74</v>
      </c>
    </row>
    <row r="719" spans="1:5" x14ac:dyDescent="0.25">
      <c r="A719" s="5" t="s">
        <v>74</v>
      </c>
      <c r="B719" s="5" t="s">
        <v>1783</v>
      </c>
      <c r="C719" s="5" t="s">
        <v>1784</v>
      </c>
      <c r="D719" s="5" t="s">
        <v>74</v>
      </c>
      <c r="E719" s="5" t="s">
        <v>74</v>
      </c>
    </row>
    <row r="720" spans="1:5" x14ac:dyDescent="0.25">
      <c r="A720" s="5" t="s">
        <v>74</v>
      </c>
      <c r="B720" s="5" t="s">
        <v>1785</v>
      </c>
      <c r="C720" s="5" t="s">
        <v>1786</v>
      </c>
      <c r="D720" s="5" t="s">
        <v>74</v>
      </c>
      <c r="E720" s="5" t="s">
        <v>74</v>
      </c>
    </row>
    <row r="721" spans="1:5" x14ac:dyDescent="0.25">
      <c r="A721" s="5" t="s">
        <v>74</v>
      </c>
      <c r="B721" s="5" t="s">
        <v>1787</v>
      </c>
      <c r="C721" s="5" t="s">
        <v>1788</v>
      </c>
      <c r="D721" s="5" t="s">
        <v>74</v>
      </c>
      <c r="E721" s="5" t="s">
        <v>74</v>
      </c>
    </row>
    <row r="722" spans="1:5" x14ac:dyDescent="0.25">
      <c r="A722" s="5" t="s">
        <v>74</v>
      </c>
      <c r="B722" s="5" t="s">
        <v>1789</v>
      </c>
      <c r="C722" s="5" t="s">
        <v>1790</v>
      </c>
      <c r="D722" s="5" t="s">
        <v>74</v>
      </c>
      <c r="E722" s="5" t="s">
        <v>74</v>
      </c>
    </row>
    <row r="723" spans="1:5" x14ac:dyDescent="0.25">
      <c r="A723" s="5" t="s">
        <v>74</v>
      </c>
      <c r="B723" s="5" t="s">
        <v>1791</v>
      </c>
      <c r="C723" s="5" t="s">
        <v>1792</v>
      </c>
      <c r="D723" s="5" t="s">
        <v>74</v>
      </c>
      <c r="E723" s="5" t="s">
        <v>74</v>
      </c>
    </row>
    <row r="724" spans="1:5" x14ac:dyDescent="0.25">
      <c r="A724" s="5">
        <v>18129</v>
      </c>
      <c r="B724" s="5" t="s">
        <v>1793</v>
      </c>
      <c r="C724" s="5" t="s">
        <v>1794</v>
      </c>
      <c r="D724" s="5" t="s">
        <v>1795</v>
      </c>
      <c r="E724" s="5" t="s">
        <v>72</v>
      </c>
    </row>
    <row r="725" spans="1:5" x14ac:dyDescent="0.25">
      <c r="A725" s="5" t="s">
        <v>74</v>
      </c>
      <c r="B725" s="5" t="s">
        <v>1796</v>
      </c>
      <c r="C725" s="5" t="s">
        <v>1797</v>
      </c>
      <c r="D725" s="5" t="s">
        <v>74</v>
      </c>
      <c r="E725" s="5" t="s">
        <v>153</v>
      </c>
    </row>
    <row r="726" spans="1:5" x14ac:dyDescent="0.25">
      <c r="A726" s="5">
        <v>18003</v>
      </c>
      <c r="B726" s="5" t="s">
        <v>1798</v>
      </c>
      <c r="C726" s="5" t="s">
        <v>1799</v>
      </c>
      <c r="D726" s="5" t="s">
        <v>294</v>
      </c>
      <c r="E726" s="5" t="s">
        <v>97</v>
      </c>
    </row>
    <row r="727" spans="1:5" x14ac:dyDescent="0.25">
      <c r="A727" s="5" t="s">
        <v>74</v>
      </c>
      <c r="B727" s="5" t="s">
        <v>1800</v>
      </c>
      <c r="C727" s="5" t="s">
        <v>1801</v>
      </c>
      <c r="D727" s="5" t="s">
        <v>1802</v>
      </c>
      <c r="E727" s="5" t="s">
        <v>93</v>
      </c>
    </row>
    <row r="728" spans="1:5" x14ac:dyDescent="0.25">
      <c r="A728" s="5">
        <v>18225</v>
      </c>
      <c r="B728" s="5" t="s">
        <v>1803</v>
      </c>
      <c r="C728" s="5" t="s">
        <v>1804</v>
      </c>
      <c r="D728" s="5" t="s">
        <v>191</v>
      </c>
      <c r="E728" s="5" t="s">
        <v>97</v>
      </c>
    </row>
    <row r="729" spans="1:5" x14ac:dyDescent="0.25">
      <c r="A729" s="5" t="s">
        <v>74</v>
      </c>
      <c r="B729" s="5" t="s">
        <v>1805</v>
      </c>
      <c r="C729" s="5" t="s">
        <v>1806</v>
      </c>
      <c r="D729" s="5" t="s">
        <v>1334</v>
      </c>
      <c r="E729" s="5" t="s">
        <v>97</v>
      </c>
    </row>
    <row r="730" spans="1:5" x14ac:dyDescent="0.25">
      <c r="A730" s="5">
        <v>19211</v>
      </c>
      <c r="B730" s="5" t="s">
        <v>1807</v>
      </c>
      <c r="C730" s="5" t="s">
        <v>1808</v>
      </c>
      <c r="D730" s="5" t="s">
        <v>1809</v>
      </c>
      <c r="E730" s="5" t="s">
        <v>89</v>
      </c>
    </row>
    <row r="731" spans="1:5" x14ac:dyDescent="0.25">
      <c r="A731" s="5" t="s">
        <v>74</v>
      </c>
      <c r="B731" s="5" t="s">
        <v>1810</v>
      </c>
      <c r="C731" s="5" t="s">
        <v>1811</v>
      </c>
      <c r="D731" s="5" t="s">
        <v>393</v>
      </c>
      <c r="E731" s="5" t="s">
        <v>89</v>
      </c>
    </row>
    <row r="732" spans="1:5" x14ac:dyDescent="0.25">
      <c r="A732" s="5" t="s">
        <v>74</v>
      </c>
      <c r="B732" s="5" t="s">
        <v>1812</v>
      </c>
      <c r="C732" s="5" t="s">
        <v>1813</v>
      </c>
      <c r="D732" s="5" t="s">
        <v>74</v>
      </c>
      <c r="E732" s="5" t="s">
        <v>74</v>
      </c>
    </row>
    <row r="733" spans="1:5" x14ac:dyDescent="0.25">
      <c r="A733" s="5">
        <v>18156</v>
      </c>
      <c r="B733" s="5" t="s">
        <v>1814</v>
      </c>
      <c r="C733" s="5" t="s">
        <v>1815</v>
      </c>
      <c r="D733" s="5" t="s">
        <v>1816</v>
      </c>
      <c r="E733" s="5" t="s">
        <v>363</v>
      </c>
    </row>
    <row r="734" spans="1:5" x14ac:dyDescent="0.25">
      <c r="A734" s="5" t="s">
        <v>74</v>
      </c>
      <c r="B734" s="5" t="s">
        <v>1817</v>
      </c>
      <c r="C734" s="5" t="s">
        <v>1818</v>
      </c>
      <c r="D734" s="5" t="s">
        <v>74</v>
      </c>
      <c r="E734" s="5" t="s">
        <v>140</v>
      </c>
    </row>
    <row r="735" spans="1:5" x14ac:dyDescent="0.25">
      <c r="A735" s="5">
        <v>19211</v>
      </c>
      <c r="B735" s="5" t="s">
        <v>1819</v>
      </c>
      <c r="C735" s="5" t="s">
        <v>1820</v>
      </c>
      <c r="D735" s="5" t="s">
        <v>386</v>
      </c>
      <c r="E735" s="5" t="s">
        <v>1821</v>
      </c>
    </row>
    <row r="736" spans="1:5" x14ac:dyDescent="0.25">
      <c r="A736" s="5">
        <v>14052</v>
      </c>
      <c r="B736" s="5" t="s">
        <v>1822</v>
      </c>
      <c r="C736" s="5" t="s">
        <v>1823</v>
      </c>
      <c r="D736" s="5" t="s">
        <v>74</v>
      </c>
      <c r="E736" s="5" t="s">
        <v>74</v>
      </c>
    </row>
    <row r="737" spans="1:5" x14ac:dyDescent="0.25">
      <c r="A737" s="5">
        <v>28048</v>
      </c>
      <c r="B737" s="5" t="s">
        <v>1824</v>
      </c>
      <c r="C737" s="5" t="s">
        <v>1825</v>
      </c>
      <c r="D737" s="5" t="s">
        <v>1826</v>
      </c>
      <c r="E737" s="5" t="s">
        <v>89</v>
      </c>
    </row>
    <row r="738" spans="1:5" x14ac:dyDescent="0.25">
      <c r="A738" s="5">
        <v>24034</v>
      </c>
      <c r="B738" s="5" t="s">
        <v>1827</v>
      </c>
      <c r="C738" s="5" t="s">
        <v>1828</v>
      </c>
      <c r="D738" s="5" t="s">
        <v>552</v>
      </c>
      <c r="E738" s="5" t="s">
        <v>89</v>
      </c>
    </row>
    <row r="739" spans="1:5" x14ac:dyDescent="0.25">
      <c r="A739" s="5" t="s">
        <v>74</v>
      </c>
      <c r="B739" s="5" t="s">
        <v>1829</v>
      </c>
      <c r="C739" s="5" t="s">
        <v>1830</v>
      </c>
      <c r="D739" s="5" t="s">
        <v>1831</v>
      </c>
      <c r="E739" s="5" t="s">
        <v>181</v>
      </c>
    </row>
    <row r="740" spans="1:5" x14ac:dyDescent="0.25">
      <c r="A740" s="5" t="s">
        <v>74</v>
      </c>
      <c r="B740" s="5" t="s">
        <v>1832</v>
      </c>
      <c r="C740" s="5" t="s">
        <v>1833</v>
      </c>
      <c r="D740" s="5" t="s">
        <v>74</v>
      </c>
      <c r="E740" s="5" t="s">
        <v>74</v>
      </c>
    </row>
    <row r="741" spans="1:5" x14ac:dyDescent="0.25">
      <c r="A741" s="5" t="s">
        <v>74</v>
      </c>
      <c r="B741" s="5" t="s">
        <v>1834</v>
      </c>
      <c r="C741" s="5" t="s">
        <v>1835</v>
      </c>
      <c r="D741" s="5" t="s">
        <v>74</v>
      </c>
      <c r="E741" s="5" t="s">
        <v>74</v>
      </c>
    </row>
    <row r="742" spans="1:5" x14ac:dyDescent="0.25">
      <c r="A742" s="5" t="s">
        <v>74</v>
      </c>
      <c r="B742" s="5" t="s">
        <v>1836</v>
      </c>
      <c r="C742" s="5" t="s">
        <v>1837</v>
      </c>
      <c r="D742" s="5" t="s">
        <v>74</v>
      </c>
      <c r="E742" s="5" t="s">
        <v>74</v>
      </c>
    </row>
    <row r="743" spans="1:5" x14ac:dyDescent="0.25">
      <c r="A743" s="5">
        <v>18115</v>
      </c>
      <c r="B743" s="5" t="s">
        <v>1838</v>
      </c>
      <c r="C743" s="5" t="s">
        <v>1839</v>
      </c>
      <c r="D743" s="5" t="s">
        <v>1734</v>
      </c>
      <c r="E743" s="5" t="s">
        <v>206</v>
      </c>
    </row>
    <row r="744" spans="1:5" x14ac:dyDescent="0.25">
      <c r="A744" s="5">
        <v>13074</v>
      </c>
      <c r="B744" s="5" t="s">
        <v>1840</v>
      </c>
      <c r="C744" s="5" t="s">
        <v>1841</v>
      </c>
      <c r="D744" s="5" t="s">
        <v>1842</v>
      </c>
      <c r="E744" s="5" t="s">
        <v>77</v>
      </c>
    </row>
    <row r="745" spans="1:5" x14ac:dyDescent="0.25">
      <c r="A745" s="5" t="s">
        <v>74</v>
      </c>
      <c r="B745" s="5" t="s">
        <v>1843</v>
      </c>
      <c r="C745" s="5" t="s">
        <v>1844</v>
      </c>
      <c r="D745" s="5" t="s">
        <v>74</v>
      </c>
      <c r="E745" s="5" t="s">
        <v>74</v>
      </c>
    </row>
    <row r="746" spans="1:5" x14ac:dyDescent="0.25">
      <c r="A746" s="5" t="s">
        <v>74</v>
      </c>
      <c r="B746" s="5" t="s">
        <v>1845</v>
      </c>
      <c r="C746" s="5" t="s">
        <v>1846</v>
      </c>
      <c r="D746" s="5" t="s">
        <v>74</v>
      </c>
      <c r="E746" s="5" t="s">
        <v>74</v>
      </c>
    </row>
    <row r="747" spans="1:5" x14ac:dyDescent="0.25">
      <c r="A747" s="5">
        <v>85001</v>
      </c>
      <c r="B747" s="5" t="s">
        <v>1847</v>
      </c>
      <c r="C747" s="5" t="s">
        <v>1848</v>
      </c>
      <c r="D747" s="5" t="s">
        <v>1849</v>
      </c>
      <c r="E747" s="5" t="s">
        <v>81</v>
      </c>
    </row>
    <row r="748" spans="1:5" x14ac:dyDescent="0.25">
      <c r="A748" s="5" t="s">
        <v>74</v>
      </c>
      <c r="B748" s="5" t="s">
        <v>1850</v>
      </c>
      <c r="C748" s="5" t="s">
        <v>1851</v>
      </c>
      <c r="D748" s="5" t="s">
        <v>74</v>
      </c>
      <c r="E748" s="5" t="s">
        <v>74</v>
      </c>
    </row>
    <row r="749" spans="1:5" x14ac:dyDescent="0.25">
      <c r="A749" s="5" t="s">
        <v>74</v>
      </c>
      <c r="B749" s="5" t="s">
        <v>1852</v>
      </c>
      <c r="C749" s="5" t="s">
        <v>1853</v>
      </c>
      <c r="D749" s="5" t="s">
        <v>74</v>
      </c>
      <c r="E749" s="5" t="s">
        <v>74</v>
      </c>
    </row>
    <row r="750" spans="1:5" x14ac:dyDescent="0.25">
      <c r="A750" s="5" t="s">
        <v>74</v>
      </c>
      <c r="B750" s="5" t="s">
        <v>1854</v>
      </c>
      <c r="C750" s="5" t="s">
        <v>1855</v>
      </c>
      <c r="D750" s="5" t="s">
        <v>74</v>
      </c>
      <c r="E750" s="5" t="s">
        <v>74</v>
      </c>
    </row>
    <row r="751" spans="1:5" x14ac:dyDescent="0.25">
      <c r="A751" s="5" t="s">
        <v>74</v>
      </c>
      <c r="B751" s="5" t="s">
        <v>1856</v>
      </c>
      <c r="C751" s="5" t="s">
        <v>1857</v>
      </c>
      <c r="D751" s="5" t="s">
        <v>74</v>
      </c>
      <c r="E751" s="5" t="s">
        <v>74</v>
      </c>
    </row>
    <row r="752" spans="1:5" x14ac:dyDescent="0.25">
      <c r="A752" s="5" t="s">
        <v>74</v>
      </c>
      <c r="B752" s="5" t="s">
        <v>1858</v>
      </c>
      <c r="C752" s="5" t="s">
        <v>1859</v>
      </c>
      <c r="D752" s="5" t="s">
        <v>74</v>
      </c>
      <c r="E752" s="5" t="s">
        <v>74</v>
      </c>
    </row>
    <row r="753" spans="1:5" x14ac:dyDescent="0.25">
      <c r="A753" s="5" t="s">
        <v>74</v>
      </c>
      <c r="B753" s="5" t="s">
        <v>1860</v>
      </c>
      <c r="C753" s="5" t="s">
        <v>1861</v>
      </c>
      <c r="D753" s="5" t="s">
        <v>74</v>
      </c>
      <c r="E753" s="5" t="s">
        <v>74</v>
      </c>
    </row>
    <row r="754" spans="1:5" x14ac:dyDescent="0.25">
      <c r="A754" s="5" t="s">
        <v>74</v>
      </c>
      <c r="B754" s="5" t="s">
        <v>1862</v>
      </c>
      <c r="C754" s="5" t="s">
        <v>1863</v>
      </c>
      <c r="D754" s="5" t="s">
        <v>74</v>
      </c>
      <c r="E754" s="5" t="s">
        <v>74</v>
      </c>
    </row>
    <row r="755" spans="1:5" x14ac:dyDescent="0.25">
      <c r="A755" s="5" t="s">
        <v>74</v>
      </c>
      <c r="B755" s="5" t="s">
        <v>1864</v>
      </c>
      <c r="C755" s="5" t="s">
        <v>1865</v>
      </c>
      <c r="D755" s="5" t="s">
        <v>74</v>
      </c>
      <c r="E755" s="5" t="s">
        <v>153</v>
      </c>
    </row>
    <row r="756" spans="1:5" x14ac:dyDescent="0.25">
      <c r="A756" s="5" t="s">
        <v>74</v>
      </c>
      <c r="B756" s="5" t="s">
        <v>1866</v>
      </c>
      <c r="C756" s="5" t="s">
        <v>1867</v>
      </c>
      <c r="D756" s="5" t="s">
        <v>74</v>
      </c>
      <c r="E756" s="5" t="s">
        <v>74</v>
      </c>
    </row>
    <row r="757" spans="1:5" x14ac:dyDescent="0.25">
      <c r="A757" s="5" t="s">
        <v>74</v>
      </c>
      <c r="B757" s="5" t="s">
        <v>1868</v>
      </c>
      <c r="C757" s="5" t="s">
        <v>1869</v>
      </c>
      <c r="D757" s="5" t="s">
        <v>74</v>
      </c>
      <c r="E757" s="5" t="s">
        <v>74</v>
      </c>
    </row>
    <row r="758" spans="1:5" x14ac:dyDescent="0.25">
      <c r="A758" s="5" t="s">
        <v>74</v>
      </c>
      <c r="B758" s="5" t="s">
        <v>1870</v>
      </c>
      <c r="C758" s="5" t="s">
        <v>1871</v>
      </c>
      <c r="D758" s="5" t="s">
        <v>74</v>
      </c>
      <c r="E758" s="5" t="s">
        <v>74</v>
      </c>
    </row>
    <row r="759" spans="1:5" x14ac:dyDescent="0.25">
      <c r="A759" s="5" t="s">
        <v>74</v>
      </c>
      <c r="B759" s="5" t="s">
        <v>1872</v>
      </c>
      <c r="C759" s="5" t="s">
        <v>1873</v>
      </c>
      <c r="D759" s="5" t="s">
        <v>74</v>
      </c>
      <c r="E759" s="5" t="s">
        <v>74</v>
      </c>
    </row>
    <row r="760" spans="1:5" x14ac:dyDescent="0.25">
      <c r="A760" s="5" t="s">
        <v>74</v>
      </c>
      <c r="B760" s="5" t="s">
        <v>1874</v>
      </c>
      <c r="C760" s="5" t="s">
        <v>1875</v>
      </c>
      <c r="D760" s="5" t="s">
        <v>74</v>
      </c>
      <c r="E760" s="5" t="s">
        <v>74</v>
      </c>
    </row>
    <row r="761" spans="1:5" x14ac:dyDescent="0.25">
      <c r="A761" s="5" t="s">
        <v>74</v>
      </c>
      <c r="B761" s="5" t="s">
        <v>1876</v>
      </c>
      <c r="C761" s="5" t="s">
        <v>1877</v>
      </c>
      <c r="D761" s="5" t="s">
        <v>74</v>
      </c>
      <c r="E761" s="5" t="s">
        <v>74</v>
      </c>
    </row>
    <row r="762" spans="1:5" x14ac:dyDescent="0.25">
      <c r="A762" s="5" t="s">
        <v>74</v>
      </c>
      <c r="B762" s="5" t="s">
        <v>1878</v>
      </c>
      <c r="C762" s="5" t="s">
        <v>1879</v>
      </c>
      <c r="D762" s="5" t="s">
        <v>74</v>
      </c>
      <c r="E762" s="5" t="s">
        <v>74</v>
      </c>
    </row>
    <row r="763" spans="1:5" x14ac:dyDescent="0.25">
      <c r="A763" s="5" t="s">
        <v>74</v>
      </c>
      <c r="B763" s="5" t="s">
        <v>1880</v>
      </c>
      <c r="C763" s="5" t="s">
        <v>1881</v>
      </c>
      <c r="D763" s="5" t="s">
        <v>74</v>
      </c>
      <c r="E763" s="5" t="s">
        <v>74</v>
      </c>
    </row>
    <row r="764" spans="1:5" x14ac:dyDescent="0.25">
      <c r="A764" s="5" t="s">
        <v>74</v>
      </c>
      <c r="B764" s="5" t="s">
        <v>1882</v>
      </c>
      <c r="C764" s="5" t="s">
        <v>1883</v>
      </c>
      <c r="D764" s="5" t="s">
        <v>74</v>
      </c>
      <c r="E764" s="5" t="s">
        <v>74</v>
      </c>
    </row>
    <row r="765" spans="1:5" x14ac:dyDescent="0.25">
      <c r="A765" s="5" t="s">
        <v>74</v>
      </c>
      <c r="B765" s="5" t="s">
        <v>1884</v>
      </c>
      <c r="C765" s="5" t="s">
        <v>1885</v>
      </c>
      <c r="D765" s="5" t="s">
        <v>74</v>
      </c>
      <c r="E765" s="5" t="s">
        <v>74</v>
      </c>
    </row>
    <row r="766" spans="1:5" x14ac:dyDescent="0.25">
      <c r="A766" s="5" t="s">
        <v>74</v>
      </c>
      <c r="B766" s="5" t="s">
        <v>1886</v>
      </c>
      <c r="C766" s="5" t="s">
        <v>1887</v>
      </c>
      <c r="D766" s="5" t="s">
        <v>74</v>
      </c>
      <c r="E766" s="5" t="s">
        <v>74</v>
      </c>
    </row>
    <row r="767" spans="1:5" x14ac:dyDescent="0.25">
      <c r="A767" s="5" t="s">
        <v>74</v>
      </c>
      <c r="B767" s="5" t="s">
        <v>1888</v>
      </c>
      <c r="C767" s="5" t="s">
        <v>1889</v>
      </c>
      <c r="D767" s="5" t="s">
        <v>74</v>
      </c>
      <c r="E767" s="5" t="s">
        <v>74</v>
      </c>
    </row>
    <row r="768" spans="1:5" x14ac:dyDescent="0.25">
      <c r="A768" s="5" t="s">
        <v>74</v>
      </c>
      <c r="B768" s="5" t="s">
        <v>1890</v>
      </c>
      <c r="C768" s="5" t="s">
        <v>1891</v>
      </c>
      <c r="D768" s="5" t="s">
        <v>74</v>
      </c>
      <c r="E768" s="5" t="s">
        <v>74</v>
      </c>
    </row>
    <row r="769" spans="1:5" x14ac:dyDescent="0.25">
      <c r="A769" s="5" t="s">
        <v>74</v>
      </c>
      <c r="B769" s="5" t="s">
        <v>1892</v>
      </c>
      <c r="C769" s="5" t="s">
        <v>1893</v>
      </c>
      <c r="D769" s="5" t="s">
        <v>74</v>
      </c>
      <c r="E769" s="5" t="s">
        <v>153</v>
      </c>
    </row>
    <row r="770" spans="1:5" x14ac:dyDescent="0.25">
      <c r="A770" s="5" t="s">
        <v>74</v>
      </c>
      <c r="B770" s="5" t="s">
        <v>1894</v>
      </c>
      <c r="C770" s="5" t="s">
        <v>1895</v>
      </c>
      <c r="D770" s="5" t="s">
        <v>74</v>
      </c>
      <c r="E770" s="5" t="s">
        <v>153</v>
      </c>
    </row>
    <row r="771" spans="1:5" x14ac:dyDescent="0.25">
      <c r="A771" s="5" t="s">
        <v>74</v>
      </c>
      <c r="B771" s="5" t="s">
        <v>1896</v>
      </c>
      <c r="C771" s="5" t="s">
        <v>1897</v>
      </c>
      <c r="D771" s="5" t="s">
        <v>1898</v>
      </c>
      <c r="E771" s="5" t="s">
        <v>181</v>
      </c>
    </row>
    <row r="772" spans="1:5" x14ac:dyDescent="0.25">
      <c r="A772" s="5" t="s">
        <v>74</v>
      </c>
      <c r="B772" s="5" t="s">
        <v>1899</v>
      </c>
      <c r="C772" s="5" t="s">
        <v>1900</v>
      </c>
      <c r="D772" s="5" t="s">
        <v>74</v>
      </c>
      <c r="E772" s="5" t="s">
        <v>74</v>
      </c>
    </row>
    <row r="773" spans="1:5" x14ac:dyDescent="0.25">
      <c r="A773" s="5" t="s">
        <v>74</v>
      </c>
      <c r="B773" s="5" t="s">
        <v>1901</v>
      </c>
      <c r="C773" s="5" t="s">
        <v>1902</v>
      </c>
      <c r="D773" s="5" t="s">
        <v>74</v>
      </c>
      <c r="E773" s="5" t="s">
        <v>74</v>
      </c>
    </row>
    <row r="774" spans="1:5" x14ac:dyDescent="0.25">
      <c r="A774" s="5" t="s">
        <v>74</v>
      </c>
      <c r="B774" s="5" t="s">
        <v>1903</v>
      </c>
      <c r="C774" s="5" t="s">
        <v>1904</v>
      </c>
      <c r="D774" s="5" t="s">
        <v>74</v>
      </c>
      <c r="E774" s="5" t="s">
        <v>74</v>
      </c>
    </row>
    <row r="775" spans="1:5" x14ac:dyDescent="0.25">
      <c r="A775" s="5" t="s">
        <v>74</v>
      </c>
      <c r="B775" s="5" t="s">
        <v>1905</v>
      </c>
      <c r="C775" s="5" t="s">
        <v>1906</v>
      </c>
      <c r="D775" s="5" t="s">
        <v>74</v>
      </c>
      <c r="E775" s="5" t="s">
        <v>74</v>
      </c>
    </row>
    <row r="776" spans="1:5" x14ac:dyDescent="0.25">
      <c r="A776" s="5">
        <v>11007</v>
      </c>
      <c r="B776" s="5" t="s">
        <v>1907</v>
      </c>
      <c r="C776" s="5" t="s">
        <v>1908</v>
      </c>
      <c r="D776" s="5" t="s">
        <v>1909</v>
      </c>
      <c r="E776" s="5" t="s">
        <v>479</v>
      </c>
    </row>
    <row r="777" spans="1:5" x14ac:dyDescent="0.25">
      <c r="A777" s="5">
        <v>19168</v>
      </c>
      <c r="B777" s="5" t="s">
        <v>1910</v>
      </c>
      <c r="C777" s="5" t="s">
        <v>1911</v>
      </c>
      <c r="D777" s="5" t="s">
        <v>123</v>
      </c>
      <c r="E777" s="5" t="s">
        <v>93</v>
      </c>
    </row>
    <row r="778" spans="1:5" x14ac:dyDescent="0.25">
      <c r="A778" s="5">
        <v>17110</v>
      </c>
      <c r="B778" s="5" t="s">
        <v>1912</v>
      </c>
      <c r="C778" s="5" t="s">
        <v>1913</v>
      </c>
      <c r="D778" s="5" t="s">
        <v>533</v>
      </c>
      <c r="E778" s="5" t="s">
        <v>93</v>
      </c>
    </row>
    <row r="779" spans="1:5" x14ac:dyDescent="0.25">
      <c r="A779" s="5">
        <v>19507</v>
      </c>
      <c r="B779" s="5" t="s">
        <v>1914</v>
      </c>
      <c r="C779" s="5" t="s">
        <v>1915</v>
      </c>
      <c r="D779" s="5" t="s">
        <v>685</v>
      </c>
      <c r="E779" s="5" t="s">
        <v>97</v>
      </c>
    </row>
    <row r="780" spans="1:5" x14ac:dyDescent="0.25">
      <c r="A780" s="5">
        <v>20063</v>
      </c>
      <c r="B780" s="5" t="s">
        <v>1916</v>
      </c>
      <c r="C780" s="5" t="s">
        <v>1917</v>
      </c>
      <c r="D780" s="5" t="s">
        <v>227</v>
      </c>
      <c r="E780" s="5" t="s">
        <v>89</v>
      </c>
    </row>
    <row r="781" spans="1:5" x14ac:dyDescent="0.25">
      <c r="A781" s="5">
        <v>17096</v>
      </c>
      <c r="B781" s="5" t="s">
        <v>1918</v>
      </c>
      <c r="C781" s="5" t="s">
        <v>1919</v>
      </c>
      <c r="D781" s="5" t="s">
        <v>1920</v>
      </c>
      <c r="E781" s="5" t="s">
        <v>117</v>
      </c>
    </row>
    <row r="782" spans="1:5" x14ac:dyDescent="0.25">
      <c r="A782" s="5">
        <v>17036</v>
      </c>
      <c r="B782" s="5" t="s">
        <v>1921</v>
      </c>
      <c r="C782" s="5" t="s">
        <v>1922</v>
      </c>
      <c r="D782" s="5" t="s">
        <v>149</v>
      </c>
      <c r="E782" s="5" t="s">
        <v>72</v>
      </c>
    </row>
    <row r="783" spans="1:5" x14ac:dyDescent="0.25">
      <c r="A783" s="5" t="s">
        <v>74</v>
      </c>
      <c r="B783" s="5" t="s">
        <v>1923</v>
      </c>
      <c r="C783" s="5" t="s">
        <v>1924</v>
      </c>
      <c r="D783" s="5" t="s">
        <v>74</v>
      </c>
      <c r="E783" s="5" t="s">
        <v>74</v>
      </c>
    </row>
    <row r="784" spans="1:5" x14ac:dyDescent="0.25">
      <c r="A784" s="5" t="s">
        <v>74</v>
      </c>
      <c r="B784" s="5" t="s">
        <v>1925</v>
      </c>
      <c r="C784" s="5" t="s">
        <v>1926</v>
      </c>
      <c r="D784" s="5" t="s">
        <v>74</v>
      </c>
      <c r="E784" s="5" t="s">
        <v>74</v>
      </c>
    </row>
    <row r="785" spans="1:5" x14ac:dyDescent="0.25">
      <c r="A785" s="5" t="s">
        <v>74</v>
      </c>
      <c r="B785" s="5" t="s">
        <v>1927</v>
      </c>
      <c r="C785" s="5" t="s">
        <v>1928</v>
      </c>
      <c r="D785" s="5" t="s">
        <v>74</v>
      </c>
      <c r="E785" s="5" t="s">
        <v>74</v>
      </c>
    </row>
    <row r="786" spans="1:5" x14ac:dyDescent="0.25">
      <c r="A786" s="5" t="s">
        <v>74</v>
      </c>
      <c r="B786" s="5" t="s">
        <v>1929</v>
      </c>
      <c r="C786" s="5" t="s">
        <v>1930</v>
      </c>
      <c r="D786" s="5" t="s">
        <v>74</v>
      </c>
      <c r="E786" s="5" t="s">
        <v>74</v>
      </c>
    </row>
    <row r="787" spans="1:5" x14ac:dyDescent="0.25">
      <c r="A787" s="5" t="s">
        <v>74</v>
      </c>
      <c r="B787" s="5" t="s">
        <v>1931</v>
      </c>
      <c r="C787" s="5" t="s">
        <v>1932</v>
      </c>
      <c r="D787" s="5" t="s">
        <v>74</v>
      </c>
      <c r="E787" s="5" t="s">
        <v>74</v>
      </c>
    </row>
    <row r="788" spans="1:5" x14ac:dyDescent="0.25">
      <c r="A788" s="5" t="s">
        <v>74</v>
      </c>
      <c r="B788" s="5" t="s">
        <v>1933</v>
      </c>
      <c r="C788" s="5" t="s">
        <v>1934</v>
      </c>
      <c r="D788" s="5" t="s">
        <v>74</v>
      </c>
      <c r="E788" s="5" t="s">
        <v>74</v>
      </c>
    </row>
    <row r="789" spans="1:5" x14ac:dyDescent="0.25">
      <c r="A789" s="5" t="s">
        <v>74</v>
      </c>
      <c r="B789" s="5" t="s">
        <v>1935</v>
      </c>
      <c r="C789" s="5" t="s">
        <v>1936</v>
      </c>
      <c r="D789" s="5" t="s">
        <v>74</v>
      </c>
      <c r="E789" s="5" t="s">
        <v>74</v>
      </c>
    </row>
    <row r="790" spans="1:5" x14ac:dyDescent="0.25">
      <c r="A790" s="5" t="s">
        <v>74</v>
      </c>
      <c r="B790" s="5" t="s">
        <v>1937</v>
      </c>
      <c r="C790" s="5" t="s">
        <v>1938</v>
      </c>
      <c r="D790" s="5" t="s">
        <v>74</v>
      </c>
      <c r="E790" s="5" t="s">
        <v>74</v>
      </c>
    </row>
    <row r="791" spans="1:5" x14ac:dyDescent="0.25">
      <c r="A791" s="5" t="s">
        <v>74</v>
      </c>
      <c r="B791" s="5" t="s">
        <v>1939</v>
      </c>
      <c r="C791" s="5" t="s">
        <v>1940</v>
      </c>
      <c r="D791" s="5" t="s">
        <v>74</v>
      </c>
      <c r="E791" s="5" t="s">
        <v>74</v>
      </c>
    </row>
    <row r="792" spans="1:5" x14ac:dyDescent="0.25">
      <c r="A792" s="5" t="s">
        <v>74</v>
      </c>
      <c r="B792" s="5" t="s">
        <v>1941</v>
      </c>
      <c r="C792" s="5" t="s">
        <v>1942</v>
      </c>
      <c r="D792" s="5" t="s">
        <v>74</v>
      </c>
      <c r="E792" s="5" t="s">
        <v>74</v>
      </c>
    </row>
    <row r="793" spans="1:5" x14ac:dyDescent="0.25">
      <c r="A793" s="5" t="s">
        <v>74</v>
      </c>
      <c r="B793" s="5" t="s">
        <v>1943</v>
      </c>
      <c r="C793" s="5" t="s">
        <v>1944</v>
      </c>
      <c r="D793" s="5" t="s">
        <v>74</v>
      </c>
      <c r="E793" s="5" t="s">
        <v>74</v>
      </c>
    </row>
    <row r="794" spans="1:5" x14ac:dyDescent="0.25">
      <c r="A794" s="5" t="s">
        <v>74</v>
      </c>
      <c r="B794" s="5" t="s">
        <v>1945</v>
      </c>
      <c r="C794" s="5" t="s">
        <v>1946</v>
      </c>
      <c r="D794" s="5" t="s">
        <v>74</v>
      </c>
      <c r="E794" s="5" t="s">
        <v>74</v>
      </c>
    </row>
    <row r="795" spans="1:5" x14ac:dyDescent="0.25">
      <c r="A795" s="5" t="s">
        <v>74</v>
      </c>
      <c r="B795" s="5" t="s">
        <v>1947</v>
      </c>
      <c r="C795" s="5" t="s">
        <v>1948</v>
      </c>
      <c r="D795" s="5" t="s">
        <v>74</v>
      </c>
      <c r="E795" s="5" t="s">
        <v>74</v>
      </c>
    </row>
    <row r="796" spans="1:5" x14ac:dyDescent="0.25">
      <c r="A796" s="5" t="s">
        <v>74</v>
      </c>
      <c r="B796" s="5" t="s">
        <v>1949</v>
      </c>
      <c r="C796" s="5" t="s">
        <v>1950</v>
      </c>
      <c r="D796" s="5" t="s">
        <v>74</v>
      </c>
      <c r="E796" s="5" t="s">
        <v>74</v>
      </c>
    </row>
    <row r="797" spans="1:5" x14ac:dyDescent="0.25">
      <c r="A797" s="5" t="s">
        <v>74</v>
      </c>
      <c r="B797" s="5" t="s">
        <v>1951</v>
      </c>
      <c r="C797" s="5" t="s">
        <v>1952</v>
      </c>
      <c r="D797" s="5" t="s">
        <v>74</v>
      </c>
      <c r="E797" s="5" t="s">
        <v>74</v>
      </c>
    </row>
    <row r="798" spans="1:5" x14ac:dyDescent="0.25">
      <c r="A798" s="5" t="s">
        <v>74</v>
      </c>
      <c r="B798" s="5" t="s">
        <v>1953</v>
      </c>
      <c r="C798" s="5" t="s">
        <v>1954</v>
      </c>
      <c r="D798" s="5" t="s">
        <v>74</v>
      </c>
      <c r="E798" s="5" t="s">
        <v>153</v>
      </c>
    </row>
    <row r="799" spans="1:5" x14ac:dyDescent="0.25">
      <c r="A799" s="5">
        <v>19257</v>
      </c>
      <c r="B799" s="5" t="s">
        <v>1955</v>
      </c>
      <c r="C799" s="5" t="s">
        <v>1956</v>
      </c>
      <c r="D799" s="5" t="s">
        <v>1957</v>
      </c>
      <c r="E799" s="5" t="s">
        <v>211</v>
      </c>
    </row>
    <row r="800" spans="1:5" x14ac:dyDescent="0.25">
      <c r="A800" s="5" t="s">
        <v>74</v>
      </c>
      <c r="B800" s="5" t="s">
        <v>1958</v>
      </c>
      <c r="C800" s="5" t="s">
        <v>1959</v>
      </c>
      <c r="D800" s="5" t="s">
        <v>74</v>
      </c>
      <c r="E800" s="5" t="s">
        <v>74</v>
      </c>
    </row>
    <row r="801" spans="1:5" x14ac:dyDescent="0.25">
      <c r="A801" s="5">
        <v>13338</v>
      </c>
      <c r="B801" s="5" t="s">
        <v>1960</v>
      </c>
      <c r="C801" s="5" t="s">
        <v>1961</v>
      </c>
      <c r="D801" s="5" t="s">
        <v>507</v>
      </c>
      <c r="E801" s="5" t="s">
        <v>72</v>
      </c>
    </row>
    <row r="802" spans="1:5" x14ac:dyDescent="0.25">
      <c r="A802" s="5" t="s">
        <v>74</v>
      </c>
      <c r="B802" s="5" t="s">
        <v>1962</v>
      </c>
      <c r="C802" s="5" t="s">
        <v>1963</v>
      </c>
      <c r="D802" s="5" t="s">
        <v>74</v>
      </c>
      <c r="E802" s="5" t="s">
        <v>74</v>
      </c>
    </row>
    <row r="803" spans="1:5" x14ac:dyDescent="0.25">
      <c r="A803" s="5" t="s">
        <v>74</v>
      </c>
      <c r="B803" s="5" t="s">
        <v>1964</v>
      </c>
      <c r="C803" s="5" t="s">
        <v>1965</v>
      </c>
      <c r="D803" s="5" t="s">
        <v>74</v>
      </c>
      <c r="E803" s="5" t="s">
        <v>74</v>
      </c>
    </row>
    <row r="804" spans="1:5" x14ac:dyDescent="0.25">
      <c r="A804" s="5">
        <v>18164</v>
      </c>
      <c r="B804" s="5" t="s">
        <v>1966</v>
      </c>
      <c r="C804" s="5" t="s">
        <v>1967</v>
      </c>
      <c r="D804" s="5" t="s">
        <v>191</v>
      </c>
      <c r="E804" s="5" t="s">
        <v>72</v>
      </c>
    </row>
    <row r="805" spans="1:5" x14ac:dyDescent="0.25">
      <c r="A805" s="5" t="s">
        <v>74</v>
      </c>
      <c r="B805" s="5" t="s">
        <v>1968</v>
      </c>
      <c r="C805" s="5" t="s">
        <v>1969</v>
      </c>
      <c r="D805" s="5" t="s">
        <v>74</v>
      </c>
      <c r="E805" s="5" t="s">
        <v>74</v>
      </c>
    </row>
    <row r="806" spans="1:5" x14ac:dyDescent="0.25">
      <c r="A806" s="5">
        <v>19112</v>
      </c>
      <c r="B806" s="5" t="s">
        <v>1970</v>
      </c>
      <c r="C806" s="5" t="s">
        <v>1971</v>
      </c>
      <c r="D806" s="5" t="s">
        <v>1464</v>
      </c>
      <c r="E806" s="5" t="s">
        <v>181</v>
      </c>
    </row>
    <row r="807" spans="1:5" x14ac:dyDescent="0.25">
      <c r="A807" s="5" t="s">
        <v>74</v>
      </c>
      <c r="B807" s="5" t="s">
        <v>1972</v>
      </c>
      <c r="C807" s="5" t="s">
        <v>1973</v>
      </c>
      <c r="D807" s="5" t="s">
        <v>252</v>
      </c>
      <c r="E807" s="5" t="s">
        <v>74</v>
      </c>
    </row>
    <row r="808" spans="1:5" x14ac:dyDescent="0.25">
      <c r="A808" s="5" t="s">
        <v>74</v>
      </c>
      <c r="B808" s="5" t="s">
        <v>1974</v>
      </c>
      <c r="C808" s="5" t="s">
        <v>1975</v>
      </c>
      <c r="D808" s="5" t="s">
        <v>533</v>
      </c>
      <c r="E808" s="5" t="s">
        <v>74</v>
      </c>
    </row>
    <row r="809" spans="1:5" x14ac:dyDescent="0.25">
      <c r="A809" s="5" t="s">
        <v>74</v>
      </c>
      <c r="B809" s="5" t="s">
        <v>1976</v>
      </c>
      <c r="C809" s="5" t="s">
        <v>1977</v>
      </c>
      <c r="D809" s="5" t="s">
        <v>74</v>
      </c>
      <c r="E809" s="5" t="s">
        <v>74</v>
      </c>
    </row>
    <row r="810" spans="1:5" x14ac:dyDescent="0.25">
      <c r="A810" s="5">
        <v>15191</v>
      </c>
      <c r="B810" s="5" t="s">
        <v>1978</v>
      </c>
      <c r="C810" s="5" t="s">
        <v>1979</v>
      </c>
      <c r="D810" s="5" t="s">
        <v>1980</v>
      </c>
      <c r="E810" s="5" t="s">
        <v>206</v>
      </c>
    </row>
    <row r="811" spans="1:5" x14ac:dyDescent="0.25">
      <c r="A811" s="5" t="s">
        <v>74</v>
      </c>
      <c r="B811" s="5" t="s">
        <v>1981</v>
      </c>
      <c r="C811" s="5" t="s">
        <v>1982</v>
      </c>
      <c r="D811" s="5" t="s">
        <v>74</v>
      </c>
      <c r="E811" s="5" t="s">
        <v>74</v>
      </c>
    </row>
    <row r="812" spans="1:5" x14ac:dyDescent="0.25">
      <c r="A812" s="5" t="s">
        <v>74</v>
      </c>
      <c r="B812" s="5" t="s">
        <v>1983</v>
      </c>
      <c r="C812" s="5" t="s">
        <v>1984</v>
      </c>
      <c r="D812" s="5" t="s">
        <v>74</v>
      </c>
      <c r="E812" s="5" t="s">
        <v>74</v>
      </c>
    </row>
    <row r="813" spans="1:5" x14ac:dyDescent="0.25">
      <c r="A813" s="5">
        <v>19107</v>
      </c>
      <c r="B813" s="5" t="s">
        <v>1985</v>
      </c>
      <c r="C813" s="5" t="s">
        <v>1986</v>
      </c>
      <c r="D813" s="5" t="s">
        <v>294</v>
      </c>
      <c r="E813" s="5" t="s">
        <v>97</v>
      </c>
    </row>
    <row r="814" spans="1:5" x14ac:dyDescent="0.25">
      <c r="A814" s="5">
        <v>18012</v>
      </c>
      <c r="B814" s="5" t="s">
        <v>1987</v>
      </c>
      <c r="C814" s="5" t="s">
        <v>1988</v>
      </c>
      <c r="D814" s="5" t="s">
        <v>123</v>
      </c>
      <c r="E814" s="5" t="s">
        <v>93</v>
      </c>
    </row>
    <row r="815" spans="1:5" x14ac:dyDescent="0.25">
      <c r="A815" s="5">
        <v>14015</v>
      </c>
      <c r="B815" s="5" t="s">
        <v>1989</v>
      </c>
      <c r="C815" s="5" t="s">
        <v>1990</v>
      </c>
      <c r="D815" s="5" t="s">
        <v>84</v>
      </c>
      <c r="E815" s="5" t="s">
        <v>117</v>
      </c>
    </row>
    <row r="816" spans="1:5" x14ac:dyDescent="0.25">
      <c r="A816" s="5">
        <v>18133</v>
      </c>
      <c r="B816" s="5" t="s">
        <v>1991</v>
      </c>
      <c r="C816" s="5" t="s">
        <v>1992</v>
      </c>
      <c r="D816" s="5" t="s">
        <v>149</v>
      </c>
      <c r="E816" s="5" t="s">
        <v>117</v>
      </c>
    </row>
    <row r="817" spans="1:5" x14ac:dyDescent="0.25">
      <c r="A817" s="5">
        <v>19029</v>
      </c>
      <c r="B817" s="5" t="s">
        <v>1993</v>
      </c>
      <c r="C817" s="5" t="s">
        <v>1994</v>
      </c>
      <c r="D817" s="5" t="s">
        <v>1995</v>
      </c>
      <c r="E817" s="5" t="s">
        <v>312</v>
      </c>
    </row>
    <row r="818" spans="1:5" x14ac:dyDescent="0.25">
      <c r="A818" s="5">
        <v>29037</v>
      </c>
      <c r="B818" s="5" t="s">
        <v>1996</v>
      </c>
      <c r="C818" s="5" t="s">
        <v>1997</v>
      </c>
      <c r="D818" s="5" t="s">
        <v>1826</v>
      </c>
      <c r="E818" s="5" t="s">
        <v>89</v>
      </c>
    </row>
    <row r="819" spans="1:5" x14ac:dyDescent="0.25">
      <c r="A819" s="5">
        <v>16117</v>
      </c>
      <c r="B819" s="5" t="s">
        <v>1998</v>
      </c>
      <c r="C819" s="5" t="s">
        <v>1999</v>
      </c>
      <c r="D819" s="5" t="s">
        <v>2000</v>
      </c>
      <c r="E819" s="5" t="s">
        <v>1261</v>
      </c>
    </row>
    <row r="820" spans="1:5" x14ac:dyDescent="0.25">
      <c r="A820" s="5">
        <v>16017</v>
      </c>
      <c r="B820" s="5" t="s">
        <v>2001</v>
      </c>
      <c r="C820" s="5" t="s">
        <v>2002</v>
      </c>
      <c r="D820" s="5" t="s">
        <v>2003</v>
      </c>
      <c r="E820" s="5" t="s">
        <v>188</v>
      </c>
    </row>
    <row r="821" spans="1:5" x14ac:dyDescent="0.25">
      <c r="A821" s="5" t="s">
        <v>74</v>
      </c>
      <c r="B821" s="5" t="s">
        <v>2004</v>
      </c>
      <c r="C821" s="5" t="s">
        <v>2005</v>
      </c>
      <c r="D821" s="5" t="s">
        <v>74</v>
      </c>
      <c r="E821" s="5" t="s">
        <v>74</v>
      </c>
    </row>
    <row r="822" spans="1:5" x14ac:dyDescent="0.25">
      <c r="A822" s="5">
        <v>19035</v>
      </c>
      <c r="B822" s="5" t="s">
        <v>2006</v>
      </c>
      <c r="C822" s="5" t="s">
        <v>2007</v>
      </c>
      <c r="D822" s="5" t="s">
        <v>309</v>
      </c>
      <c r="E822" s="5" t="s">
        <v>89</v>
      </c>
    </row>
    <row r="823" spans="1:5" x14ac:dyDescent="0.25">
      <c r="A823" s="5">
        <v>17071</v>
      </c>
      <c r="B823" s="5" t="s">
        <v>2008</v>
      </c>
      <c r="C823" s="5" t="s">
        <v>2009</v>
      </c>
      <c r="D823" s="5" t="s">
        <v>2010</v>
      </c>
      <c r="E823" s="5" t="s">
        <v>110</v>
      </c>
    </row>
    <row r="824" spans="1:5" x14ac:dyDescent="0.25">
      <c r="A824" s="5">
        <v>18068</v>
      </c>
      <c r="B824" s="5" t="s">
        <v>2011</v>
      </c>
      <c r="C824" s="5" t="s">
        <v>2012</v>
      </c>
      <c r="D824" s="5" t="s">
        <v>2013</v>
      </c>
      <c r="E824" s="5" t="s">
        <v>348</v>
      </c>
    </row>
    <row r="825" spans="1:5" x14ac:dyDescent="0.25">
      <c r="A825" s="5">
        <v>28005</v>
      </c>
      <c r="B825" s="5" t="s">
        <v>2014</v>
      </c>
      <c r="C825" s="5" t="s">
        <v>2015</v>
      </c>
      <c r="D825" s="5" t="s">
        <v>2016</v>
      </c>
      <c r="E825" s="5" t="s">
        <v>188</v>
      </c>
    </row>
    <row r="826" spans="1:5" x14ac:dyDescent="0.25">
      <c r="A826" s="5" t="s">
        <v>74</v>
      </c>
      <c r="B826" s="5" t="s">
        <v>2017</v>
      </c>
      <c r="C826" s="5" t="s">
        <v>2018</v>
      </c>
      <c r="D826" s="5" t="s">
        <v>74</v>
      </c>
      <c r="E826" s="5" t="s">
        <v>74</v>
      </c>
    </row>
    <row r="827" spans="1:5" x14ac:dyDescent="0.25">
      <c r="A827" s="5">
        <v>19030</v>
      </c>
      <c r="B827" s="5" t="s">
        <v>2019</v>
      </c>
      <c r="C827" s="5" t="s">
        <v>2020</v>
      </c>
      <c r="D827" s="5" t="s">
        <v>2021</v>
      </c>
      <c r="E827" s="5" t="s">
        <v>89</v>
      </c>
    </row>
    <row r="828" spans="1:5" x14ac:dyDescent="0.25">
      <c r="A828" s="5">
        <v>18207</v>
      </c>
      <c r="B828" s="5" t="s">
        <v>2022</v>
      </c>
      <c r="C828" s="5" t="s">
        <v>2023</v>
      </c>
      <c r="D828" s="5" t="s">
        <v>2024</v>
      </c>
      <c r="E828" s="5" t="s">
        <v>89</v>
      </c>
    </row>
    <row r="829" spans="1:5" x14ac:dyDescent="0.25">
      <c r="A829" s="5" t="s">
        <v>74</v>
      </c>
      <c r="B829" s="5" t="s">
        <v>2025</v>
      </c>
      <c r="C829" s="5" t="s">
        <v>2026</v>
      </c>
      <c r="D829" s="5" t="s">
        <v>74</v>
      </c>
      <c r="E829" s="5" t="s">
        <v>74</v>
      </c>
    </row>
    <row r="830" spans="1:5" x14ac:dyDescent="0.25">
      <c r="A830" s="5">
        <v>13359</v>
      </c>
      <c r="B830" s="5" t="s">
        <v>2027</v>
      </c>
      <c r="C830" s="5" t="s">
        <v>2028</v>
      </c>
      <c r="D830" s="5" t="s">
        <v>223</v>
      </c>
      <c r="E830" s="5" t="s">
        <v>153</v>
      </c>
    </row>
    <row r="831" spans="1:5" x14ac:dyDescent="0.25">
      <c r="A831" s="5" t="s">
        <v>74</v>
      </c>
      <c r="B831" s="5" t="s">
        <v>2029</v>
      </c>
      <c r="C831" s="5" t="s">
        <v>2030</v>
      </c>
      <c r="D831" s="5" t="s">
        <v>74</v>
      </c>
      <c r="E831" s="5" t="s">
        <v>153</v>
      </c>
    </row>
    <row r="832" spans="1:5" x14ac:dyDescent="0.25">
      <c r="A832" s="5" t="s">
        <v>74</v>
      </c>
      <c r="B832" s="5" t="s">
        <v>2031</v>
      </c>
      <c r="C832" s="5" t="s">
        <v>2032</v>
      </c>
      <c r="D832" s="5" t="s">
        <v>74</v>
      </c>
      <c r="E832" s="5" t="s">
        <v>74</v>
      </c>
    </row>
    <row r="833" spans="1:5" x14ac:dyDescent="0.25">
      <c r="A833" s="5" t="s">
        <v>74</v>
      </c>
      <c r="B833" s="5" t="s">
        <v>2033</v>
      </c>
      <c r="C833" s="5" t="s">
        <v>2034</v>
      </c>
      <c r="D833" s="5" t="s">
        <v>74</v>
      </c>
      <c r="E833" s="5" t="s">
        <v>153</v>
      </c>
    </row>
    <row r="834" spans="1:5" x14ac:dyDescent="0.25">
      <c r="A834" s="5">
        <v>15201</v>
      </c>
      <c r="B834" s="5" t="s">
        <v>2035</v>
      </c>
      <c r="C834" s="5" t="s">
        <v>2036</v>
      </c>
      <c r="D834" s="5" t="s">
        <v>2037</v>
      </c>
      <c r="E834" s="5" t="s">
        <v>153</v>
      </c>
    </row>
    <row r="835" spans="1:5" x14ac:dyDescent="0.25">
      <c r="A835" s="5" t="s">
        <v>74</v>
      </c>
      <c r="B835" s="5" t="s">
        <v>2038</v>
      </c>
      <c r="C835" s="5" t="s">
        <v>2039</v>
      </c>
      <c r="D835" s="5" t="s">
        <v>74</v>
      </c>
      <c r="E835" s="5" t="s">
        <v>74</v>
      </c>
    </row>
    <row r="836" spans="1:5" x14ac:dyDescent="0.25">
      <c r="A836" s="5">
        <v>17180</v>
      </c>
      <c r="B836" s="5" t="s">
        <v>2040</v>
      </c>
      <c r="C836" s="5" t="s">
        <v>2041</v>
      </c>
      <c r="D836" s="5" t="s">
        <v>158</v>
      </c>
      <c r="E836" s="5" t="s">
        <v>211</v>
      </c>
    </row>
    <row r="837" spans="1:5" x14ac:dyDescent="0.25">
      <c r="A837" s="5">
        <v>99094</v>
      </c>
      <c r="B837" s="5" t="s">
        <v>2042</v>
      </c>
      <c r="C837" s="5" t="s">
        <v>2043</v>
      </c>
      <c r="D837" s="5" t="s">
        <v>2044</v>
      </c>
      <c r="E837" s="5" t="s">
        <v>2045</v>
      </c>
    </row>
    <row r="838" spans="1:5" x14ac:dyDescent="0.25">
      <c r="A838" s="5">
        <v>98030</v>
      </c>
      <c r="B838" s="5" t="s">
        <v>2046</v>
      </c>
      <c r="C838" s="5" t="s">
        <v>2047</v>
      </c>
      <c r="D838" s="5" t="s">
        <v>1831</v>
      </c>
      <c r="E838" s="5" t="s">
        <v>628</v>
      </c>
    </row>
    <row r="839" spans="1:5" x14ac:dyDescent="0.25">
      <c r="A839" s="5">
        <v>18283</v>
      </c>
      <c r="B839" s="5" t="s">
        <v>2048</v>
      </c>
      <c r="C839" s="5" t="s">
        <v>2049</v>
      </c>
      <c r="D839" s="5" t="s">
        <v>2050</v>
      </c>
      <c r="E839" s="5" t="s">
        <v>140</v>
      </c>
    </row>
    <row r="840" spans="1:5" x14ac:dyDescent="0.25">
      <c r="A840" s="5">
        <v>13219</v>
      </c>
      <c r="B840" s="5" t="s">
        <v>2051</v>
      </c>
      <c r="C840" s="5" t="s">
        <v>2052</v>
      </c>
      <c r="D840" s="5" t="s">
        <v>220</v>
      </c>
      <c r="E840" s="5" t="s">
        <v>72</v>
      </c>
    </row>
    <row r="841" spans="1:5" x14ac:dyDescent="0.25">
      <c r="A841" s="5">
        <v>84007</v>
      </c>
      <c r="B841" s="5" t="s">
        <v>2053</v>
      </c>
      <c r="C841" s="5" t="s">
        <v>2054</v>
      </c>
      <c r="D841" s="5" t="s">
        <v>2055</v>
      </c>
      <c r="E841" s="5" t="s">
        <v>2056</v>
      </c>
    </row>
    <row r="842" spans="1:5" x14ac:dyDescent="0.25">
      <c r="A842" s="5">
        <v>12053</v>
      </c>
      <c r="B842" s="5" t="s">
        <v>2057</v>
      </c>
      <c r="C842" s="5" t="s">
        <v>2058</v>
      </c>
      <c r="D842" s="5" t="s">
        <v>2059</v>
      </c>
      <c r="E842" s="5" t="s">
        <v>2045</v>
      </c>
    </row>
    <row r="843" spans="1:5" x14ac:dyDescent="0.25">
      <c r="A843" s="5" t="s">
        <v>74</v>
      </c>
      <c r="B843" s="5" t="s">
        <v>2060</v>
      </c>
      <c r="C843" s="5" t="s">
        <v>2061</v>
      </c>
      <c r="D843" s="5" t="s">
        <v>74</v>
      </c>
      <c r="E843" s="5" t="s">
        <v>74</v>
      </c>
    </row>
    <row r="844" spans="1:5" x14ac:dyDescent="0.25">
      <c r="A844" s="5">
        <v>16072</v>
      </c>
      <c r="B844" s="5" t="s">
        <v>2062</v>
      </c>
      <c r="C844" s="5" t="s">
        <v>2063</v>
      </c>
      <c r="D844" s="5" t="s">
        <v>2064</v>
      </c>
      <c r="E844" s="5" t="s">
        <v>72</v>
      </c>
    </row>
    <row r="845" spans="1:5" x14ac:dyDescent="0.25">
      <c r="A845" s="5">
        <v>26043</v>
      </c>
      <c r="B845" s="5" t="s">
        <v>2065</v>
      </c>
      <c r="C845" s="5" t="s">
        <v>2066</v>
      </c>
      <c r="D845" s="5" t="s">
        <v>2067</v>
      </c>
      <c r="E845" s="5" t="s">
        <v>211</v>
      </c>
    </row>
    <row r="846" spans="1:5" x14ac:dyDescent="0.25">
      <c r="A846" s="5">
        <v>19293</v>
      </c>
      <c r="B846" s="5" t="s">
        <v>2068</v>
      </c>
      <c r="C846" s="5" t="s">
        <v>2069</v>
      </c>
      <c r="D846" s="5" t="s">
        <v>1802</v>
      </c>
      <c r="E846" s="5" t="s">
        <v>93</v>
      </c>
    </row>
    <row r="847" spans="1:5" x14ac:dyDescent="0.25">
      <c r="A847" s="5">
        <v>27140</v>
      </c>
      <c r="B847" s="5" t="s">
        <v>2070</v>
      </c>
      <c r="C847" s="5" t="s">
        <v>2071</v>
      </c>
      <c r="D847" s="5" t="s">
        <v>435</v>
      </c>
      <c r="E847" s="5" t="s">
        <v>85</v>
      </c>
    </row>
    <row r="848" spans="1:5" x14ac:dyDescent="0.25">
      <c r="A848" s="5">
        <v>19251</v>
      </c>
      <c r="B848" s="5" t="s">
        <v>2072</v>
      </c>
      <c r="C848" s="5" t="s">
        <v>2073</v>
      </c>
      <c r="D848" s="5" t="s">
        <v>2074</v>
      </c>
      <c r="E848" s="5" t="s">
        <v>479</v>
      </c>
    </row>
    <row r="849" spans="1:5" x14ac:dyDescent="0.25">
      <c r="A849" s="5">
        <v>18091</v>
      </c>
      <c r="B849" s="5" t="s">
        <v>2075</v>
      </c>
      <c r="C849" s="5" t="s">
        <v>2076</v>
      </c>
      <c r="D849" s="5" t="s">
        <v>2077</v>
      </c>
      <c r="E849" s="5" t="s">
        <v>348</v>
      </c>
    </row>
    <row r="850" spans="1:5" x14ac:dyDescent="0.25">
      <c r="A850" s="5">
        <v>19210</v>
      </c>
      <c r="B850" s="5" t="s">
        <v>2078</v>
      </c>
      <c r="C850" s="5" t="s">
        <v>2079</v>
      </c>
      <c r="D850" s="5" t="s">
        <v>408</v>
      </c>
      <c r="E850" s="5" t="s">
        <v>89</v>
      </c>
    </row>
    <row r="851" spans="1:5" x14ac:dyDescent="0.25">
      <c r="A851" s="5">
        <v>13072</v>
      </c>
      <c r="B851" s="5" t="s">
        <v>2080</v>
      </c>
      <c r="C851" s="5" t="s">
        <v>2081</v>
      </c>
      <c r="D851" s="5" t="s">
        <v>246</v>
      </c>
      <c r="E851" s="5" t="s">
        <v>479</v>
      </c>
    </row>
    <row r="852" spans="1:5" x14ac:dyDescent="0.25">
      <c r="A852" s="5">
        <v>11035</v>
      </c>
      <c r="B852" s="5" t="s">
        <v>2082</v>
      </c>
      <c r="C852" s="5" t="s">
        <v>2083</v>
      </c>
      <c r="D852" s="5" t="s">
        <v>2084</v>
      </c>
      <c r="E852" s="5" t="s">
        <v>312</v>
      </c>
    </row>
    <row r="853" spans="1:5" x14ac:dyDescent="0.25">
      <c r="A853" s="5">
        <v>13224</v>
      </c>
      <c r="B853" s="5" t="s">
        <v>2085</v>
      </c>
      <c r="C853" s="5" t="s">
        <v>2086</v>
      </c>
      <c r="D853" s="5" t="s">
        <v>475</v>
      </c>
      <c r="E853" s="5" t="s">
        <v>89</v>
      </c>
    </row>
    <row r="854" spans="1:5" x14ac:dyDescent="0.25">
      <c r="A854" s="5">
        <v>18118</v>
      </c>
      <c r="B854" s="5" t="s">
        <v>2087</v>
      </c>
      <c r="C854" s="5" t="s">
        <v>2088</v>
      </c>
      <c r="D854" s="5" t="s">
        <v>2089</v>
      </c>
      <c r="E854" s="5" t="s">
        <v>117</v>
      </c>
    </row>
    <row r="855" spans="1:5" x14ac:dyDescent="0.25">
      <c r="A855" s="5">
        <v>27142</v>
      </c>
      <c r="B855" s="5" t="s">
        <v>2090</v>
      </c>
      <c r="C855" s="5" t="s">
        <v>2091</v>
      </c>
      <c r="D855" s="5" t="s">
        <v>335</v>
      </c>
      <c r="E855" s="5" t="s">
        <v>89</v>
      </c>
    </row>
    <row r="856" spans="1:5" x14ac:dyDescent="0.25">
      <c r="A856" s="5" t="s">
        <v>74</v>
      </c>
      <c r="B856" s="5" t="s">
        <v>2092</v>
      </c>
      <c r="C856" s="5" t="s">
        <v>2093</v>
      </c>
      <c r="D856" s="5" t="s">
        <v>74</v>
      </c>
      <c r="E856" s="5" t="s">
        <v>140</v>
      </c>
    </row>
    <row r="857" spans="1:5" x14ac:dyDescent="0.25">
      <c r="A857" s="5">
        <v>23031</v>
      </c>
      <c r="B857" s="5" t="s">
        <v>2094</v>
      </c>
      <c r="C857" s="5" t="s">
        <v>2095</v>
      </c>
      <c r="D857" s="5" t="s">
        <v>2096</v>
      </c>
      <c r="E857" s="5" t="s">
        <v>110</v>
      </c>
    </row>
    <row r="858" spans="1:5" x14ac:dyDescent="0.25">
      <c r="A858" s="5" t="s">
        <v>74</v>
      </c>
      <c r="B858" s="5" t="s">
        <v>2097</v>
      </c>
      <c r="C858" s="5" t="s">
        <v>2098</v>
      </c>
      <c r="D858" s="5" t="s">
        <v>74</v>
      </c>
      <c r="E858" s="5" t="s">
        <v>74</v>
      </c>
    </row>
    <row r="859" spans="1:5" x14ac:dyDescent="0.25">
      <c r="A859" s="5" t="s">
        <v>74</v>
      </c>
      <c r="B859" s="5" t="s">
        <v>2099</v>
      </c>
      <c r="C859" s="5" t="s">
        <v>2100</v>
      </c>
      <c r="D859" s="5" t="s">
        <v>74</v>
      </c>
      <c r="E859" s="5" t="s">
        <v>74</v>
      </c>
    </row>
    <row r="860" spans="1:5" x14ac:dyDescent="0.25">
      <c r="A860" s="5" t="s">
        <v>74</v>
      </c>
      <c r="B860" s="5" t="s">
        <v>2101</v>
      </c>
      <c r="C860" s="5" t="s">
        <v>2102</v>
      </c>
      <c r="D860" s="5" t="s">
        <v>74</v>
      </c>
      <c r="E860" s="5" t="s">
        <v>74</v>
      </c>
    </row>
    <row r="861" spans="1:5" x14ac:dyDescent="0.25">
      <c r="A861" s="5" t="s">
        <v>74</v>
      </c>
      <c r="B861" s="5" t="s">
        <v>2103</v>
      </c>
      <c r="C861" s="5" t="s">
        <v>2104</v>
      </c>
      <c r="D861" s="5" t="s">
        <v>74</v>
      </c>
      <c r="E861" s="5" t="s">
        <v>74</v>
      </c>
    </row>
    <row r="862" spans="1:5" x14ac:dyDescent="0.25">
      <c r="A862" s="5" t="s">
        <v>74</v>
      </c>
      <c r="B862" s="5" t="s">
        <v>2105</v>
      </c>
      <c r="C862" s="5" t="s">
        <v>2106</v>
      </c>
      <c r="D862" s="5" t="s">
        <v>74</v>
      </c>
      <c r="E862" s="5" t="s">
        <v>74</v>
      </c>
    </row>
    <row r="863" spans="1:5" x14ac:dyDescent="0.25">
      <c r="A863" s="5" t="s">
        <v>74</v>
      </c>
      <c r="B863" s="5" t="s">
        <v>2107</v>
      </c>
      <c r="C863" s="5" t="s">
        <v>2108</v>
      </c>
      <c r="D863" s="5" t="s">
        <v>74</v>
      </c>
      <c r="E863" s="5" t="s">
        <v>74</v>
      </c>
    </row>
    <row r="864" spans="1:5" x14ac:dyDescent="0.25">
      <c r="A864" s="5">
        <v>17067</v>
      </c>
      <c r="B864" s="5" t="s">
        <v>2109</v>
      </c>
      <c r="C864" s="5" t="s">
        <v>2110</v>
      </c>
      <c r="D864" s="5" t="s">
        <v>2111</v>
      </c>
      <c r="E864" s="5" t="s">
        <v>51</v>
      </c>
    </row>
    <row r="865" spans="1:5" x14ac:dyDescent="0.25">
      <c r="A865" s="5">
        <v>10027</v>
      </c>
      <c r="B865" s="5" t="s">
        <v>2112</v>
      </c>
      <c r="C865" s="5" t="s">
        <v>2113</v>
      </c>
      <c r="D865" s="5" t="s">
        <v>2114</v>
      </c>
      <c r="E865" s="5" t="s">
        <v>1261</v>
      </c>
    </row>
    <row r="866" spans="1:5" x14ac:dyDescent="0.25">
      <c r="A866" s="5" t="s">
        <v>74</v>
      </c>
      <c r="B866" s="5" t="s">
        <v>2115</v>
      </c>
      <c r="C866" s="5" t="s">
        <v>2116</v>
      </c>
      <c r="D866" s="5" t="s">
        <v>74</v>
      </c>
      <c r="E866" s="5" t="s">
        <v>74</v>
      </c>
    </row>
    <row r="867" spans="1:5" x14ac:dyDescent="0.25">
      <c r="A867" s="5" t="s">
        <v>74</v>
      </c>
      <c r="B867" s="5" t="s">
        <v>2117</v>
      </c>
      <c r="C867" s="5" t="s">
        <v>2118</v>
      </c>
      <c r="D867" s="5" t="s">
        <v>74</v>
      </c>
      <c r="E867" s="5" t="s">
        <v>74</v>
      </c>
    </row>
    <row r="868" spans="1:5" x14ac:dyDescent="0.25">
      <c r="A868" s="5" t="s">
        <v>74</v>
      </c>
      <c r="B868" s="5" t="s">
        <v>2119</v>
      </c>
      <c r="C868" s="5" t="s">
        <v>2120</v>
      </c>
      <c r="D868" s="5" t="s">
        <v>74</v>
      </c>
      <c r="E868" s="5" t="s">
        <v>74</v>
      </c>
    </row>
    <row r="869" spans="1:5" x14ac:dyDescent="0.25">
      <c r="A869" s="5" t="s">
        <v>74</v>
      </c>
      <c r="B869" s="5" t="s">
        <v>2121</v>
      </c>
      <c r="C869" s="5" t="s">
        <v>2122</v>
      </c>
      <c r="D869" s="5" t="s">
        <v>74</v>
      </c>
      <c r="E869" s="5" t="s">
        <v>74</v>
      </c>
    </row>
    <row r="870" spans="1:5" x14ac:dyDescent="0.25">
      <c r="A870" s="5">
        <v>11067</v>
      </c>
      <c r="B870" s="5" t="s">
        <v>2123</v>
      </c>
      <c r="C870" s="5" t="s">
        <v>2124</v>
      </c>
      <c r="D870" s="5" t="s">
        <v>143</v>
      </c>
      <c r="E870" s="5" t="s">
        <v>648</v>
      </c>
    </row>
    <row r="871" spans="1:5" x14ac:dyDescent="0.25">
      <c r="A871" s="5" t="s">
        <v>74</v>
      </c>
      <c r="B871" s="5" t="s">
        <v>2125</v>
      </c>
      <c r="C871" s="5" t="s">
        <v>2126</v>
      </c>
      <c r="D871" s="5" t="s">
        <v>74</v>
      </c>
      <c r="E871" s="5" t="s">
        <v>74</v>
      </c>
    </row>
    <row r="872" spans="1:5" x14ac:dyDescent="0.25">
      <c r="A872" s="5" t="s">
        <v>74</v>
      </c>
      <c r="B872" s="5" t="s">
        <v>2127</v>
      </c>
      <c r="C872" s="5" t="s">
        <v>2128</v>
      </c>
      <c r="D872" s="5" t="s">
        <v>74</v>
      </c>
      <c r="E872" s="5" t="s">
        <v>74</v>
      </c>
    </row>
    <row r="873" spans="1:5" x14ac:dyDescent="0.25">
      <c r="A873" s="5" t="s">
        <v>74</v>
      </c>
      <c r="B873" s="5" t="s">
        <v>2129</v>
      </c>
      <c r="C873" s="5" t="s">
        <v>2130</v>
      </c>
      <c r="D873" s="5" t="s">
        <v>74</v>
      </c>
      <c r="E873" s="5" t="s">
        <v>74</v>
      </c>
    </row>
    <row r="874" spans="1:5" x14ac:dyDescent="0.25">
      <c r="A874" s="5" t="s">
        <v>74</v>
      </c>
      <c r="B874" s="5" t="s">
        <v>2131</v>
      </c>
      <c r="C874" s="5" t="s">
        <v>2132</v>
      </c>
      <c r="D874" s="5" t="s">
        <v>74</v>
      </c>
      <c r="E874" s="5" t="s">
        <v>74</v>
      </c>
    </row>
    <row r="875" spans="1:5" x14ac:dyDescent="0.25">
      <c r="A875" s="5" t="s">
        <v>74</v>
      </c>
      <c r="B875" s="5" t="s">
        <v>2133</v>
      </c>
      <c r="C875" s="5" t="s">
        <v>2134</v>
      </c>
      <c r="D875" s="5" t="s">
        <v>74</v>
      </c>
      <c r="E875" s="5" t="s">
        <v>74</v>
      </c>
    </row>
    <row r="876" spans="1:5" x14ac:dyDescent="0.25">
      <c r="A876" s="5">
        <v>24018</v>
      </c>
      <c r="B876" s="5" t="s">
        <v>2135</v>
      </c>
      <c r="C876" s="5" t="s">
        <v>2136</v>
      </c>
      <c r="D876" s="5" t="s">
        <v>2137</v>
      </c>
      <c r="E876" s="5" t="s">
        <v>628</v>
      </c>
    </row>
    <row r="877" spans="1:5" x14ac:dyDescent="0.25">
      <c r="A877" s="5">
        <v>85003</v>
      </c>
      <c r="B877" s="5" t="s">
        <v>2138</v>
      </c>
      <c r="C877" s="5" t="s">
        <v>2139</v>
      </c>
      <c r="D877" s="5" t="s">
        <v>2140</v>
      </c>
      <c r="E877" s="5" t="s">
        <v>81</v>
      </c>
    </row>
    <row r="878" spans="1:5" x14ac:dyDescent="0.25">
      <c r="A878" s="5" t="s">
        <v>74</v>
      </c>
      <c r="B878" s="5" t="s">
        <v>2141</v>
      </c>
      <c r="C878" s="5" t="s">
        <v>2142</v>
      </c>
      <c r="D878" s="5" t="s">
        <v>74</v>
      </c>
      <c r="E878" s="5" t="s">
        <v>74</v>
      </c>
    </row>
    <row r="879" spans="1:5" x14ac:dyDescent="0.25">
      <c r="A879" s="5">
        <v>12063</v>
      </c>
      <c r="B879" s="5" t="s">
        <v>2143</v>
      </c>
      <c r="C879" s="5" t="s">
        <v>2144</v>
      </c>
      <c r="D879" s="5" t="s">
        <v>2145</v>
      </c>
      <c r="E879" s="5" t="s">
        <v>72</v>
      </c>
    </row>
    <row r="880" spans="1:5" x14ac:dyDescent="0.25">
      <c r="A880" s="5">
        <v>24049</v>
      </c>
      <c r="B880" s="5" t="s">
        <v>2146</v>
      </c>
      <c r="C880" s="5" t="s">
        <v>2147</v>
      </c>
      <c r="D880" s="5" t="s">
        <v>2148</v>
      </c>
      <c r="E880" s="5" t="s">
        <v>140</v>
      </c>
    </row>
    <row r="881" spans="1:5" x14ac:dyDescent="0.25">
      <c r="A881" s="5">
        <v>16114</v>
      </c>
      <c r="B881" s="5" t="s">
        <v>2149</v>
      </c>
      <c r="C881" s="5" t="s">
        <v>2150</v>
      </c>
      <c r="D881" s="5" t="s">
        <v>2151</v>
      </c>
      <c r="E881" s="5" t="s">
        <v>188</v>
      </c>
    </row>
    <row r="882" spans="1:5" x14ac:dyDescent="0.25">
      <c r="A882" s="5" t="s">
        <v>74</v>
      </c>
      <c r="B882" s="5" t="s">
        <v>2152</v>
      </c>
      <c r="C882" s="5" t="s">
        <v>2153</v>
      </c>
      <c r="D882" s="5" t="s">
        <v>74</v>
      </c>
      <c r="E882" s="5" t="s">
        <v>74</v>
      </c>
    </row>
    <row r="883" spans="1:5" x14ac:dyDescent="0.25">
      <c r="A883" s="5">
        <v>18121</v>
      </c>
      <c r="B883" s="5" t="s">
        <v>2154</v>
      </c>
      <c r="C883" s="5" t="s">
        <v>2155</v>
      </c>
      <c r="D883" s="5" t="s">
        <v>2156</v>
      </c>
      <c r="E883" s="5" t="s">
        <v>117</v>
      </c>
    </row>
    <row r="884" spans="1:5" x14ac:dyDescent="0.25">
      <c r="A884" s="5">
        <v>16106</v>
      </c>
      <c r="B884" s="5" t="s">
        <v>2157</v>
      </c>
      <c r="C884" s="5" t="s">
        <v>2158</v>
      </c>
      <c r="D884" s="5" t="s">
        <v>74</v>
      </c>
      <c r="E884" s="5" t="s">
        <v>153</v>
      </c>
    </row>
    <row r="885" spans="1:5" x14ac:dyDescent="0.25">
      <c r="A885" s="5">
        <v>13159</v>
      </c>
      <c r="B885" s="5" t="s">
        <v>2159</v>
      </c>
      <c r="C885" s="5" t="s">
        <v>2160</v>
      </c>
      <c r="D885" s="5" t="s">
        <v>2161</v>
      </c>
      <c r="E885" s="5" t="s">
        <v>72</v>
      </c>
    </row>
    <row r="886" spans="1:5" x14ac:dyDescent="0.25">
      <c r="A886" s="5" t="s">
        <v>74</v>
      </c>
      <c r="B886" s="5" t="s">
        <v>2162</v>
      </c>
      <c r="C886" s="5" t="s">
        <v>2163</v>
      </c>
      <c r="D886" s="5" t="s">
        <v>74</v>
      </c>
      <c r="E886" s="5" t="s">
        <v>140</v>
      </c>
    </row>
    <row r="887" spans="1:5" x14ac:dyDescent="0.25">
      <c r="A887" s="5">
        <v>13225</v>
      </c>
      <c r="B887" s="5" t="s">
        <v>2164</v>
      </c>
      <c r="C887" s="5" t="s">
        <v>2165</v>
      </c>
      <c r="D887" s="5" t="s">
        <v>2166</v>
      </c>
      <c r="E887" s="5" t="s">
        <v>72</v>
      </c>
    </row>
    <row r="888" spans="1:5" x14ac:dyDescent="0.25">
      <c r="A888" s="5">
        <v>19034</v>
      </c>
      <c r="B888" s="5" t="s">
        <v>2167</v>
      </c>
      <c r="C888" s="5" t="s">
        <v>2168</v>
      </c>
      <c r="D888" s="5" t="s">
        <v>106</v>
      </c>
      <c r="E888" s="5" t="s">
        <v>97</v>
      </c>
    </row>
    <row r="889" spans="1:5" x14ac:dyDescent="0.25">
      <c r="A889" s="5">
        <v>28126</v>
      </c>
      <c r="B889" s="5" t="s">
        <v>2169</v>
      </c>
      <c r="C889" s="5" t="s">
        <v>2170</v>
      </c>
      <c r="D889" s="5" t="s">
        <v>1599</v>
      </c>
      <c r="E889" s="5" t="s">
        <v>110</v>
      </c>
    </row>
    <row r="890" spans="1:5" x14ac:dyDescent="0.25">
      <c r="A890" s="5" t="s">
        <v>74</v>
      </c>
      <c r="B890" s="5" t="s">
        <v>2171</v>
      </c>
      <c r="C890" s="5" t="s">
        <v>2172</v>
      </c>
      <c r="D890" s="5" t="s">
        <v>74</v>
      </c>
      <c r="E890" s="5" t="s">
        <v>72</v>
      </c>
    </row>
    <row r="891" spans="1:5" x14ac:dyDescent="0.25">
      <c r="A891" s="5">
        <v>14086</v>
      </c>
      <c r="B891" s="5" t="s">
        <v>2173</v>
      </c>
      <c r="C891" s="5" t="s">
        <v>2174</v>
      </c>
      <c r="D891" s="5" t="s">
        <v>220</v>
      </c>
      <c r="E891" s="5" t="s">
        <v>72</v>
      </c>
    </row>
    <row r="892" spans="1:5" x14ac:dyDescent="0.25">
      <c r="A892" s="5">
        <v>18160</v>
      </c>
      <c r="B892" s="5" t="s">
        <v>2175</v>
      </c>
      <c r="C892" s="5" t="s">
        <v>2176</v>
      </c>
      <c r="D892" s="5" t="s">
        <v>2177</v>
      </c>
      <c r="E892" s="5" t="s">
        <v>117</v>
      </c>
    </row>
    <row r="893" spans="1:5" x14ac:dyDescent="0.25">
      <c r="A893" s="5" t="s">
        <v>74</v>
      </c>
      <c r="B893" s="5" t="s">
        <v>2178</v>
      </c>
      <c r="C893" s="5" t="s">
        <v>2179</v>
      </c>
      <c r="D893" s="5" t="s">
        <v>74</v>
      </c>
      <c r="E893" s="5" t="s">
        <v>74</v>
      </c>
    </row>
    <row r="894" spans="1:5" x14ac:dyDescent="0.25">
      <c r="A894" s="5" t="s">
        <v>74</v>
      </c>
      <c r="B894" s="5" t="s">
        <v>2180</v>
      </c>
      <c r="C894" s="5" t="s">
        <v>2181</v>
      </c>
      <c r="D894" s="5" t="s">
        <v>74</v>
      </c>
      <c r="E894" s="5" t="s">
        <v>74</v>
      </c>
    </row>
    <row r="895" spans="1:5" x14ac:dyDescent="0.25">
      <c r="A895" s="5">
        <v>14096</v>
      </c>
      <c r="B895" s="5" t="s">
        <v>2182</v>
      </c>
      <c r="C895" s="5" t="s">
        <v>2183</v>
      </c>
      <c r="D895" s="5" t="s">
        <v>2184</v>
      </c>
      <c r="E895" s="5" t="s">
        <v>72</v>
      </c>
    </row>
    <row r="896" spans="1:5" x14ac:dyDescent="0.25">
      <c r="A896" s="5">
        <v>26145</v>
      </c>
      <c r="B896" s="5" t="s">
        <v>2185</v>
      </c>
      <c r="C896" s="5" t="s">
        <v>2186</v>
      </c>
      <c r="D896" s="5" t="s">
        <v>297</v>
      </c>
      <c r="E896" s="5" t="s">
        <v>85</v>
      </c>
    </row>
    <row r="897" spans="1:5" x14ac:dyDescent="0.25">
      <c r="A897" s="5">
        <v>13098</v>
      </c>
      <c r="B897" s="5" t="s">
        <v>2187</v>
      </c>
      <c r="C897" s="5" t="s">
        <v>2188</v>
      </c>
      <c r="D897" s="5" t="s">
        <v>425</v>
      </c>
      <c r="E897" s="5" t="s">
        <v>93</v>
      </c>
    </row>
    <row r="898" spans="1:5" x14ac:dyDescent="0.25">
      <c r="A898" s="5">
        <v>19148</v>
      </c>
      <c r="B898" s="5" t="s">
        <v>2189</v>
      </c>
      <c r="C898" s="5" t="s">
        <v>2190</v>
      </c>
      <c r="D898" s="5" t="s">
        <v>259</v>
      </c>
      <c r="E898" s="5" t="s">
        <v>479</v>
      </c>
    </row>
    <row r="899" spans="1:5" x14ac:dyDescent="0.25">
      <c r="A899" s="5">
        <v>18232</v>
      </c>
      <c r="B899" s="5" t="s">
        <v>2191</v>
      </c>
      <c r="C899" s="5" t="s">
        <v>2192</v>
      </c>
      <c r="D899" s="5" t="s">
        <v>187</v>
      </c>
      <c r="E899" s="5" t="s">
        <v>188</v>
      </c>
    </row>
    <row r="900" spans="1:5" x14ac:dyDescent="0.25">
      <c r="A900" s="5">
        <v>18006</v>
      </c>
      <c r="B900" s="5" t="s">
        <v>2193</v>
      </c>
      <c r="C900" s="5" t="s">
        <v>2194</v>
      </c>
      <c r="D900" s="5" t="s">
        <v>74</v>
      </c>
      <c r="E900" s="5" t="s">
        <v>74</v>
      </c>
    </row>
    <row r="901" spans="1:5" x14ac:dyDescent="0.25">
      <c r="A901" s="5" t="s">
        <v>74</v>
      </c>
      <c r="B901" s="5" t="s">
        <v>2195</v>
      </c>
      <c r="C901" s="5" t="s">
        <v>2196</v>
      </c>
      <c r="D901" s="5" t="s">
        <v>74</v>
      </c>
      <c r="E901" s="5" t="s">
        <v>74</v>
      </c>
    </row>
    <row r="902" spans="1:5" x14ac:dyDescent="0.25">
      <c r="A902" s="5">
        <v>19180</v>
      </c>
      <c r="B902" s="5" t="s">
        <v>2197</v>
      </c>
      <c r="C902" s="5" t="s">
        <v>2198</v>
      </c>
      <c r="D902" s="5" t="s">
        <v>191</v>
      </c>
      <c r="E902" s="5" t="s">
        <v>97</v>
      </c>
    </row>
    <row r="903" spans="1:5" x14ac:dyDescent="0.25">
      <c r="A903" s="5">
        <v>29134</v>
      </c>
      <c r="B903" s="5" t="s">
        <v>2199</v>
      </c>
      <c r="C903" s="5" t="s">
        <v>2200</v>
      </c>
      <c r="D903" s="5" t="s">
        <v>485</v>
      </c>
      <c r="E903" s="5" t="s">
        <v>140</v>
      </c>
    </row>
    <row r="904" spans="1:5" x14ac:dyDescent="0.25">
      <c r="A904" s="5">
        <v>18282</v>
      </c>
      <c r="B904" s="5" t="s">
        <v>2201</v>
      </c>
      <c r="C904" s="5" t="s">
        <v>2202</v>
      </c>
      <c r="D904" s="5" t="s">
        <v>2203</v>
      </c>
      <c r="E904" s="5" t="s">
        <v>110</v>
      </c>
    </row>
    <row r="905" spans="1:5" x14ac:dyDescent="0.25">
      <c r="A905" s="5" t="s">
        <v>74</v>
      </c>
      <c r="B905" s="5" t="s">
        <v>2204</v>
      </c>
      <c r="C905" s="5" t="s">
        <v>2205</v>
      </c>
      <c r="D905" s="5" t="s">
        <v>74</v>
      </c>
      <c r="E905" s="5" t="s">
        <v>74</v>
      </c>
    </row>
    <row r="906" spans="1:5" x14ac:dyDescent="0.25">
      <c r="A906" s="5" t="s">
        <v>74</v>
      </c>
      <c r="B906" s="5" t="s">
        <v>2206</v>
      </c>
      <c r="C906" s="5" t="s">
        <v>2207</v>
      </c>
      <c r="D906" s="5" t="s">
        <v>220</v>
      </c>
      <c r="E906" s="5" t="s">
        <v>117</v>
      </c>
    </row>
    <row r="907" spans="1:5" x14ac:dyDescent="0.25">
      <c r="A907" s="5">
        <v>19123</v>
      </c>
      <c r="B907" s="5" t="s">
        <v>2208</v>
      </c>
      <c r="C907" s="5" t="s">
        <v>2209</v>
      </c>
      <c r="D907" s="5" t="s">
        <v>2010</v>
      </c>
      <c r="E907" s="5" t="s">
        <v>110</v>
      </c>
    </row>
    <row r="908" spans="1:5" x14ac:dyDescent="0.25">
      <c r="A908" s="5">
        <v>15053</v>
      </c>
      <c r="B908" s="5" t="s">
        <v>2210</v>
      </c>
      <c r="C908" s="5" t="s">
        <v>2211</v>
      </c>
      <c r="D908" s="5" t="s">
        <v>408</v>
      </c>
      <c r="E908" s="5" t="s">
        <v>89</v>
      </c>
    </row>
    <row r="909" spans="1:5" x14ac:dyDescent="0.25">
      <c r="A909" s="5">
        <v>27129</v>
      </c>
      <c r="B909" s="5" t="s">
        <v>2212</v>
      </c>
      <c r="C909" s="5" t="s">
        <v>2213</v>
      </c>
      <c r="D909" s="5" t="s">
        <v>1599</v>
      </c>
      <c r="E909" s="5" t="s">
        <v>89</v>
      </c>
    </row>
    <row r="910" spans="1:5" x14ac:dyDescent="0.25">
      <c r="A910" s="5">
        <v>14144</v>
      </c>
      <c r="B910" s="5" t="s">
        <v>2214</v>
      </c>
      <c r="C910" s="5" t="s">
        <v>2215</v>
      </c>
      <c r="D910" s="5" t="s">
        <v>2216</v>
      </c>
      <c r="E910" s="5" t="s">
        <v>110</v>
      </c>
    </row>
    <row r="911" spans="1:5" x14ac:dyDescent="0.25">
      <c r="A911" s="5">
        <v>19205</v>
      </c>
      <c r="B911" s="5" t="s">
        <v>2217</v>
      </c>
      <c r="C911" s="5" t="s">
        <v>2218</v>
      </c>
      <c r="D911" s="5" t="s">
        <v>386</v>
      </c>
      <c r="E911" s="5" t="s">
        <v>351</v>
      </c>
    </row>
    <row r="912" spans="1:5" x14ac:dyDescent="0.25">
      <c r="A912" s="5">
        <v>19009</v>
      </c>
      <c r="B912" s="5" t="s">
        <v>2219</v>
      </c>
      <c r="C912" s="5" t="s">
        <v>2220</v>
      </c>
      <c r="D912" s="5" t="s">
        <v>2221</v>
      </c>
      <c r="E912" s="5" t="s">
        <v>97</v>
      </c>
    </row>
    <row r="913" spans="1:5" x14ac:dyDescent="0.25">
      <c r="A913" s="5">
        <v>13093</v>
      </c>
      <c r="B913" s="5" t="s">
        <v>2222</v>
      </c>
      <c r="C913" s="5" t="s">
        <v>2223</v>
      </c>
      <c r="D913" s="5" t="s">
        <v>2224</v>
      </c>
      <c r="E913" s="5" t="s">
        <v>81</v>
      </c>
    </row>
    <row r="914" spans="1:5" x14ac:dyDescent="0.25">
      <c r="A914" s="5" t="s">
        <v>74</v>
      </c>
      <c r="B914" s="5" t="s">
        <v>2225</v>
      </c>
      <c r="C914" s="5" t="s">
        <v>2226</v>
      </c>
      <c r="D914" s="5" t="s">
        <v>74</v>
      </c>
      <c r="E914" s="5" t="s">
        <v>74</v>
      </c>
    </row>
    <row r="915" spans="1:5" x14ac:dyDescent="0.25">
      <c r="A915" s="5" t="s">
        <v>74</v>
      </c>
      <c r="B915" s="5" t="s">
        <v>2227</v>
      </c>
      <c r="C915" s="5" t="s">
        <v>2228</v>
      </c>
      <c r="D915" s="5" t="s">
        <v>74</v>
      </c>
      <c r="E915" s="5" t="s">
        <v>140</v>
      </c>
    </row>
    <row r="916" spans="1:5" x14ac:dyDescent="0.25">
      <c r="A916" s="5">
        <v>18022</v>
      </c>
      <c r="B916" s="5" t="s">
        <v>2229</v>
      </c>
      <c r="C916" s="5" t="s">
        <v>2230</v>
      </c>
      <c r="D916" s="5" t="s">
        <v>2231</v>
      </c>
      <c r="E916" s="5" t="s">
        <v>72</v>
      </c>
    </row>
    <row r="917" spans="1:5" x14ac:dyDescent="0.25">
      <c r="A917" s="5">
        <v>97031</v>
      </c>
      <c r="B917" s="5" t="s">
        <v>2232</v>
      </c>
      <c r="C917" s="5" t="s">
        <v>2233</v>
      </c>
      <c r="D917" s="5" t="s">
        <v>606</v>
      </c>
      <c r="E917" s="5" t="s">
        <v>89</v>
      </c>
    </row>
    <row r="918" spans="1:5" x14ac:dyDescent="0.25">
      <c r="A918" s="5" t="s">
        <v>74</v>
      </c>
      <c r="B918" s="5" t="s">
        <v>2234</v>
      </c>
      <c r="C918" s="5" t="s">
        <v>2235</v>
      </c>
      <c r="D918" s="5" t="s">
        <v>393</v>
      </c>
      <c r="E918" s="5" t="s">
        <v>89</v>
      </c>
    </row>
    <row r="919" spans="1:5" x14ac:dyDescent="0.25">
      <c r="A919" s="5">
        <v>29113</v>
      </c>
      <c r="B919" s="5" t="s">
        <v>2236</v>
      </c>
      <c r="C919" s="5" t="s">
        <v>2237</v>
      </c>
      <c r="D919" s="5" t="s">
        <v>309</v>
      </c>
      <c r="E919" s="5" t="s">
        <v>110</v>
      </c>
    </row>
    <row r="920" spans="1:5" x14ac:dyDescent="0.25">
      <c r="A920" s="5">
        <v>16151</v>
      </c>
      <c r="B920" s="5" t="s">
        <v>2238</v>
      </c>
      <c r="C920" s="5" t="s">
        <v>2239</v>
      </c>
      <c r="D920" s="5" t="s">
        <v>2240</v>
      </c>
      <c r="E920" s="5" t="s">
        <v>72</v>
      </c>
    </row>
    <row r="921" spans="1:5" x14ac:dyDescent="0.25">
      <c r="A921" s="5">
        <v>12011</v>
      </c>
      <c r="B921" s="5" t="s">
        <v>2241</v>
      </c>
      <c r="C921" s="5" t="s">
        <v>2242</v>
      </c>
      <c r="D921" s="5" t="s">
        <v>552</v>
      </c>
      <c r="E921" s="5" t="s">
        <v>224</v>
      </c>
    </row>
    <row r="922" spans="1:5" x14ac:dyDescent="0.25">
      <c r="A922" s="5">
        <v>17031</v>
      </c>
      <c r="B922" s="5" t="s">
        <v>2243</v>
      </c>
      <c r="C922" s="5" t="s">
        <v>2244</v>
      </c>
      <c r="D922" s="5" t="s">
        <v>435</v>
      </c>
      <c r="E922" s="5" t="s">
        <v>72</v>
      </c>
    </row>
    <row r="923" spans="1:5" x14ac:dyDescent="0.25">
      <c r="A923" s="5">
        <v>22001</v>
      </c>
      <c r="B923" s="5" t="s">
        <v>2245</v>
      </c>
      <c r="C923" s="5" t="s">
        <v>2246</v>
      </c>
      <c r="D923" s="5" t="s">
        <v>2247</v>
      </c>
      <c r="E923" s="5" t="s">
        <v>211</v>
      </c>
    </row>
    <row r="924" spans="1:5" x14ac:dyDescent="0.25">
      <c r="A924" s="5" t="s">
        <v>74</v>
      </c>
      <c r="B924" s="5" t="s">
        <v>2248</v>
      </c>
      <c r="C924" s="5" t="s">
        <v>2249</v>
      </c>
      <c r="D924" s="5" t="s">
        <v>84</v>
      </c>
      <c r="E924" s="5" t="s">
        <v>117</v>
      </c>
    </row>
    <row r="925" spans="1:5" x14ac:dyDescent="0.25">
      <c r="A925" s="5">
        <v>18228</v>
      </c>
      <c r="B925" s="5" t="s">
        <v>2250</v>
      </c>
      <c r="C925" s="5" t="s">
        <v>2251</v>
      </c>
      <c r="D925" s="5" t="s">
        <v>106</v>
      </c>
      <c r="E925" s="5" t="s">
        <v>97</v>
      </c>
    </row>
    <row r="926" spans="1:5" x14ac:dyDescent="0.25">
      <c r="A926" s="5">
        <v>18079</v>
      </c>
      <c r="B926" s="5" t="s">
        <v>2252</v>
      </c>
      <c r="C926" s="5" t="s">
        <v>2253</v>
      </c>
      <c r="D926" s="5" t="s">
        <v>2254</v>
      </c>
      <c r="E926" s="5" t="s">
        <v>1568</v>
      </c>
    </row>
    <row r="927" spans="1:5" x14ac:dyDescent="0.25">
      <c r="A927" s="5">
        <v>19170</v>
      </c>
      <c r="B927" s="5" t="s">
        <v>2255</v>
      </c>
      <c r="C927" s="5" t="s">
        <v>2256</v>
      </c>
      <c r="D927" s="5" t="s">
        <v>2257</v>
      </c>
      <c r="E927" s="5" t="s">
        <v>1772</v>
      </c>
    </row>
    <row r="928" spans="1:5" x14ac:dyDescent="0.25">
      <c r="A928" s="5">
        <v>17081</v>
      </c>
      <c r="B928" s="5" t="s">
        <v>2258</v>
      </c>
      <c r="C928" s="5" t="s">
        <v>2259</v>
      </c>
      <c r="D928" s="5" t="s">
        <v>539</v>
      </c>
      <c r="E928" s="5" t="s">
        <v>211</v>
      </c>
    </row>
    <row r="929" spans="1:5" x14ac:dyDescent="0.25">
      <c r="A929" s="5">
        <v>11022</v>
      </c>
      <c r="B929" s="5" t="s">
        <v>2260</v>
      </c>
      <c r="C929" s="5" t="s">
        <v>2261</v>
      </c>
      <c r="D929" s="5" t="s">
        <v>2262</v>
      </c>
      <c r="E929" s="5" t="s">
        <v>479</v>
      </c>
    </row>
    <row r="930" spans="1:5" x14ac:dyDescent="0.25">
      <c r="A930" s="5" t="s">
        <v>74</v>
      </c>
      <c r="B930" s="5" t="s">
        <v>2263</v>
      </c>
      <c r="C930" s="5" t="s">
        <v>2264</v>
      </c>
      <c r="D930" s="5" t="s">
        <v>2265</v>
      </c>
      <c r="E930" s="5" t="s">
        <v>89</v>
      </c>
    </row>
    <row r="931" spans="1:5" x14ac:dyDescent="0.25">
      <c r="A931" s="5">
        <v>19063</v>
      </c>
      <c r="B931" s="5" t="s">
        <v>2266</v>
      </c>
      <c r="C931" s="5" t="s">
        <v>2267</v>
      </c>
      <c r="D931" s="5" t="s">
        <v>408</v>
      </c>
      <c r="E931" s="5" t="s">
        <v>89</v>
      </c>
    </row>
    <row r="932" spans="1:5" x14ac:dyDescent="0.25">
      <c r="A932" s="5">
        <v>19016</v>
      </c>
      <c r="B932" s="5" t="s">
        <v>2268</v>
      </c>
      <c r="C932" s="5" t="s">
        <v>2269</v>
      </c>
      <c r="D932" s="5" t="s">
        <v>2270</v>
      </c>
      <c r="E932" s="5" t="s">
        <v>89</v>
      </c>
    </row>
    <row r="933" spans="1:5" x14ac:dyDescent="0.25">
      <c r="A933" s="5">
        <v>28098</v>
      </c>
      <c r="B933" s="5" t="s">
        <v>2271</v>
      </c>
      <c r="C933" s="5" t="s">
        <v>2272</v>
      </c>
      <c r="D933" s="5" t="s">
        <v>493</v>
      </c>
      <c r="E933" s="5" t="s">
        <v>97</v>
      </c>
    </row>
    <row r="934" spans="1:5" x14ac:dyDescent="0.25">
      <c r="A934" s="5">
        <v>16022</v>
      </c>
      <c r="B934" s="5" t="s">
        <v>2273</v>
      </c>
      <c r="C934" s="5" t="s">
        <v>2274</v>
      </c>
      <c r="D934" s="5" t="s">
        <v>2275</v>
      </c>
      <c r="E934" s="5" t="s">
        <v>72</v>
      </c>
    </row>
    <row r="935" spans="1:5" x14ac:dyDescent="0.25">
      <c r="A935" s="5">
        <v>13031</v>
      </c>
      <c r="B935" s="5" t="s">
        <v>2276</v>
      </c>
      <c r="C935" s="5" t="s">
        <v>2277</v>
      </c>
      <c r="D935" s="5" t="s">
        <v>435</v>
      </c>
      <c r="E935" s="5" t="s">
        <v>85</v>
      </c>
    </row>
    <row r="936" spans="1:5" x14ac:dyDescent="0.25">
      <c r="A936" s="5">
        <v>18048</v>
      </c>
      <c r="B936" s="5" t="s">
        <v>2278</v>
      </c>
      <c r="C936" s="5" t="s">
        <v>2279</v>
      </c>
      <c r="D936" s="5" t="s">
        <v>708</v>
      </c>
      <c r="E936" s="5" t="s">
        <v>93</v>
      </c>
    </row>
    <row r="937" spans="1:5" x14ac:dyDescent="0.25">
      <c r="A937" s="5">
        <v>21029</v>
      </c>
      <c r="B937" s="5" t="s">
        <v>2280</v>
      </c>
      <c r="C937" s="5" t="s">
        <v>2281</v>
      </c>
      <c r="D937" s="5" t="s">
        <v>850</v>
      </c>
      <c r="E937" s="5" t="s">
        <v>89</v>
      </c>
    </row>
    <row r="938" spans="1:5" x14ac:dyDescent="0.25">
      <c r="A938" s="5">
        <v>13175</v>
      </c>
      <c r="B938" s="5" t="s">
        <v>2282</v>
      </c>
      <c r="C938" s="5" t="s">
        <v>2283</v>
      </c>
      <c r="D938" s="5" t="s">
        <v>425</v>
      </c>
      <c r="E938" s="5" t="s">
        <v>72</v>
      </c>
    </row>
    <row r="939" spans="1:5" x14ac:dyDescent="0.25">
      <c r="A939" s="5">
        <v>19129</v>
      </c>
      <c r="B939" s="5" t="s">
        <v>2284</v>
      </c>
      <c r="C939" s="5" t="s">
        <v>2285</v>
      </c>
      <c r="D939" s="5" t="s">
        <v>2286</v>
      </c>
      <c r="E939" s="5" t="s">
        <v>206</v>
      </c>
    </row>
    <row r="940" spans="1:5" x14ac:dyDescent="0.25">
      <c r="A940" s="5">
        <v>18154</v>
      </c>
      <c r="B940" s="5" t="s">
        <v>2287</v>
      </c>
      <c r="C940" s="5" t="s">
        <v>2288</v>
      </c>
      <c r="D940" s="5" t="s">
        <v>2289</v>
      </c>
      <c r="E940" s="5" t="s">
        <v>181</v>
      </c>
    </row>
    <row r="941" spans="1:5" x14ac:dyDescent="0.25">
      <c r="A941" s="5" t="s">
        <v>74</v>
      </c>
      <c r="B941" s="5" t="s">
        <v>2290</v>
      </c>
      <c r="C941" s="5" t="s">
        <v>2291</v>
      </c>
      <c r="D941" s="5" t="s">
        <v>74</v>
      </c>
      <c r="E941" s="5" t="s">
        <v>74</v>
      </c>
    </row>
    <row r="942" spans="1:5" x14ac:dyDescent="0.25">
      <c r="A942" s="5">
        <v>10058</v>
      </c>
      <c r="B942" s="5" t="s">
        <v>2292</v>
      </c>
      <c r="C942" s="5" t="s">
        <v>2293</v>
      </c>
      <c r="D942" s="5" t="s">
        <v>1341</v>
      </c>
      <c r="E942" s="5" t="s">
        <v>140</v>
      </c>
    </row>
    <row r="943" spans="1:5" x14ac:dyDescent="0.25">
      <c r="A943" s="5" t="s">
        <v>74</v>
      </c>
      <c r="B943" s="5" t="s">
        <v>2294</v>
      </c>
      <c r="C943" s="5" t="s">
        <v>2295</v>
      </c>
      <c r="D943" s="5" t="s">
        <v>74</v>
      </c>
      <c r="E943" s="5" t="s">
        <v>74</v>
      </c>
    </row>
    <row r="944" spans="1:5" x14ac:dyDescent="0.25">
      <c r="A944" s="5" t="s">
        <v>74</v>
      </c>
      <c r="B944" s="5" t="s">
        <v>2296</v>
      </c>
      <c r="C944" s="5" t="s">
        <v>2297</v>
      </c>
      <c r="D944" s="5" t="s">
        <v>74</v>
      </c>
      <c r="E944" s="5" t="s">
        <v>74</v>
      </c>
    </row>
    <row r="945" spans="1:5" x14ac:dyDescent="0.25">
      <c r="A945" s="5">
        <v>19094</v>
      </c>
      <c r="B945" s="5" t="s">
        <v>2298</v>
      </c>
      <c r="C945" s="5" t="s">
        <v>2299</v>
      </c>
      <c r="D945" s="5" t="s">
        <v>2300</v>
      </c>
      <c r="E945" s="5" t="s">
        <v>188</v>
      </c>
    </row>
    <row r="946" spans="1:5" x14ac:dyDescent="0.25">
      <c r="A946" s="5">
        <v>16153</v>
      </c>
      <c r="B946" s="5" t="s">
        <v>2301</v>
      </c>
      <c r="C946" s="5" t="s">
        <v>2302</v>
      </c>
      <c r="D946" s="5" t="s">
        <v>2303</v>
      </c>
      <c r="E946" s="5" t="s">
        <v>1568</v>
      </c>
    </row>
    <row r="947" spans="1:5" x14ac:dyDescent="0.25">
      <c r="A947" s="5">
        <v>13104</v>
      </c>
      <c r="B947" s="5" t="s">
        <v>2304</v>
      </c>
      <c r="C947" s="5" t="s">
        <v>2305</v>
      </c>
      <c r="D947" s="5" t="s">
        <v>408</v>
      </c>
      <c r="E947" s="5" t="s">
        <v>89</v>
      </c>
    </row>
    <row r="948" spans="1:5" x14ac:dyDescent="0.25">
      <c r="A948" s="5" t="s">
        <v>74</v>
      </c>
      <c r="B948" s="5" t="s">
        <v>2306</v>
      </c>
      <c r="C948" s="5" t="s">
        <v>2307</v>
      </c>
      <c r="D948" s="5" t="s">
        <v>74</v>
      </c>
      <c r="E948" s="5" t="s">
        <v>74</v>
      </c>
    </row>
    <row r="949" spans="1:5" x14ac:dyDescent="0.25">
      <c r="A949" s="5">
        <v>13096</v>
      </c>
      <c r="B949" s="5" t="s">
        <v>2308</v>
      </c>
      <c r="C949" s="5" t="s">
        <v>2309</v>
      </c>
      <c r="D949" s="5" t="s">
        <v>2310</v>
      </c>
      <c r="E949" s="5" t="s">
        <v>117</v>
      </c>
    </row>
    <row r="950" spans="1:5" x14ac:dyDescent="0.25">
      <c r="A950" s="5">
        <v>18261</v>
      </c>
      <c r="B950" s="5" t="s">
        <v>2311</v>
      </c>
      <c r="C950" s="5" t="s">
        <v>2312</v>
      </c>
      <c r="D950" s="5" t="s">
        <v>533</v>
      </c>
      <c r="E950" s="5" t="s">
        <v>181</v>
      </c>
    </row>
    <row r="951" spans="1:5" x14ac:dyDescent="0.25">
      <c r="A951" s="5">
        <v>13165</v>
      </c>
      <c r="B951" s="5" t="s">
        <v>2313</v>
      </c>
      <c r="C951" s="5" t="s">
        <v>2314</v>
      </c>
      <c r="D951" s="5" t="s">
        <v>2315</v>
      </c>
      <c r="E951" s="5" t="s">
        <v>72</v>
      </c>
    </row>
    <row r="952" spans="1:5" x14ac:dyDescent="0.25">
      <c r="A952" s="5" t="s">
        <v>74</v>
      </c>
      <c r="B952" s="5" t="s">
        <v>2316</v>
      </c>
      <c r="C952" s="5" t="s">
        <v>2317</v>
      </c>
      <c r="D952" s="5" t="s">
        <v>74</v>
      </c>
      <c r="E952" s="5" t="s">
        <v>74</v>
      </c>
    </row>
    <row r="953" spans="1:5" x14ac:dyDescent="0.25">
      <c r="A953" s="5">
        <v>17162</v>
      </c>
      <c r="B953" s="5" t="s">
        <v>2318</v>
      </c>
      <c r="C953" s="5" t="s">
        <v>2319</v>
      </c>
      <c r="D953" s="5" t="s">
        <v>2320</v>
      </c>
      <c r="E953" s="5" t="s">
        <v>188</v>
      </c>
    </row>
    <row r="954" spans="1:5" x14ac:dyDescent="0.25">
      <c r="A954" s="5">
        <v>15052</v>
      </c>
      <c r="B954" s="5" t="s">
        <v>2321</v>
      </c>
      <c r="C954" s="5" t="s">
        <v>2322</v>
      </c>
      <c r="D954" s="5" t="s">
        <v>84</v>
      </c>
      <c r="E954" s="5" t="s">
        <v>72</v>
      </c>
    </row>
    <row r="955" spans="1:5" x14ac:dyDescent="0.25">
      <c r="A955" s="5">
        <v>16030</v>
      </c>
      <c r="B955" s="5" t="s">
        <v>2323</v>
      </c>
      <c r="C955" s="5" t="s">
        <v>2324</v>
      </c>
      <c r="D955" s="5" t="s">
        <v>1334</v>
      </c>
      <c r="E955" s="5" t="s">
        <v>312</v>
      </c>
    </row>
    <row r="956" spans="1:5" x14ac:dyDescent="0.25">
      <c r="A956" s="5" t="s">
        <v>74</v>
      </c>
      <c r="B956" s="5" t="s">
        <v>2325</v>
      </c>
      <c r="C956" s="5" t="s">
        <v>2326</v>
      </c>
      <c r="D956" s="5" t="s">
        <v>74</v>
      </c>
      <c r="E956" s="5" t="s">
        <v>74</v>
      </c>
    </row>
    <row r="957" spans="1:5" x14ac:dyDescent="0.25">
      <c r="A957" s="5">
        <v>16124</v>
      </c>
      <c r="B957" s="5" t="s">
        <v>2327</v>
      </c>
      <c r="C957" s="5" t="s">
        <v>2328</v>
      </c>
      <c r="D957" s="5" t="s">
        <v>2329</v>
      </c>
      <c r="E957" s="5" t="s">
        <v>153</v>
      </c>
    </row>
    <row r="958" spans="1:5" x14ac:dyDescent="0.25">
      <c r="A958" s="5">
        <v>18248</v>
      </c>
      <c r="B958" s="5" t="s">
        <v>2330</v>
      </c>
      <c r="C958" s="5" t="s">
        <v>2331</v>
      </c>
      <c r="D958" s="5" t="s">
        <v>2332</v>
      </c>
      <c r="E958" s="5" t="s">
        <v>51</v>
      </c>
    </row>
    <row r="959" spans="1:5" x14ac:dyDescent="0.25">
      <c r="A959" s="5">
        <v>19089</v>
      </c>
      <c r="B959" s="5" t="s">
        <v>2333</v>
      </c>
      <c r="C959" s="5" t="s">
        <v>2334</v>
      </c>
      <c r="D959" s="5" t="s">
        <v>386</v>
      </c>
      <c r="E959" s="5" t="s">
        <v>89</v>
      </c>
    </row>
    <row r="960" spans="1:5" x14ac:dyDescent="0.25">
      <c r="A960" s="5" t="s">
        <v>74</v>
      </c>
      <c r="B960" s="5" t="s">
        <v>2335</v>
      </c>
      <c r="C960" s="5" t="s">
        <v>2336</v>
      </c>
      <c r="D960" s="5" t="s">
        <v>2337</v>
      </c>
      <c r="E960" s="5" t="s">
        <v>181</v>
      </c>
    </row>
    <row r="961" spans="1:5" x14ac:dyDescent="0.25">
      <c r="A961" s="5">
        <v>18239</v>
      </c>
      <c r="B961" s="5" t="s">
        <v>2338</v>
      </c>
      <c r="C961" s="5" t="s">
        <v>2339</v>
      </c>
      <c r="D961" s="5" t="s">
        <v>475</v>
      </c>
      <c r="E961" s="5" t="s">
        <v>110</v>
      </c>
    </row>
    <row r="962" spans="1:5" x14ac:dyDescent="0.25">
      <c r="A962" s="5">
        <v>16207</v>
      </c>
      <c r="B962" s="5" t="s">
        <v>2340</v>
      </c>
      <c r="C962" s="5" t="s">
        <v>2341</v>
      </c>
      <c r="D962" s="5" t="s">
        <v>533</v>
      </c>
      <c r="E962" s="5" t="s">
        <v>117</v>
      </c>
    </row>
    <row r="963" spans="1:5" x14ac:dyDescent="0.25">
      <c r="A963" s="5">
        <v>99081</v>
      </c>
      <c r="B963" s="5" t="s">
        <v>2342</v>
      </c>
      <c r="C963" s="5" t="s">
        <v>2343</v>
      </c>
      <c r="D963" s="5" t="s">
        <v>493</v>
      </c>
      <c r="E963" s="5" t="s">
        <v>89</v>
      </c>
    </row>
    <row r="964" spans="1:5" x14ac:dyDescent="0.25">
      <c r="A964" s="5">
        <v>17069</v>
      </c>
      <c r="B964" s="5" t="s">
        <v>2344</v>
      </c>
      <c r="C964" s="5" t="s">
        <v>2345</v>
      </c>
      <c r="D964" s="5" t="s">
        <v>1458</v>
      </c>
      <c r="E964" s="5" t="s">
        <v>312</v>
      </c>
    </row>
    <row r="965" spans="1:5" x14ac:dyDescent="0.25">
      <c r="A965" s="5">
        <v>13042</v>
      </c>
      <c r="B965" s="5" t="s">
        <v>2346</v>
      </c>
      <c r="C965" s="5" t="s">
        <v>2347</v>
      </c>
      <c r="D965" s="5" t="s">
        <v>2348</v>
      </c>
      <c r="E965" s="5" t="s">
        <v>110</v>
      </c>
    </row>
    <row r="966" spans="1:5" x14ac:dyDescent="0.25">
      <c r="A966" s="5">
        <v>13299</v>
      </c>
      <c r="B966" s="5" t="s">
        <v>2349</v>
      </c>
      <c r="C966" s="5" t="s">
        <v>2350</v>
      </c>
      <c r="D966" s="5" t="s">
        <v>80</v>
      </c>
      <c r="E966" s="5" t="s">
        <v>153</v>
      </c>
    </row>
    <row r="967" spans="1:5" x14ac:dyDescent="0.25">
      <c r="A967" s="5">
        <v>15198</v>
      </c>
      <c r="B967" s="5" t="s">
        <v>2351</v>
      </c>
      <c r="C967" s="5" t="s">
        <v>2352</v>
      </c>
      <c r="D967" s="5" t="s">
        <v>2353</v>
      </c>
      <c r="E967" s="5" t="s">
        <v>153</v>
      </c>
    </row>
    <row r="968" spans="1:5" x14ac:dyDescent="0.25">
      <c r="A968" s="5">
        <v>16154</v>
      </c>
      <c r="B968" s="5" t="s">
        <v>2354</v>
      </c>
      <c r="C968" s="5" t="s">
        <v>2355</v>
      </c>
      <c r="D968" s="5" t="s">
        <v>2356</v>
      </c>
      <c r="E968" s="5" t="s">
        <v>181</v>
      </c>
    </row>
    <row r="969" spans="1:5" x14ac:dyDescent="0.25">
      <c r="A969" s="5" t="s">
        <v>2358</v>
      </c>
      <c r="B969" s="5" t="s">
        <v>2357</v>
      </c>
      <c r="C969" s="5" t="s">
        <v>2359</v>
      </c>
      <c r="D969" s="5" t="s">
        <v>485</v>
      </c>
      <c r="E969" s="5" t="s">
        <v>140</v>
      </c>
    </row>
    <row r="970" spans="1:5" x14ac:dyDescent="0.25">
      <c r="A970" s="5" t="s">
        <v>74</v>
      </c>
      <c r="B970" s="5" t="s">
        <v>2360</v>
      </c>
      <c r="C970" s="5" t="s">
        <v>2361</v>
      </c>
      <c r="D970" s="5" t="s">
        <v>74</v>
      </c>
      <c r="E970" s="5" t="s">
        <v>74</v>
      </c>
    </row>
    <row r="971" spans="1:5" x14ac:dyDescent="0.25">
      <c r="A971" s="5" t="s">
        <v>74</v>
      </c>
      <c r="B971" s="5" t="s">
        <v>2362</v>
      </c>
      <c r="C971" s="5" t="s">
        <v>2363</v>
      </c>
      <c r="D971" s="5" t="s">
        <v>74</v>
      </c>
      <c r="E971" s="5" t="s">
        <v>74</v>
      </c>
    </row>
    <row r="972" spans="1:5" x14ac:dyDescent="0.25">
      <c r="A972" s="5" t="s">
        <v>74</v>
      </c>
      <c r="B972" s="5" t="s">
        <v>2364</v>
      </c>
      <c r="C972" s="5" t="s">
        <v>2365</v>
      </c>
      <c r="D972" s="5" t="s">
        <v>74</v>
      </c>
      <c r="E972" s="5" t="s">
        <v>74</v>
      </c>
    </row>
    <row r="973" spans="1:5" x14ac:dyDescent="0.25">
      <c r="A973" s="5" t="s">
        <v>74</v>
      </c>
      <c r="B973" s="5" t="s">
        <v>2366</v>
      </c>
      <c r="C973" s="5" t="s">
        <v>2367</v>
      </c>
      <c r="D973" s="5" t="s">
        <v>74</v>
      </c>
      <c r="E973" s="5" t="s">
        <v>74</v>
      </c>
    </row>
    <row r="974" spans="1:5" x14ac:dyDescent="0.25">
      <c r="A974" s="5">
        <v>11020</v>
      </c>
      <c r="B974" s="5" t="s">
        <v>2368</v>
      </c>
      <c r="C974" s="5" t="s">
        <v>2369</v>
      </c>
      <c r="D974" s="5" t="s">
        <v>1599</v>
      </c>
      <c r="E974" s="5" t="s">
        <v>89</v>
      </c>
    </row>
    <row r="975" spans="1:5" x14ac:dyDescent="0.25">
      <c r="A975" s="5">
        <v>16075</v>
      </c>
      <c r="B975" s="5" t="s">
        <v>2370</v>
      </c>
      <c r="C975" s="5" t="s">
        <v>2371</v>
      </c>
      <c r="D975" s="5" t="s">
        <v>184</v>
      </c>
      <c r="E975" s="5" t="s">
        <v>72</v>
      </c>
    </row>
    <row r="976" spans="1:5" x14ac:dyDescent="0.25">
      <c r="A976" s="5">
        <v>19509</v>
      </c>
      <c r="B976" s="5" t="s">
        <v>2372</v>
      </c>
      <c r="C976" s="5" t="s">
        <v>2373</v>
      </c>
      <c r="D976" s="5" t="s">
        <v>638</v>
      </c>
      <c r="E976" s="5" t="s">
        <v>97</v>
      </c>
    </row>
    <row r="977" spans="1:5" x14ac:dyDescent="0.25">
      <c r="A977" s="5" t="s">
        <v>74</v>
      </c>
      <c r="B977" s="5" t="s">
        <v>2374</v>
      </c>
      <c r="C977" s="5" t="s">
        <v>2375</v>
      </c>
      <c r="D977" s="5" t="s">
        <v>74</v>
      </c>
      <c r="E977" s="5" t="s">
        <v>74</v>
      </c>
    </row>
    <row r="978" spans="1:5" x14ac:dyDescent="0.25">
      <c r="A978" s="5" t="s">
        <v>74</v>
      </c>
      <c r="B978" s="5" t="s">
        <v>2376</v>
      </c>
      <c r="C978" s="5" t="s">
        <v>2377</v>
      </c>
      <c r="D978" s="5" t="s">
        <v>74</v>
      </c>
      <c r="E978" s="5" t="s">
        <v>74</v>
      </c>
    </row>
    <row r="979" spans="1:5" x14ac:dyDescent="0.25">
      <c r="A979" s="5" t="s">
        <v>74</v>
      </c>
      <c r="B979" s="5" t="s">
        <v>2378</v>
      </c>
      <c r="C979" s="5" t="s">
        <v>2379</v>
      </c>
      <c r="D979" s="5" t="s">
        <v>74</v>
      </c>
      <c r="E979" s="5" t="s">
        <v>74</v>
      </c>
    </row>
    <row r="980" spans="1:5" x14ac:dyDescent="0.25">
      <c r="A980" s="5">
        <v>15144</v>
      </c>
      <c r="B980" s="5" t="s">
        <v>2380</v>
      </c>
      <c r="C980" s="5" t="s">
        <v>2381</v>
      </c>
      <c r="D980" s="5" t="s">
        <v>729</v>
      </c>
      <c r="E980" s="5" t="s">
        <v>153</v>
      </c>
    </row>
    <row r="981" spans="1:5" x14ac:dyDescent="0.25">
      <c r="A981" s="5">
        <v>19039</v>
      </c>
      <c r="B981" s="5" t="s">
        <v>2382</v>
      </c>
      <c r="C981" s="5" t="s">
        <v>2383</v>
      </c>
      <c r="D981" s="5" t="s">
        <v>2024</v>
      </c>
      <c r="E981" s="5" t="s">
        <v>89</v>
      </c>
    </row>
    <row r="982" spans="1:5" x14ac:dyDescent="0.25">
      <c r="A982" s="5" t="s">
        <v>74</v>
      </c>
      <c r="B982" s="5" t="s">
        <v>2384</v>
      </c>
      <c r="C982" s="5" t="s">
        <v>2385</v>
      </c>
      <c r="D982" s="5" t="s">
        <v>74</v>
      </c>
      <c r="E982" s="5" t="s">
        <v>74</v>
      </c>
    </row>
    <row r="983" spans="1:5" x14ac:dyDescent="0.25">
      <c r="A983" s="5" t="s">
        <v>74</v>
      </c>
      <c r="B983" s="5" t="s">
        <v>2386</v>
      </c>
      <c r="C983" s="5" t="s">
        <v>2387</v>
      </c>
      <c r="D983" s="5" t="s">
        <v>74</v>
      </c>
      <c r="E983" s="5" t="s">
        <v>74</v>
      </c>
    </row>
    <row r="984" spans="1:5" x14ac:dyDescent="0.25">
      <c r="A984" s="5" t="s">
        <v>74</v>
      </c>
      <c r="B984" s="5" t="s">
        <v>2388</v>
      </c>
      <c r="C984" s="5" t="s">
        <v>2389</v>
      </c>
      <c r="D984" s="5" t="s">
        <v>74</v>
      </c>
      <c r="E984" s="5" t="s">
        <v>74</v>
      </c>
    </row>
    <row r="985" spans="1:5" x14ac:dyDescent="0.25">
      <c r="A985" s="5">
        <v>12060</v>
      </c>
      <c r="B985" s="5" t="s">
        <v>2390</v>
      </c>
      <c r="C985" s="5" t="s">
        <v>2391</v>
      </c>
      <c r="D985" s="5" t="s">
        <v>2392</v>
      </c>
      <c r="E985" s="5" t="s">
        <v>89</v>
      </c>
    </row>
    <row r="986" spans="1:5" x14ac:dyDescent="0.25">
      <c r="A986" s="5" t="s">
        <v>74</v>
      </c>
      <c r="B986" s="5" t="s">
        <v>2393</v>
      </c>
      <c r="C986" s="5" t="s">
        <v>2394</v>
      </c>
      <c r="D986" s="5" t="s">
        <v>74</v>
      </c>
      <c r="E986" s="5" t="s">
        <v>74</v>
      </c>
    </row>
    <row r="987" spans="1:5" x14ac:dyDescent="0.25">
      <c r="A987" s="5" t="s">
        <v>74</v>
      </c>
      <c r="B987" s="5" t="s">
        <v>2395</v>
      </c>
      <c r="C987" s="5" t="s">
        <v>2396</v>
      </c>
      <c r="D987" s="5" t="s">
        <v>74</v>
      </c>
      <c r="E987" s="5" t="s">
        <v>153</v>
      </c>
    </row>
    <row r="988" spans="1:5" x14ac:dyDescent="0.25">
      <c r="A988" s="5">
        <v>19026</v>
      </c>
      <c r="B988" s="5" t="s">
        <v>2397</v>
      </c>
      <c r="C988" s="5" t="s">
        <v>2398</v>
      </c>
      <c r="D988" s="5" t="s">
        <v>739</v>
      </c>
      <c r="E988" s="5" t="s">
        <v>348</v>
      </c>
    </row>
    <row r="989" spans="1:5" x14ac:dyDescent="0.25">
      <c r="A989" s="5">
        <v>10044</v>
      </c>
      <c r="B989" s="5" t="s">
        <v>2399</v>
      </c>
      <c r="C989" s="5" t="s">
        <v>2400</v>
      </c>
      <c r="D989" s="5" t="s">
        <v>2401</v>
      </c>
      <c r="E989" s="5" t="s">
        <v>51</v>
      </c>
    </row>
    <row r="990" spans="1:5" x14ac:dyDescent="0.25">
      <c r="A990" s="5">
        <v>18020</v>
      </c>
      <c r="B990" s="5" t="s">
        <v>2402</v>
      </c>
      <c r="C990" s="5" t="s">
        <v>2403</v>
      </c>
      <c r="D990" s="5" t="s">
        <v>2404</v>
      </c>
      <c r="E990" s="5" t="s">
        <v>117</v>
      </c>
    </row>
    <row r="991" spans="1:5" x14ac:dyDescent="0.25">
      <c r="A991" s="5" t="s">
        <v>74</v>
      </c>
      <c r="B991" s="5" t="s">
        <v>2405</v>
      </c>
      <c r="C991" s="5" t="s">
        <v>2406</v>
      </c>
      <c r="D991" s="5" t="s">
        <v>74</v>
      </c>
      <c r="E991" s="5" t="s">
        <v>74</v>
      </c>
    </row>
    <row r="992" spans="1:5" x14ac:dyDescent="0.25">
      <c r="A992" s="5" t="s">
        <v>74</v>
      </c>
      <c r="B992" s="5" t="s">
        <v>2407</v>
      </c>
      <c r="C992" s="5" t="s">
        <v>2408</v>
      </c>
      <c r="D992" s="5" t="s">
        <v>74</v>
      </c>
      <c r="E992" s="5" t="s">
        <v>74</v>
      </c>
    </row>
    <row r="993" spans="1:5" x14ac:dyDescent="0.25">
      <c r="A993" s="5" t="s">
        <v>74</v>
      </c>
      <c r="B993" s="5" t="s">
        <v>2409</v>
      </c>
      <c r="C993" s="5" t="s">
        <v>2410</v>
      </c>
      <c r="D993" s="5" t="s">
        <v>74</v>
      </c>
      <c r="E993" s="5" t="s">
        <v>74</v>
      </c>
    </row>
    <row r="994" spans="1:5" x14ac:dyDescent="0.25">
      <c r="A994" s="5" t="s">
        <v>74</v>
      </c>
      <c r="B994" s="5" t="s">
        <v>2411</v>
      </c>
      <c r="C994" s="5" t="s">
        <v>2412</v>
      </c>
      <c r="D994" s="5" t="s">
        <v>74</v>
      </c>
      <c r="E994" s="5" t="s">
        <v>74</v>
      </c>
    </row>
    <row r="995" spans="1:5" x14ac:dyDescent="0.25">
      <c r="A995" s="5" t="s">
        <v>74</v>
      </c>
      <c r="B995" s="5" t="s">
        <v>2413</v>
      </c>
      <c r="C995" s="5" t="s">
        <v>2414</v>
      </c>
      <c r="D995" s="5" t="s">
        <v>74</v>
      </c>
      <c r="E995" s="5" t="s">
        <v>74</v>
      </c>
    </row>
    <row r="996" spans="1:5" x14ac:dyDescent="0.25">
      <c r="A996" s="5">
        <v>13099</v>
      </c>
      <c r="B996" s="5" t="s">
        <v>2415</v>
      </c>
      <c r="C996" s="5" t="s">
        <v>2416</v>
      </c>
      <c r="D996" s="5" t="s">
        <v>227</v>
      </c>
      <c r="E996" s="5" t="s">
        <v>110</v>
      </c>
    </row>
    <row r="997" spans="1:5" x14ac:dyDescent="0.25">
      <c r="A997" s="5">
        <v>26128</v>
      </c>
      <c r="B997" s="5" t="s">
        <v>2417</v>
      </c>
      <c r="C997" s="5" t="s">
        <v>2418</v>
      </c>
      <c r="D997" s="5" t="s">
        <v>1238</v>
      </c>
      <c r="E997" s="5" t="s">
        <v>89</v>
      </c>
    </row>
    <row r="998" spans="1:5" x14ac:dyDescent="0.25">
      <c r="A998" s="5">
        <v>25106</v>
      </c>
      <c r="B998" s="5" t="s">
        <v>2419</v>
      </c>
      <c r="C998" s="5" t="s">
        <v>2420</v>
      </c>
      <c r="D998" s="5" t="s">
        <v>2421</v>
      </c>
      <c r="E998" s="5" t="s">
        <v>211</v>
      </c>
    </row>
    <row r="999" spans="1:5" x14ac:dyDescent="0.25">
      <c r="A999" s="5">
        <v>13168</v>
      </c>
      <c r="B999" s="5" t="s">
        <v>2422</v>
      </c>
      <c r="C999" s="5" t="s">
        <v>2423</v>
      </c>
      <c r="D999" s="5" t="s">
        <v>1831</v>
      </c>
      <c r="E999" s="5" t="s">
        <v>72</v>
      </c>
    </row>
    <row r="1000" spans="1:5" x14ac:dyDescent="0.25">
      <c r="A1000" s="5" t="s">
        <v>74</v>
      </c>
      <c r="B1000" s="5" t="s">
        <v>2424</v>
      </c>
      <c r="C1000" s="5" t="s">
        <v>2425</v>
      </c>
      <c r="D1000" s="5" t="s">
        <v>74</v>
      </c>
      <c r="E1000" s="5" t="s">
        <v>74</v>
      </c>
    </row>
    <row r="1001" spans="1:5" x14ac:dyDescent="0.25">
      <c r="A1001" s="5">
        <v>15160</v>
      </c>
      <c r="B1001" s="5" t="s">
        <v>2426</v>
      </c>
      <c r="C1001" s="5" t="s">
        <v>2427</v>
      </c>
      <c r="D1001" s="5" t="s">
        <v>252</v>
      </c>
      <c r="E1001" s="5" t="s">
        <v>479</v>
      </c>
    </row>
    <row r="1002" spans="1:5" x14ac:dyDescent="0.25">
      <c r="A1002" s="5">
        <v>17061</v>
      </c>
      <c r="B1002" s="5" t="s">
        <v>2428</v>
      </c>
      <c r="C1002" s="5" t="s">
        <v>2429</v>
      </c>
      <c r="D1002" s="5" t="s">
        <v>259</v>
      </c>
      <c r="E1002" s="5" t="s">
        <v>72</v>
      </c>
    </row>
    <row r="1003" spans="1:5" x14ac:dyDescent="0.25">
      <c r="A1003" s="5">
        <v>18203</v>
      </c>
      <c r="B1003" s="5" t="s">
        <v>2430</v>
      </c>
      <c r="C1003" s="5" t="s">
        <v>2431</v>
      </c>
      <c r="D1003" s="5" t="s">
        <v>1778</v>
      </c>
      <c r="E1003" s="5" t="s">
        <v>1668</v>
      </c>
    </row>
    <row r="1004" spans="1:5" x14ac:dyDescent="0.25">
      <c r="A1004" s="5">
        <v>19013</v>
      </c>
      <c r="B1004" s="5" t="s">
        <v>2432</v>
      </c>
      <c r="C1004" s="5" t="s">
        <v>2433</v>
      </c>
      <c r="D1004" s="5" t="s">
        <v>475</v>
      </c>
      <c r="E1004" s="5" t="s">
        <v>117</v>
      </c>
    </row>
    <row r="1005" spans="1:5" x14ac:dyDescent="0.25">
      <c r="A1005" s="5" t="s">
        <v>74</v>
      </c>
      <c r="B1005" s="5" t="s">
        <v>2434</v>
      </c>
      <c r="C1005" s="5" t="s">
        <v>2435</v>
      </c>
      <c r="D1005" s="5" t="s">
        <v>74</v>
      </c>
      <c r="E1005" s="5" t="s">
        <v>74</v>
      </c>
    </row>
    <row r="1006" spans="1:5" x14ac:dyDescent="0.25">
      <c r="A1006" s="5" t="s">
        <v>74</v>
      </c>
      <c r="B1006" s="5" t="s">
        <v>2436</v>
      </c>
      <c r="C1006" s="5" t="s">
        <v>2437</v>
      </c>
      <c r="D1006" s="5" t="s">
        <v>74</v>
      </c>
      <c r="E1006" s="5" t="s">
        <v>74</v>
      </c>
    </row>
    <row r="1007" spans="1:5" x14ac:dyDescent="0.25">
      <c r="A1007" s="5" t="s">
        <v>74</v>
      </c>
      <c r="B1007" s="5" t="s">
        <v>2438</v>
      </c>
      <c r="C1007" s="5" t="s">
        <v>2439</v>
      </c>
      <c r="D1007" s="5" t="s">
        <v>74</v>
      </c>
      <c r="E1007" s="5" t="s">
        <v>74</v>
      </c>
    </row>
    <row r="1008" spans="1:5" x14ac:dyDescent="0.25">
      <c r="A1008" s="5" t="s">
        <v>74</v>
      </c>
      <c r="B1008" s="5" t="s">
        <v>2440</v>
      </c>
      <c r="C1008" s="5" t="s">
        <v>2441</v>
      </c>
      <c r="D1008" s="5" t="s">
        <v>74</v>
      </c>
      <c r="E1008" s="5" t="s">
        <v>74</v>
      </c>
    </row>
    <row r="1009" spans="1:5" x14ac:dyDescent="0.25">
      <c r="A1009" s="5" t="s">
        <v>74</v>
      </c>
      <c r="B1009" s="5" t="s">
        <v>2442</v>
      </c>
      <c r="C1009" s="5" t="s">
        <v>2443</v>
      </c>
      <c r="D1009" s="5" t="s">
        <v>74</v>
      </c>
      <c r="E1009" s="5" t="s">
        <v>74</v>
      </c>
    </row>
    <row r="1010" spans="1:5" x14ac:dyDescent="0.25">
      <c r="A1010" s="5" t="s">
        <v>74</v>
      </c>
      <c r="B1010" s="5" t="s">
        <v>2444</v>
      </c>
      <c r="C1010" s="5" t="s">
        <v>2445</v>
      </c>
      <c r="D1010" s="5" t="s">
        <v>74</v>
      </c>
      <c r="E1010" s="5" t="s">
        <v>74</v>
      </c>
    </row>
    <row r="1011" spans="1:5" x14ac:dyDescent="0.25">
      <c r="A1011" s="5">
        <v>83005</v>
      </c>
      <c r="B1011" s="5" t="s">
        <v>2446</v>
      </c>
      <c r="C1011" s="5" t="s">
        <v>2447</v>
      </c>
      <c r="D1011" s="5" t="s">
        <v>2448</v>
      </c>
      <c r="E1011" s="5" t="s">
        <v>153</v>
      </c>
    </row>
    <row r="1012" spans="1:5" x14ac:dyDescent="0.25">
      <c r="A1012" s="5">
        <v>24006</v>
      </c>
      <c r="B1012" s="5" t="s">
        <v>2449</v>
      </c>
      <c r="C1012" s="5" t="s">
        <v>2450</v>
      </c>
      <c r="D1012" s="5" t="s">
        <v>2451</v>
      </c>
      <c r="E1012" s="5" t="s">
        <v>97</v>
      </c>
    </row>
    <row r="1013" spans="1:5" x14ac:dyDescent="0.25">
      <c r="A1013" s="5">
        <v>10010</v>
      </c>
      <c r="B1013" s="5" t="s">
        <v>2452</v>
      </c>
      <c r="C1013" s="5" t="s">
        <v>2453</v>
      </c>
      <c r="D1013" s="5" t="s">
        <v>739</v>
      </c>
      <c r="E1013" s="5" t="s">
        <v>89</v>
      </c>
    </row>
    <row r="1014" spans="1:5" x14ac:dyDescent="0.25">
      <c r="A1014" s="5">
        <v>17137</v>
      </c>
      <c r="B1014" s="5" t="s">
        <v>2454</v>
      </c>
      <c r="C1014" s="5" t="s">
        <v>2455</v>
      </c>
      <c r="D1014" s="5" t="s">
        <v>2456</v>
      </c>
      <c r="E1014" s="5" t="s">
        <v>89</v>
      </c>
    </row>
    <row r="1015" spans="1:5" x14ac:dyDescent="0.25">
      <c r="A1015" s="5">
        <v>29041</v>
      </c>
      <c r="B1015" s="5" t="s">
        <v>2457</v>
      </c>
      <c r="C1015" s="5" t="s">
        <v>2458</v>
      </c>
      <c r="D1015" s="5" t="s">
        <v>435</v>
      </c>
      <c r="E1015" s="5" t="s">
        <v>97</v>
      </c>
    </row>
    <row r="1016" spans="1:5" x14ac:dyDescent="0.25">
      <c r="A1016" s="5" t="s">
        <v>74</v>
      </c>
      <c r="B1016" s="5" t="s">
        <v>2459</v>
      </c>
      <c r="C1016" s="5" t="s">
        <v>2460</v>
      </c>
      <c r="D1016" s="5" t="s">
        <v>74</v>
      </c>
      <c r="E1016" s="5" t="s">
        <v>74</v>
      </c>
    </row>
    <row r="1017" spans="1:5" x14ac:dyDescent="0.25">
      <c r="A1017" s="5">
        <v>99113</v>
      </c>
      <c r="B1017" s="5" t="s">
        <v>2461</v>
      </c>
      <c r="C1017" s="5" t="s">
        <v>2462</v>
      </c>
      <c r="D1017" s="5" t="s">
        <v>2463</v>
      </c>
      <c r="E1017" s="5" t="s">
        <v>188</v>
      </c>
    </row>
    <row r="1018" spans="1:5" x14ac:dyDescent="0.25">
      <c r="A1018" s="5">
        <v>98032</v>
      </c>
      <c r="B1018" s="5" t="s">
        <v>2464</v>
      </c>
      <c r="C1018" s="5" t="s">
        <v>2465</v>
      </c>
      <c r="D1018" s="5" t="s">
        <v>552</v>
      </c>
      <c r="E1018" s="5" t="s">
        <v>110</v>
      </c>
    </row>
    <row r="1019" spans="1:5" x14ac:dyDescent="0.25">
      <c r="A1019" s="5">
        <v>13032</v>
      </c>
      <c r="B1019" s="5" t="s">
        <v>2466</v>
      </c>
      <c r="C1019" s="5" t="s">
        <v>2467</v>
      </c>
      <c r="D1019" s="5" t="s">
        <v>435</v>
      </c>
      <c r="E1019" s="5" t="s">
        <v>85</v>
      </c>
    </row>
    <row r="1020" spans="1:5" x14ac:dyDescent="0.25">
      <c r="A1020" s="5">
        <v>13095</v>
      </c>
      <c r="B1020" s="5" t="s">
        <v>2468</v>
      </c>
      <c r="C1020" s="5" t="s">
        <v>2469</v>
      </c>
      <c r="D1020" s="5" t="s">
        <v>452</v>
      </c>
      <c r="E1020" s="5" t="s">
        <v>72</v>
      </c>
    </row>
    <row r="1021" spans="1:5" x14ac:dyDescent="0.25">
      <c r="A1021" s="5" t="s">
        <v>74</v>
      </c>
      <c r="B1021" s="5" t="s">
        <v>2470</v>
      </c>
      <c r="C1021" s="5" t="s">
        <v>2471</v>
      </c>
      <c r="D1021" s="5" t="s">
        <v>74</v>
      </c>
      <c r="E1021" s="5" t="s">
        <v>74</v>
      </c>
    </row>
    <row r="1022" spans="1:5" x14ac:dyDescent="0.25">
      <c r="A1022" s="5" t="s">
        <v>74</v>
      </c>
      <c r="B1022" s="5" t="s">
        <v>2472</v>
      </c>
      <c r="C1022" s="5" t="s">
        <v>2441</v>
      </c>
      <c r="D1022" s="5" t="s">
        <v>74</v>
      </c>
      <c r="E1022" s="5" t="s">
        <v>74</v>
      </c>
    </row>
    <row r="1023" spans="1:5" x14ac:dyDescent="0.25">
      <c r="A1023" s="5">
        <v>18278</v>
      </c>
      <c r="B1023" s="5" t="s">
        <v>2473</v>
      </c>
      <c r="C1023" s="5" t="s">
        <v>2474</v>
      </c>
      <c r="D1023" s="5" t="s">
        <v>2475</v>
      </c>
      <c r="E1023" s="5" t="s">
        <v>181</v>
      </c>
    </row>
    <row r="1024" spans="1:5" x14ac:dyDescent="0.25">
      <c r="A1024" s="5">
        <v>16160</v>
      </c>
      <c r="B1024" s="5" t="s">
        <v>2476</v>
      </c>
      <c r="C1024" s="5" t="s">
        <v>2477</v>
      </c>
      <c r="D1024" s="5" t="s">
        <v>1136</v>
      </c>
      <c r="E1024" s="5" t="s">
        <v>632</v>
      </c>
    </row>
    <row r="1025" spans="1:5" x14ac:dyDescent="0.25">
      <c r="A1025" s="5">
        <v>15017</v>
      </c>
      <c r="B1025" s="5" t="s">
        <v>2478</v>
      </c>
      <c r="C1025" s="5" t="s">
        <v>2479</v>
      </c>
      <c r="D1025" s="5" t="s">
        <v>708</v>
      </c>
      <c r="E1025" s="5" t="s">
        <v>72</v>
      </c>
    </row>
    <row r="1026" spans="1:5" x14ac:dyDescent="0.25">
      <c r="A1026" s="5" t="s">
        <v>74</v>
      </c>
      <c r="B1026" s="5" t="s">
        <v>2480</v>
      </c>
      <c r="C1026" s="5" t="s">
        <v>2481</v>
      </c>
      <c r="D1026" s="5" t="s">
        <v>74</v>
      </c>
      <c r="E1026" s="5" t="s">
        <v>74</v>
      </c>
    </row>
    <row r="1027" spans="1:5" x14ac:dyDescent="0.25">
      <c r="A1027" s="5">
        <v>15076</v>
      </c>
      <c r="B1027" s="5" t="s">
        <v>2482</v>
      </c>
      <c r="C1027" s="5" t="s">
        <v>2483</v>
      </c>
      <c r="D1027" s="5" t="s">
        <v>2484</v>
      </c>
      <c r="E1027" s="5" t="s">
        <v>97</v>
      </c>
    </row>
    <row r="1028" spans="1:5" x14ac:dyDescent="0.25">
      <c r="A1028" s="5">
        <v>19291</v>
      </c>
      <c r="B1028" s="5" t="s">
        <v>2485</v>
      </c>
      <c r="C1028" s="5" t="s">
        <v>2486</v>
      </c>
      <c r="D1028" s="5" t="s">
        <v>2300</v>
      </c>
      <c r="E1028" s="5" t="s">
        <v>97</v>
      </c>
    </row>
    <row r="1029" spans="1:5" x14ac:dyDescent="0.25">
      <c r="A1029" s="5" t="s">
        <v>74</v>
      </c>
      <c r="B1029" s="5" t="s">
        <v>2487</v>
      </c>
      <c r="C1029" s="5" t="s">
        <v>2488</v>
      </c>
      <c r="D1029" s="5" t="s">
        <v>74</v>
      </c>
      <c r="E1029" s="5" t="s">
        <v>74</v>
      </c>
    </row>
    <row r="1030" spans="1:5" x14ac:dyDescent="0.25">
      <c r="A1030" s="5">
        <v>18279</v>
      </c>
      <c r="B1030" s="5" t="s">
        <v>2489</v>
      </c>
      <c r="C1030" s="5" t="s">
        <v>2490</v>
      </c>
      <c r="D1030" s="5" t="s">
        <v>1450</v>
      </c>
      <c r="E1030" s="5" t="s">
        <v>89</v>
      </c>
    </row>
    <row r="1031" spans="1:5" x14ac:dyDescent="0.25">
      <c r="A1031" s="5">
        <v>19092</v>
      </c>
      <c r="B1031" s="5" t="s">
        <v>2491</v>
      </c>
      <c r="C1031" s="5" t="s">
        <v>2492</v>
      </c>
      <c r="D1031" s="5" t="s">
        <v>2010</v>
      </c>
      <c r="E1031" s="5" t="s">
        <v>110</v>
      </c>
    </row>
    <row r="1032" spans="1:5" x14ac:dyDescent="0.25">
      <c r="A1032" s="5">
        <v>25075</v>
      </c>
      <c r="B1032" s="5" t="s">
        <v>2493</v>
      </c>
      <c r="C1032" s="5" t="s">
        <v>2494</v>
      </c>
      <c r="D1032" s="5" t="s">
        <v>2495</v>
      </c>
      <c r="E1032" s="5" t="s">
        <v>479</v>
      </c>
    </row>
    <row r="1033" spans="1:5" x14ac:dyDescent="0.25">
      <c r="A1033" s="5">
        <v>17004</v>
      </c>
      <c r="B1033" s="5" t="s">
        <v>2496</v>
      </c>
      <c r="C1033" s="5" t="s">
        <v>2497</v>
      </c>
      <c r="D1033" s="5" t="s">
        <v>220</v>
      </c>
      <c r="E1033" s="5" t="s">
        <v>117</v>
      </c>
    </row>
    <row r="1034" spans="1:5" x14ac:dyDescent="0.25">
      <c r="A1034" s="5">
        <v>12048</v>
      </c>
      <c r="B1034" s="5" t="s">
        <v>2498</v>
      </c>
      <c r="C1034" s="5" t="s">
        <v>2499</v>
      </c>
      <c r="D1034" s="5" t="s">
        <v>435</v>
      </c>
      <c r="E1034" s="5" t="s">
        <v>97</v>
      </c>
    </row>
    <row r="1035" spans="1:5" x14ac:dyDescent="0.25">
      <c r="A1035" s="5">
        <v>28009</v>
      </c>
      <c r="B1035" s="5" t="s">
        <v>2500</v>
      </c>
      <c r="C1035" s="5" t="s">
        <v>2501</v>
      </c>
      <c r="D1035" s="5" t="s">
        <v>435</v>
      </c>
      <c r="E1035" s="5" t="s">
        <v>97</v>
      </c>
    </row>
    <row r="1036" spans="1:5" x14ac:dyDescent="0.25">
      <c r="A1036" s="5">
        <v>19115</v>
      </c>
      <c r="B1036" s="5" t="s">
        <v>2502</v>
      </c>
      <c r="C1036" s="5" t="s">
        <v>2503</v>
      </c>
      <c r="D1036" s="5" t="s">
        <v>74</v>
      </c>
      <c r="E1036" s="5" t="s">
        <v>97</v>
      </c>
    </row>
    <row r="1037" spans="1:5" x14ac:dyDescent="0.25">
      <c r="A1037" s="5">
        <v>14013</v>
      </c>
      <c r="B1037" s="5" t="s">
        <v>2504</v>
      </c>
      <c r="C1037" s="5" t="s">
        <v>2505</v>
      </c>
      <c r="D1037" s="5" t="s">
        <v>764</v>
      </c>
      <c r="E1037" s="5" t="s">
        <v>97</v>
      </c>
    </row>
    <row r="1038" spans="1:5" x14ac:dyDescent="0.25">
      <c r="A1038" s="5">
        <v>26026</v>
      </c>
      <c r="B1038" s="5" t="s">
        <v>2506</v>
      </c>
      <c r="C1038" s="5" t="s">
        <v>2507</v>
      </c>
      <c r="D1038" s="5" t="s">
        <v>590</v>
      </c>
      <c r="E1038" s="5" t="s">
        <v>89</v>
      </c>
    </row>
    <row r="1039" spans="1:5" x14ac:dyDescent="0.25">
      <c r="A1039" s="5">
        <v>26144</v>
      </c>
      <c r="B1039" s="5" t="s">
        <v>2508</v>
      </c>
      <c r="C1039" s="5" t="s">
        <v>2509</v>
      </c>
      <c r="D1039" s="5" t="s">
        <v>739</v>
      </c>
      <c r="E1039" s="5" t="s">
        <v>85</v>
      </c>
    </row>
    <row r="1040" spans="1:5" x14ac:dyDescent="0.25">
      <c r="A1040" s="5">
        <v>16065</v>
      </c>
      <c r="B1040" s="5" t="s">
        <v>2510</v>
      </c>
      <c r="C1040" s="5" t="s">
        <v>2511</v>
      </c>
      <c r="D1040" s="5" t="s">
        <v>2512</v>
      </c>
      <c r="E1040" s="5" t="s">
        <v>72</v>
      </c>
    </row>
    <row r="1041" spans="1:5" x14ac:dyDescent="0.25">
      <c r="A1041" s="5">
        <v>24070</v>
      </c>
      <c r="B1041" s="5" t="s">
        <v>2513</v>
      </c>
      <c r="C1041" s="5" t="s">
        <v>2514</v>
      </c>
      <c r="D1041" s="5" t="s">
        <v>929</v>
      </c>
      <c r="E1041" s="5" t="s">
        <v>97</v>
      </c>
    </row>
    <row r="1042" spans="1:5" x14ac:dyDescent="0.25">
      <c r="A1042" s="5">
        <v>18137</v>
      </c>
      <c r="B1042" s="5" t="s">
        <v>2515</v>
      </c>
      <c r="C1042" s="5" t="s">
        <v>2516</v>
      </c>
      <c r="D1042" s="5" t="s">
        <v>2517</v>
      </c>
      <c r="E1042" s="5" t="s">
        <v>89</v>
      </c>
    </row>
    <row r="1043" spans="1:5" x14ac:dyDescent="0.25">
      <c r="A1043" s="5">
        <v>17049</v>
      </c>
      <c r="B1043" s="5" t="s">
        <v>2518</v>
      </c>
      <c r="C1043" s="5" t="s">
        <v>2519</v>
      </c>
      <c r="D1043" s="5" t="s">
        <v>113</v>
      </c>
      <c r="E1043" s="5" t="s">
        <v>110</v>
      </c>
    </row>
    <row r="1044" spans="1:5" x14ac:dyDescent="0.25">
      <c r="A1044" s="5">
        <v>17001</v>
      </c>
      <c r="B1044" s="5" t="s">
        <v>2520</v>
      </c>
      <c r="C1044" s="5" t="s">
        <v>2521</v>
      </c>
      <c r="D1044" s="5" t="s">
        <v>2522</v>
      </c>
      <c r="E1044" s="5" t="s">
        <v>117</v>
      </c>
    </row>
    <row r="1045" spans="1:5" x14ac:dyDescent="0.25">
      <c r="A1045" s="5">
        <v>19264</v>
      </c>
      <c r="B1045" s="5" t="s">
        <v>2523</v>
      </c>
      <c r="C1045" s="5" t="s">
        <v>2524</v>
      </c>
      <c r="D1045" s="5" t="s">
        <v>2525</v>
      </c>
      <c r="E1045" s="5" t="s">
        <v>117</v>
      </c>
    </row>
    <row r="1046" spans="1:5" x14ac:dyDescent="0.25">
      <c r="A1046" s="5" t="s">
        <v>74</v>
      </c>
      <c r="B1046" s="5" t="s">
        <v>2526</v>
      </c>
      <c r="C1046" s="5" t="s">
        <v>2527</v>
      </c>
      <c r="D1046" s="5" t="s">
        <v>74</v>
      </c>
      <c r="E1046" s="5" t="s">
        <v>74</v>
      </c>
    </row>
    <row r="1047" spans="1:5" x14ac:dyDescent="0.25">
      <c r="A1047" s="5">
        <v>19057</v>
      </c>
      <c r="B1047" s="5" t="s">
        <v>2528</v>
      </c>
      <c r="C1047" s="5" t="s">
        <v>2529</v>
      </c>
      <c r="D1047" s="5" t="s">
        <v>116</v>
      </c>
      <c r="E1047" s="5" t="s">
        <v>117</v>
      </c>
    </row>
    <row r="1048" spans="1:5" x14ac:dyDescent="0.25">
      <c r="A1048" s="5">
        <v>17053</v>
      </c>
      <c r="B1048" s="5" t="s">
        <v>2530</v>
      </c>
      <c r="C1048" s="5" t="s">
        <v>2531</v>
      </c>
      <c r="D1048" s="5" t="s">
        <v>294</v>
      </c>
      <c r="E1048" s="5" t="s">
        <v>85</v>
      </c>
    </row>
    <row r="1049" spans="1:5" x14ac:dyDescent="0.25">
      <c r="A1049" s="5">
        <v>28026</v>
      </c>
      <c r="B1049" s="5" t="s">
        <v>2532</v>
      </c>
      <c r="C1049" s="5" t="s">
        <v>2533</v>
      </c>
      <c r="D1049" s="5" t="s">
        <v>435</v>
      </c>
      <c r="E1049" s="5" t="s">
        <v>85</v>
      </c>
    </row>
    <row r="1050" spans="1:5" x14ac:dyDescent="0.25">
      <c r="A1050" s="5">
        <v>11070</v>
      </c>
      <c r="B1050" s="5" t="s">
        <v>2534</v>
      </c>
      <c r="C1050" s="5" t="s">
        <v>2535</v>
      </c>
      <c r="D1050" s="5" t="s">
        <v>722</v>
      </c>
      <c r="E1050" s="5" t="s">
        <v>140</v>
      </c>
    </row>
    <row r="1051" spans="1:5" x14ac:dyDescent="0.25">
      <c r="A1051" s="5">
        <v>28043</v>
      </c>
      <c r="B1051" s="5" t="s">
        <v>2536</v>
      </c>
      <c r="C1051" s="5" t="s">
        <v>2537</v>
      </c>
      <c r="D1051" s="5" t="s">
        <v>2538</v>
      </c>
      <c r="E1051" s="5" t="s">
        <v>51</v>
      </c>
    </row>
    <row r="1052" spans="1:5" x14ac:dyDescent="0.25">
      <c r="A1052" s="5">
        <v>18289</v>
      </c>
      <c r="B1052" s="5" t="s">
        <v>2539</v>
      </c>
      <c r="C1052" s="5" t="s">
        <v>2540</v>
      </c>
      <c r="D1052" s="5" t="s">
        <v>2541</v>
      </c>
      <c r="E1052" s="5" t="s">
        <v>363</v>
      </c>
    </row>
    <row r="1053" spans="1:5" x14ac:dyDescent="0.25">
      <c r="A1053" s="5">
        <v>13109</v>
      </c>
      <c r="B1053" s="5" t="s">
        <v>2542</v>
      </c>
      <c r="C1053" s="5" t="s">
        <v>2543</v>
      </c>
      <c r="D1053" s="5" t="s">
        <v>252</v>
      </c>
      <c r="E1053" s="5" t="s">
        <v>85</v>
      </c>
    </row>
    <row r="1054" spans="1:5" x14ac:dyDescent="0.25">
      <c r="A1054" s="5">
        <v>19244</v>
      </c>
      <c r="B1054" s="5" t="s">
        <v>2544</v>
      </c>
      <c r="C1054" s="5" t="s">
        <v>2545</v>
      </c>
      <c r="D1054" s="5" t="s">
        <v>376</v>
      </c>
      <c r="E1054" s="5" t="s">
        <v>89</v>
      </c>
    </row>
    <row r="1055" spans="1:5" x14ac:dyDescent="0.25">
      <c r="A1055" s="5" t="s">
        <v>74</v>
      </c>
      <c r="B1055" s="5" t="s">
        <v>2546</v>
      </c>
      <c r="C1055" s="5" t="s">
        <v>2547</v>
      </c>
      <c r="D1055" s="5" t="s">
        <v>74</v>
      </c>
      <c r="E1055" s="5" t="s">
        <v>74</v>
      </c>
    </row>
    <row r="1056" spans="1:5" x14ac:dyDescent="0.25">
      <c r="A1056" s="5">
        <v>28051</v>
      </c>
      <c r="B1056" s="5" t="s">
        <v>2548</v>
      </c>
      <c r="C1056" s="5" t="s">
        <v>2549</v>
      </c>
      <c r="D1056" s="5" t="s">
        <v>1599</v>
      </c>
      <c r="E1056" s="5" t="s">
        <v>89</v>
      </c>
    </row>
    <row r="1057" spans="1:5" x14ac:dyDescent="0.25">
      <c r="A1057" s="5" t="s">
        <v>74</v>
      </c>
      <c r="B1057" s="5" t="s">
        <v>2550</v>
      </c>
      <c r="C1057" s="5" t="s">
        <v>2551</v>
      </c>
      <c r="D1057" s="5" t="s">
        <v>2552</v>
      </c>
      <c r="E1057" s="5" t="s">
        <v>181</v>
      </c>
    </row>
    <row r="1058" spans="1:5" x14ac:dyDescent="0.25">
      <c r="A1058" s="5">
        <v>11010</v>
      </c>
      <c r="B1058" s="5" t="s">
        <v>2553</v>
      </c>
      <c r="C1058" s="5" t="s">
        <v>2554</v>
      </c>
      <c r="D1058" s="5" t="s">
        <v>809</v>
      </c>
      <c r="E1058" s="5" t="s">
        <v>117</v>
      </c>
    </row>
    <row r="1059" spans="1:5" x14ac:dyDescent="0.25">
      <c r="A1059" s="5">
        <v>19037</v>
      </c>
      <c r="B1059" s="5" t="s">
        <v>2555</v>
      </c>
      <c r="C1059" s="5" t="s">
        <v>2556</v>
      </c>
      <c r="D1059" s="5" t="s">
        <v>304</v>
      </c>
      <c r="E1059" s="5" t="s">
        <v>51</v>
      </c>
    </row>
    <row r="1060" spans="1:5" x14ac:dyDescent="0.25">
      <c r="A1060" s="5">
        <v>26046</v>
      </c>
      <c r="B1060" s="5" t="s">
        <v>2557</v>
      </c>
      <c r="C1060" s="5" t="s">
        <v>2558</v>
      </c>
      <c r="D1060" s="5" t="s">
        <v>2559</v>
      </c>
      <c r="E1060" s="5" t="s">
        <v>89</v>
      </c>
    </row>
    <row r="1061" spans="1:5" x14ac:dyDescent="0.25">
      <c r="A1061" s="5">
        <v>10059</v>
      </c>
      <c r="B1061" s="5" t="s">
        <v>2560</v>
      </c>
      <c r="C1061" s="5" t="s">
        <v>2561</v>
      </c>
      <c r="D1061" s="5" t="s">
        <v>2562</v>
      </c>
      <c r="E1061" s="5" t="s">
        <v>74</v>
      </c>
    </row>
    <row r="1062" spans="1:5" x14ac:dyDescent="0.25">
      <c r="A1062" s="5">
        <v>19233</v>
      </c>
      <c r="B1062" s="5" t="s">
        <v>2563</v>
      </c>
      <c r="C1062" s="5" t="s">
        <v>2564</v>
      </c>
      <c r="D1062" s="5" t="s">
        <v>2565</v>
      </c>
      <c r="E1062" s="5" t="s">
        <v>89</v>
      </c>
    </row>
    <row r="1063" spans="1:5" x14ac:dyDescent="0.25">
      <c r="A1063" s="5">
        <v>13090</v>
      </c>
      <c r="B1063" s="5" t="s">
        <v>2566</v>
      </c>
      <c r="C1063" s="5" t="s">
        <v>2567</v>
      </c>
      <c r="D1063" s="5" t="s">
        <v>96</v>
      </c>
      <c r="E1063" s="5" t="s">
        <v>117</v>
      </c>
    </row>
    <row r="1064" spans="1:5" x14ac:dyDescent="0.25">
      <c r="A1064" s="5">
        <v>25052</v>
      </c>
      <c r="B1064" s="5" t="s">
        <v>2568</v>
      </c>
      <c r="C1064" s="5" t="s">
        <v>2569</v>
      </c>
      <c r="D1064" s="5" t="s">
        <v>2265</v>
      </c>
      <c r="E1064" s="5" t="s">
        <v>89</v>
      </c>
    </row>
    <row r="1065" spans="1:5" x14ac:dyDescent="0.25">
      <c r="A1065" s="5">
        <v>92006</v>
      </c>
      <c r="B1065" s="5" t="s">
        <v>2570</v>
      </c>
      <c r="C1065" s="5" t="s">
        <v>2571</v>
      </c>
      <c r="D1065" s="5" t="s">
        <v>2572</v>
      </c>
      <c r="E1065" s="5" t="s">
        <v>628</v>
      </c>
    </row>
    <row r="1066" spans="1:5" x14ac:dyDescent="0.25">
      <c r="A1066" s="5">
        <v>94029</v>
      </c>
      <c r="B1066" s="5" t="s">
        <v>2573</v>
      </c>
      <c r="C1066" s="5" t="s">
        <v>2574</v>
      </c>
      <c r="D1066" s="5" t="s">
        <v>2575</v>
      </c>
      <c r="E1066" s="5" t="s">
        <v>110</v>
      </c>
    </row>
    <row r="1067" spans="1:5" x14ac:dyDescent="0.25">
      <c r="A1067" s="5">
        <v>17149</v>
      </c>
      <c r="B1067" s="5" t="s">
        <v>2576</v>
      </c>
      <c r="C1067" s="5" t="s">
        <v>2577</v>
      </c>
      <c r="D1067" s="5" t="s">
        <v>84</v>
      </c>
      <c r="E1067" s="5" t="s">
        <v>181</v>
      </c>
    </row>
    <row r="1068" spans="1:5" x14ac:dyDescent="0.25">
      <c r="A1068" s="5">
        <v>27022</v>
      </c>
      <c r="B1068" s="5" t="s">
        <v>2578</v>
      </c>
      <c r="C1068" s="5" t="s">
        <v>2579</v>
      </c>
      <c r="D1068" s="5" t="s">
        <v>593</v>
      </c>
      <c r="E1068" s="5" t="s">
        <v>89</v>
      </c>
    </row>
    <row r="1069" spans="1:5" x14ac:dyDescent="0.25">
      <c r="A1069" s="5">
        <v>19142</v>
      </c>
      <c r="B1069" s="5" t="s">
        <v>2580</v>
      </c>
      <c r="C1069" s="5" t="s">
        <v>2581</v>
      </c>
      <c r="D1069" s="5" t="s">
        <v>2582</v>
      </c>
      <c r="E1069" s="5" t="s">
        <v>117</v>
      </c>
    </row>
    <row r="1070" spans="1:5" x14ac:dyDescent="0.25">
      <c r="A1070" s="5">
        <v>14004</v>
      </c>
      <c r="B1070" s="5" t="s">
        <v>2583</v>
      </c>
      <c r="C1070" s="5" t="s">
        <v>2584</v>
      </c>
      <c r="D1070" s="5" t="s">
        <v>2585</v>
      </c>
      <c r="E1070" s="5" t="s">
        <v>89</v>
      </c>
    </row>
    <row r="1071" spans="1:5" x14ac:dyDescent="0.25">
      <c r="A1071" s="5">
        <v>15006</v>
      </c>
      <c r="B1071" s="5" t="s">
        <v>2586</v>
      </c>
      <c r="C1071" s="5" t="s">
        <v>2587</v>
      </c>
      <c r="D1071" s="5" t="s">
        <v>2588</v>
      </c>
      <c r="E1071" s="5" t="s">
        <v>81</v>
      </c>
    </row>
    <row r="1072" spans="1:5" x14ac:dyDescent="0.25">
      <c r="A1072" s="5">
        <v>18178</v>
      </c>
      <c r="B1072" s="5" t="s">
        <v>2589</v>
      </c>
      <c r="C1072" s="5" t="s">
        <v>2590</v>
      </c>
      <c r="D1072" s="5" t="s">
        <v>191</v>
      </c>
      <c r="E1072" s="5" t="s">
        <v>97</v>
      </c>
    </row>
    <row r="1073" spans="1:5" x14ac:dyDescent="0.25">
      <c r="A1073" s="5">
        <v>11033</v>
      </c>
      <c r="B1073" s="5" t="s">
        <v>2591</v>
      </c>
      <c r="C1073" s="5" t="s">
        <v>2592</v>
      </c>
      <c r="D1073" s="5" t="s">
        <v>2593</v>
      </c>
      <c r="E1073" s="5" t="s">
        <v>648</v>
      </c>
    </row>
    <row r="1074" spans="1:5" x14ac:dyDescent="0.25">
      <c r="A1074" s="5">
        <v>18105</v>
      </c>
      <c r="B1074" s="5" t="s">
        <v>2594</v>
      </c>
      <c r="C1074" s="5" t="s">
        <v>2595</v>
      </c>
      <c r="D1074" s="5" t="s">
        <v>191</v>
      </c>
      <c r="E1074" s="5" t="s">
        <v>72</v>
      </c>
    </row>
    <row r="1075" spans="1:5" x14ac:dyDescent="0.25">
      <c r="A1075" s="5">
        <v>13091</v>
      </c>
      <c r="B1075" s="5" t="s">
        <v>2596</v>
      </c>
      <c r="C1075" s="5" t="s">
        <v>2597</v>
      </c>
      <c r="D1075" s="5" t="s">
        <v>2598</v>
      </c>
      <c r="E1075" s="5" t="s">
        <v>72</v>
      </c>
    </row>
    <row r="1076" spans="1:5" x14ac:dyDescent="0.25">
      <c r="A1076" s="5">
        <v>18090</v>
      </c>
      <c r="B1076" s="5" t="s">
        <v>2599</v>
      </c>
      <c r="C1076" s="5" t="s">
        <v>2600</v>
      </c>
      <c r="D1076" s="5" t="s">
        <v>220</v>
      </c>
      <c r="E1076" s="5" t="s">
        <v>117</v>
      </c>
    </row>
    <row r="1077" spans="1:5" x14ac:dyDescent="0.25">
      <c r="A1077" s="5">
        <v>18218</v>
      </c>
      <c r="B1077" s="5" t="s">
        <v>2601</v>
      </c>
      <c r="C1077" s="5" t="s">
        <v>2602</v>
      </c>
      <c r="D1077" s="5" t="s">
        <v>191</v>
      </c>
      <c r="E1077" s="5" t="s">
        <v>2603</v>
      </c>
    </row>
    <row r="1078" spans="1:5" x14ac:dyDescent="0.25">
      <c r="A1078" s="5">
        <v>28097</v>
      </c>
      <c r="B1078" s="5" t="s">
        <v>2604</v>
      </c>
      <c r="C1078" s="5" t="s">
        <v>2605</v>
      </c>
      <c r="D1078" s="5" t="s">
        <v>2606</v>
      </c>
      <c r="E1078" s="5" t="s">
        <v>81</v>
      </c>
    </row>
    <row r="1079" spans="1:5" x14ac:dyDescent="0.25">
      <c r="A1079" s="5">
        <v>17092</v>
      </c>
      <c r="B1079" s="5" t="s">
        <v>2607</v>
      </c>
      <c r="C1079" s="5" t="s">
        <v>2608</v>
      </c>
      <c r="D1079" s="5" t="s">
        <v>143</v>
      </c>
      <c r="E1079" s="5" t="s">
        <v>188</v>
      </c>
    </row>
    <row r="1080" spans="1:5" x14ac:dyDescent="0.25">
      <c r="A1080" s="5">
        <v>19111</v>
      </c>
      <c r="B1080" s="5" t="s">
        <v>2609</v>
      </c>
      <c r="C1080" s="5" t="s">
        <v>2610</v>
      </c>
      <c r="D1080" s="5" t="s">
        <v>2611</v>
      </c>
      <c r="E1080" s="5" t="s">
        <v>89</v>
      </c>
    </row>
    <row r="1081" spans="1:5" x14ac:dyDescent="0.25">
      <c r="A1081" s="5">
        <v>16149</v>
      </c>
      <c r="B1081" s="5" t="s">
        <v>2612</v>
      </c>
      <c r="C1081" s="5" t="s">
        <v>2613</v>
      </c>
      <c r="D1081" s="5" t="s">
        <v>435</v>
      </c>
      <c r="E1081" s="5" t="s">
        <v>72</v>
      </c>
    </row>
    <row r="1082" spans="1:5" x14ac:dyDescent="0.25">
      <c r="A1082" s="5">
        <v>29119</v>
      </c>
      <c r="B1082" s="5" t="s">
        <v>2614</v>
      </c>
      <c r="C1082" s="5" t="s">
        <v>2615</v>
      </c>
      <c r="D1082" s="5" t="s">
        <v>475</v>
      </c>
      <c r="E1082" s="5" t="s">
        <v>89</v>
      </c>
    </row>
    <row r="1083" spans="1:5" x14ac:dyDescent="0.25">
      <c r="A1083" s="5" t="s">
        <v>74</v>
      </c>
      <c r="B1083" s="5" t="s">
        <v>2616</v>
      </c>
      <c r="C1083" s="5" t="s">
        <v>2617</v>
      </c>
      <c r="D1083" s="5" t="s">
        <v>74</v>
      </c>
      <c r="E1083" s="5" t="s">
        <v>74</v>
      </c>
    </row>
    <row r="1084" spans="1:5" x14ac:dyDescent="0.25">
      <c r="A1084" s="5">
        <v>13189</v>
      </c>
      <c r="B1084" s="5" t="s">
        <v>2616</v>
      </c>
      <c r="C1084" s="5" t="s">
        <v>2618</v>
      </c>
      <c r="D1084" s="5" t="s">
        <v>708</v>
      </c>
      <c r="E1084" s="5" t="s">
        <v>72</v>
      </c>
    </row>
    <row r="1085" spans="1:5" x14ac:dyDescent="0.25">
      <c r="A1085" s="5">
        <v>14038</v>
      </c>
      <c r="B1085" s="5" t="s">
        <v>2619</v>
      </c>
      <c r="C1085" s="5" t="s">
        <v>2620</v>
      </c>
      <c r="D1085" s="5" t="s">
        <v>2621</v>
      </c>
      <c r="E1085" s="5" t="s">
        <v>110</v>
      </c>
    </row>
    <row r="1086" spans="1:5" x14ac:dyDescent="0.25">
      <c r="A1086" s="5">
        <v>18269</v>
      </c>
      <c r="B1086" s="5" t="s">
        <v>2622</v>
      </c>
      <c r="C1086" s="5" t="s">
        <v>2623</v>
      </c>
      <c r="D1086" s="5" t="s">
        <v>113</v>
      </c>
      <c r="E1086" s="5" t="s">
        <v>110</v>
      </c>
    </row>
    <row r="1087" spans="1:5" x14ac:dyDescent="0.25">
      <c r="A1087" s="5" t="s">
        <v>74</v>
      </c>
      <c r="B1087" s="5" t="s">
        <v>2624</v>
      </c>
      <c r="C1087" s="5" t="s">
        <v>2625</v>
      </c>
      <c r="D1087" s="5" t="s">
        <v>143</v>
      </c>
      <c r="E1087" s="5" t="s">
        <v>312</v>
      </c>
    </row>
    <row r="1088" spans="1:5" x14ac:dyDescent="0.25">
      <c r="A1088" s="5" t="s">
        <v>74</v>
      </c>
      <c r="B1088" s="5" t="s">
        <v>2626</v>
      </c>
      <c r="C1088" s="5" t="s">
        <v>2627</v>
      </c>
      <c r="D1088" s="5" t="s">
        <v>289</v>
      </c>
      <c r="E1088" s="5" t="s">
        <v>89</v>
      </c>
    </row>
    <row r="1089" spans="1:5" x14ac:dyDescent="0.25">
      <c r="A1089" s="5">
        <v>16012</v>
      </c>
      <c r="B1089" s="5" t="s">
        <v>2628</v>
      </c>
      <c r="C1089" s="5" t="s">
        <v>2629</v>
      </c>
      <c r="D1089" s="5" t="s">
        <v>191</v>
      </c>
      <c r="E1089" s="5" t="s">
        <v>85</v>
      </c>
    </row>
    <row r="1090" spans="1:5" x14ac:dyDescent="0.25">
      <c r="A1090" s="5">
        <v>18187</v>
      </c>
      <c r="B1090" s="5" t="s">
        <v>2630</v>
      </c>
      <c r="C1090" s="5" t="s">
        <v>2631</v>
      </c>
      <c r="D1090" s="5" t="s">
        <v>146</v>
      </c>
      <c r="E1090" s="5" t="s">
        <v>117</v>
      </c>
    </row>
    <row r="1091" spans="1:5" x14ac:dyDescent="0.25">
      <c r="A1091" s="5">
        <v>18161</v>
      </c>
      <c r="B1091" s="5" t="s">
        <v>2632</v>
      </c>
      <c r="C1091" s="5" t="s">
        <v>2633</v>
      </c>
      <c r="D1091" s="5" t="s">
        <v>2634</v>
      </c>
      <c r="E1091" s="5" t="s">
        <v>110</v>
      </c>
    </row>
    <row r="1092" spans="1:5" x14ac:dyDescent="0.25">
      <c r="A1092" s="5">
        <v>92001</v>
      </c>
      <c r="B1092" s="5" t="s">
        <v>2635</v>
      </c>
      <c r="C1092" s="5" t="s">
        <v>2636</v>
      </c>
      <c r="D1092" s="5" t="s">
        <v>2637</v>
      </c>
      <c r="E1092" s="5" t="s">
        <v>110</v>
      </c>
    </row>
    <row r="1093" spans="1:5" x14ac:dyDescent="0.25">
      <c r="A1093" s="5" t="s">
        <v>74</v>
      </c>
      <c r="B1093" s="5" t="s">
        <v>2638</v>
      </c>
      <c r="C1093" s="5" t="s">
        <v>2639</v>
      </c>
      <c r="D1093" s="5" t="s">
        <v>533</v>
      </c>
      <c r="E1093" s="5" t="s">
        <v>117</v>
      </c>
    </row>
    <row r="1094" spans="1:5" x14ac:dyDescent="0.25">
      <c r="A1094" s="5">
        <v>18210</v>
      </c>
      <c r="B1094" s="5" t="s">
        <v>2640</v>
      </c>
      <c r="C1094" s="5" t="s">
        <v>2641</v>
      </c>
      <c r="D1094" s="5" t="s">
        <v>2642</v>
      </c>
      <c r="E1094" s="5" t="s">
        <v>72</v>
      </c>
    </row>
    <row r="1095" spans="1:5" x14ac:dyDescent="0.25">
      <c r="A1095" s="5">
        <v>17041</v>
      </c>
      <c r="B1095" s="5" t="s">
        <v>2643</v>
      </c>
      <c r="C1095" s="5" t="s">
        <v>2644</v>
      </c>
      <c r="D1095" s="5" t="s">
        <v>2645</v>
      </c>
      <c r="E1095" s="5" t="s">
        <v>188</v>
      </c>
    </row>
    <row r="1096" spans="1:5" x14ac:dyDescent="0.25">
      <c r="A1096" s="5">
        <v>16055</v>
      </c>
      <c r="B1096" s="5" t="s">
        <v>2646</v>
      </c>
      <c r="C1096" s="5" t="s">
        <v>2647</v>
      </c>
      <c r="D1096" s="5" t="s">
        <v>2648</v>
      </c>
      <c r="E1096" s="5" t="s">
        <v>81</v>
      </c>
    </row>
    <row r="1097" spans="1:5" x14ac:dyDescent="0.25">
      <c r="A1097" s="5">
        <v>18242</v>
      </c>
      <c r="B1097" s="5" t="s">
        <v>2649</v>
      </c>
      <c r="C1097" s="5" t="s">
        <v>2650</v>
      </c>
      <c r="D1097" s="5" t="s">
        <v>393</v>
      </c>
      <c r="E1097" s="5" t="s">
        <v>89</v>
      </c>
    </row>
    <row r="1098" spans="1:5" x14ac:dyDescent="0.25">
      <c r="A1098" s="5">
        <v>19093</v>
      </c>
      <c r="B1098" s="5" t="s">
        <v>2651</v>
      </c>
      <c r="C1098" s="5" t="s">
        <v>2652</v>
      </c>
      <c r="D1098" s="5" t="s">
        <v>1749</v>
      </c>
      <c r="E1098" s="5" t="s">
        <v>89</v>
      </c>
    </row>
    <row r="1099" spans="1:5" x14ac:dyDescent="0.25">
      <c r="A1099" s="5" t="s">
        <v>74</v>
      </c>
      <c r="B1099" s="5" t="s">
        <v>2653</v>
      </c>
      <c r="C1099" s="5" t="s">
        <v>2654</v>
      </c>
      <c r="D1099" s="5" t="s">
        <v>1746</v>
      </c>
      <c r="E1099" s="5" t="s">
        <v>312</v>
      </c>
    </row>
    <row r="1100" spans="1:5" x14ac:dyDescent="0.25">
      <c r="A1100" s="5">
        <v>17145</v>
      </c>
      <c r="B1100" s="5" t="s">
        <v>2655</v>
      </c>
      <c r="C1100" s="5" t="s">
        <v>2656</v>
      </c>
      <c r="D1100" s="5" t="s">
        <v>2657</v>
      </c>
      <c r="E1100" s="5" t="s">
        <v>81</v>
      </c>
    </row>
    <row r="1101" spans="1:5" x14ac:dyDescent="0.25">
      <c r="A1101" s="5" t="s">
        <v>74</v>
      </c>
      <c r="B1101" s="5" t="s">
        <v>2658</v>
      </c>
      <c r="C1101" s="5" t="s">
        <v>2659</v>
      </c>
      <c r="D1101" s="5" t="s">
        <v>74</v>
      </c>
      <c r="E1101" s="5" t="s">
        <v>74</v>
      </c>
    </row>
    <row r="1102" spans="1:5" x14ac:dyDescent="0.25">
      <c r="A1102" s="5">
        <v>14022</v>
      </c>
      <c r="B1102" s="5" t="s">
        <v>2660</v>
      </c>
      <c r="C1102" s="5" t="s">
        <v>2661</v>
      </c>
      <c r="D1102" s="5" t="s">
        <v>227</v>
      </c>
      <c r="E1102" s="5" t="s">
        <v>110</v>
      </c>
    </row>
    <row r="1103" spans="1:5" x14ac:dyDescent="0.25">
      <c r="A1103" s="5">
        <v>17161</v>
      </c>
      <c r="B1103" s="5" t="s">
        <v>2662</v>
      </c>
      <c r="C1103" s="5" t="s">
        <v>2663</v>
      </c>
      <c r="D1103" s="5" t="s">
        <v>2664</v>
      </c>
      <c r="E1103" s="5" t="s">
        <v>348</v>
      </c>
    </row>
    <row r="1104" spans="1:5" x14ac:dyDescent="0.25">
      <c r="A1104" s="5">
        <v>15139</v>
      </c>
      <c r="B1104" s="5" t="s">
        <v>2665</v>
      </c>
      <c r="C1104" s="5" t="s">
        <v>2666</v>
      </c>
      <c r="D1104" s="5" t="s">
        <v>220</v>
      </c>
      <c r="E1104" s="5" t="s">
        <v>72</v>
      </c>
    </row>
    <row r="1105" spans="1:5" x14ac:dyDescent="0.25">
      <c r="A1105" s="5">
        <v>15058</v>
      </c>
      <c r="B1105" s="5" t="s">
        <v>2667</v>
      </c>
      <c r="C1105" s="5" t="s">
        <v>2668</v>
      </c>
      <c r="D1105" s="5" t="s">
        <v>435</v>
      </c>
      <c r="E1105" s="5" t="s">
        <v>97</v>
      </c>
    </row>
    <row r="1106" spans="1:5" x14ac:dyDescent="0.25">
      <c r="A1106" s="5">
        <v>19284</v>
      </c>
      <c r="B1106" s="5" t="s">
        <v>2669</v>
      </c>
      <c r="C1106" s="5" t="s">
        <v>2670</v>
      </c>
      <c r="D1106" s="5" t="s">
        <v>393</v>
      </c>
      <c r="E1106" s="5" t="s">
        <v>89</v>
      </c>
    </row>
    <row r="1107" spans="1:5" x14ac:dyDescent="0.25">
      <c r="A1107" s="5">
        <v>17170</v>
      </c>
      <c r="B1107" s="5" t="s">
        <v>2671</v>
      </c>
      <c r="C1107" s="5" t="s">
        <v>2672</v>
      </c>
      <c r="D1107" s="5" t="s">
        <v>2673</v>
      </c>
      <c r="E1107" s="5" t="s">
        <v>211</v>
      </c>
    </row>
    <row r="1108" spans="1:5" x14ac:dyDescent="0.25">
      <c r="A1108" s="5">
        <v>18276</v>
      </c>
      <c r="B1108" s="5" t="s">
        <v>2674</v>
      </c>
      <c r="C1108" s="5" t="s">
        <v>2675</v>
      </c>
      <c r="D1108" s="5" t="s">
        <v>252</v>
      </c>
      <c r="E1108" s="5" t="s">
        <v>93</v>
      </c>
    </row>
    <row r="1109" spans="1:5" x14ac:dyDescent="0.25">
      <c r="A1109" s="5">
        <v>18270</v>
      </c>
      <c r="B1109" s="5" t="s">
        <v>2676</v>
      </c>
      <c r="C1109" s="5" t="s">
        <v>2677</v>
      </c>
      <c r="D1109" s="5" t="s">
        <v>74</v>
      </c>
      <c r="E1109" s="5" t="s">
        <v>1772</v>
      </c>
    </row>
    <row r="1110" spans="1:5" x14ac:dyDescent="0.25">
      <c r="A1110" s="5">
        <v>15001</v>
      </c>
      <c r="B1110" s="5" t="s">
        <v>2678</v>
      </c>
      <c r="C1110" s="5" t="s">
        <v>2679</v>
      </c>
      <c r="D1110" s="5" t="s">
        <v>2680</v>
      </c>
      <c r="E1110" s="5" t="s">
        <v>51</v>
      </c>
    </row>
    <row r="1111" spans="1:5" x14ac:dyDescent="0.25">
      <c r="A1111" s="5">
        <v>12096</v>
      </c>
      <c r="B1111" s="5" t="s">
        <v>2681</v>
      </c>
      <c r="C1111" s="5" t="s">
        <v>2682</v>
      </c>
      <c r="D1111" s="5" t="s">
        <v>530</v>
      </c>
      <c r="E1111" s="5" t="s">
        <v>89</v>
      </c>
    </row>
    <row r="1112" spans="1:5" x14ac:dyDescent="0.25">
      <c r="A1112" s="5">
        <v>18277</v>
      </c>
      <c r="B1112" s="5" t="s">
        <v>2683</v>
      </c>
      <c r="C1112" s="5" t="s">
        <v>2684</v>
      </c>
      <c r="D1112" s="5" t="s">
        <v>191</v>
      </c>
      <c r="E1112" s="5" t="s">
        <v>97</v>
      </c>
    </row>
    <row r="1113" spans="1:5" x14ac:dyDescent="0.25">
      <c r="A1113" s="5">
        <v>28115</v>
      </c>
      <c r="B1113" s="5" t="s">
        <v>2685</v>
      </c>
      <c r="C1113" s="5" t="s">
        <v>2686</v>
      </c>
      <c r="D1113" s="5" t="s">
        <v>335</v>
      </c>
      <c r="E1113" s="5" t="s">
        <v>89</v>
      </c>
    </row>
    <row r="1114" spans="1:5" x14ac:dyDescent="0.25">
      <c r="A1114" s="5">
        <v>17125</v>
      </c>
      <c r="B1114" s="5" t="s">
        <v>2687</v>
      </c>
      <c r="C1114" s="5" t="s">
        <v>2688</v>
      </c>
      <c r="D1114" s="5" t="s">
        <v>220</v>
      </c>
      <c r="E1114" s="5" t="s">
        <v>72</v>
      </c>
    </row>
    <row r="1115" spans="1:5" x14ac:dyDescent="0.25">
      <c r="A1115" s="5">
        <v>14067</v>
      </c>
      <c r="B1115" s="5" t="s">
        <v>2689</v>
      </c>
      <c r="C1115" s="5" t="s">
        <v>2690</v>
      </c>
      <c r="D1115" s="5" t="s">
        <v>764</v>
      </c>
      <c r="E1115" s="5" t="s">
        <v>97</v>
      </c>
    </row>
    <row r="1116" spans="1:5" x14ac:dyDescent="0.25">
      <c r="A1116" s="5">
        <v>14002</v>
      </c>
      <c r="B1116" s="5" t="s">
        <v>2691</v>
      </c>
      <c r="C1116" s="5" t="s">
        <v>2692</v>
      </c>
      <c r="D1116" s="5" t="s">
        <v>2693</v>
      </c>
      <c r="E1116" s="5" t="s">
        <v>312</v>
      </c>
    </row>
    <row r="1117" spans="1:5" x14ac:dyDescent="0.25">
      <c r="A1117" s="5">
        <v>18051</v>
      </c>
      <c r="B1117" s="5" t="s">
        <v>2694</v>
      </c>
      <c r="C1117" s="5" t="s">
        <v>2695</v>
      </c>
      <c r="D1117" s="5" t="s">
        <v>2696</v>
      </c>
      <c r="E1117" s="5" t="s">
        <v>81</v>
      </c>
    </row>
    <row r="1118" spans="1:5" x14ac:dyDescent="0.25">
      <c r="A1118" s="5">
        <v>10030</v>
      </c>
      <c r="B1118" s="5" t="s">
        <v>2697</v>
      </c>
      <c r="C1118" s="5" t="s">
        <v>2698</v>
      </c>
      <c r="D1118" s="5" t="s">
        <v>2699</v>
      </c>
      <c r="E1118" s="5" t="s">
        <v>1772</v>
      </c>
    </row>
    <row r="1119" spans="1:5" x14ac:dyDescent="0.25">
      <c r="A1119" s="5" t="s">
        <v>74</v>
      </c>
      <c r="B1119" s="5" t="s">
        <v>2700</v>
      </c>
      <c r="C1119" s="5" t="s">
        <v>2701</v>
      </c>
      <c r="D1119" s="5" t="s">
        <v>685</v>
      </c>
      <c r="E1119" s="5" t="s">
        <v>93</v>
      </c>
    </row>
    <row r="1120" spans="1:5" x14ac:dyDescent="0.25">
      <c r="A1120" s="5">
        <v>19505</v>
      </c>
      <c r="B1120" s="5" t="s">
        <v>2702</v>
      </c>
      <c r="C1120" s="5" t="s">
        <v>2703</v>
      </c>
      <c r="D1120" s="5" t="s">
        <v>638</v>
      </c>
      <c r="E1120" s="5" t="s">
        <v>97</v>
      </c>
    </row>
    <row r="1121" spans="1:5" x14ac:dyDescent="0.25">
      <c r="A1121" s="5">
        <v>13367</v>
      </c>
      <c r="B1121" s="5" t="s">
        <v>2704</v>
      </c>
      <c r="C1121" s="5" t="s">
        <v>2705</v>
      </c>
      <c r="D1121" s="5" t="s">
        <v>297</v>
      </c>
      <c r="E1121" s="5" t="s">
        <v>72</v>
      </c>
    </row>
    <row r="1122" spans="1:5" x14ac:dyDescent="0.25">
      <c r="A1122" s="5" t="s">
        <v>74</v>
      </c>
      <c r="B1122" s="5" t="s">
        <v>2706</v>
      </c>
      <c r="C1122" s="5" t="s">
        <v>2707</v>
      </c>
      <c r="D1122" s="5" t="s">
        <v>74</v>
      </c>
      <c r="E1122" s="5" t="s">
        <v>74</v>
      </c>
    </row>
    <row r="1123" spans="1:5" x14ac:dyDescent="0.25">
      <c r="A1123" s="5">
        <v>13038</v>
      </c>
      <c r="B1123" s="5" t="s">
        <v>2708</v>
      </c>
      <c r="C1123" s="5" t="s">
        <v>2709</v>
      </c>
      <c r="D1123" s="5" t="s">
        <v>1334</v>
      </c>
      <c r="E1123" s="5" t="s">
        <v>312</v>
      </c>
    </row>
    <row r="1124" spans="1:5" x14ac:dyDescent="0.25">
      <c r="A1124" s="5">
        <v>15176</v>
      </c>
      <c r="B1124" s="5" t="s">
        <v>2710</v>
      </c>
      <c r="C1124" s="5" t="s">
        <v>2711</v>
      </c>
      <c r="D1124" s="5" t="s">
        <v>2712</v>
      </c>
      <c r="E1124" s="5" t="s">
        <v>312</v>
      </c>
    </row>
    <row r="1125" spans="1:5" x14ac:dyDescent="0.25">
      <c r="A1125" s="5">
        <v>19117</v>
      </c>
      <c r="B1125" s="5" t="s">
        <v>2713</v>
      </c>
      <c r="C1125" s="5" t="s">
        <v>2714</v>
      </c>
      <c r="D1125" s="5" t="s">
        <v>2715</v>
      </c>
      <c r="E1125" s="5" t="s">
        <v>348</v>
      </c>
    </row>
    <row r="1126" spans="1:5" x14ac:dyDescent="0.25">
      <c r="A1126" s="5" t="s">
        <v>2717</v>
      </c>
      <c r="B1126" s="5" t="s">
        <v>2716</v>
      </c>
      <c r="C1126" s="5" t="s">
        <v>2718</v>
      </c>
      <c r="D1126" s="5" t="s">
        <v>2719</v>
      </c>
      <c r="E1126" s="5" t="s">
        <v>348</v>
      </c>
    </row>
    <row r="1127" spans="1:5" x14ac:dyDescent="0.25">
      <c r="A1127" s="5">
        <v>25099</v>
      </c>
      <c r="B1127" s="5" t="s">
        <v>2720</v>
      </c>
      <c r="C1127" s="5" t="s">
        <v>2721</v>
      </c>
      <c r="D1127" s="5" t="s">
        <v>2722</v>
      </c>
      <c r="E1127" s="5" t="s">
        <v>188</v>
      </c>
    </row>
    <row r="1128" spans="1:5" x14ac:dyDescent="0.25">
      <c r="A1128" s="5">
        <v>29128</v>
      </c>
      <c r="B1128" s="5" t="s">
        <v>2723</v>
      </c>
      <c r="C1128" s="5" t="s">
        <v>2724</v>
      </c>
      <c r="D1128" s="5" t="s">
        <v>2725</v>
      </c>
      <c r="E1128" s="5" t="s">
        <v>97</v>
      </c>
    </row>
    <row r="1129" spans="1:5" x14ac:dyDescent="0.25">
      <c r="A1129" s="5">
        <v>19003</v>
      </c>
      <c r="B1129" s="5" t="s">
        <v>2726</v>
      </c>
      <c r="C1129" s="5" t="s">
        <v>2727</v>
      </c>
      <c r="D1129" s="5" t="s">
        <v>2728</v>
      </c>
      <c r="E1129" s="5" t="s">
        <v>363</v>
      </c>
    </row>
    <row r="1130" spans="1:5" x14ac:dyDescent="0.25">
      <c r="A1130" s="5">
        <v>15171</v>
      </c>
      <c r="B1130" s="5" t="s">
        <v>2729</v>
      </c>
      <c r="C1130" s="5" t="s">
        <v>2730</v>
      </c>
      <c r="D1130" s="5" t="s">
        <v>819</v>
      </c>
      <c r="E1130" s="5" t="s">
        <v>93</v>
      </c>
    </row>
    <row r="1131" spans="1:5" x14ac:dyDescent="0.25">
      <c r="A1131" s="5">
        <v>17143</v>
      </c>
      <c r="B1131" s="5" t="s">
        <v>2731</v>
      </c>
      <c r="C1131" s="5" t="s">
        <v>2732</v>
      </c>
      <c r="D1131" s="5" t="s">
        <v>2003</v>
      </c>
      <c r="E1131" s="5" t="s">
        <v>188</v>
      </c>
    </row>
    <row r="1132" spans="1:5" x14ac:dyDescent="0.25">
      <c r="A1132" s="5">
        <v>19162</v>
      </c>
      <c r="B1132" s="5" t="s">
        <v>2733</v>
      </c>
      <c r="C1132" s="5" t="s">
        <v>2734</v>
      </c>
      <c r="D1132" s="5" t="s">
        <v>246</v>
      </c>
      <c r="E1132" s="5" t="s">
        <v>72</v>
      </c>
    </row>
    <row r="1133" spans="1:5" x14ac:dyDescent="0.25">
      <c r="A1133" s="5" t="s">
        <v>74</v>
      </c>
      <c r="B1133" s="5" t="s">
        <v>2735</v>
      </c>
      <c r="C1133" s="5" t="s">
        <v>2736</v>
      </c>
      <c r="D1133" s="5" t="s">
        <v>1802</v>
      </c>
      <c r="E1133" s="5" t="s">
        <v>93</v>
      </c>
    </row>
    <row r="1134" spans="1:5" x14ac:dyDescent="0.25">
      <c r="A1134" s="5">
        <v>95024</v>
      </c>
      <c r="B1134" s="5" t="s">
        <v>2737</v>
      </c>
      <c r="C1134" s="5" t="s">
        <v>2738</v>
      </c>
      <c r="D1134" s="5" t="s">
        <v>552</v>
      </c>
      <c r="E1134" s="5" t="s">
        <v>72</v>
      </c>
    </row>
    <row r="1135" spans="1:5" x14ac:dyDescent="0.25">
      <c r="A1135" s="5">
        <v>29127</v>
      </c>
      <c r="B1135" s="5" t="s">
        <v>2739</v>
      </c>
      <c r="C1135" s="5" t="s">
        <v>2740</v>
      </c>
      <c r="D1135" s="5" t="s">
        <v>84</v>
      </c>
      <c r="E1135" s="5" t="s">
        <v>97</v>
      </c>
    </row>
    <row r="1136" spans="1:5" x14ac:dyDescent="0.25">
      <c r="A1136" s="5" t="s">
        <v>74</v>
      </c>
      <c r="B1136" s="5" t="s">
        <v>2741</v>
      </c>
      <c r="C1136" s="5" t="s">
        <v>2742</v>
      </c>
      <c r="D1136" s="5" t="s">
        <v>74</v>
      </c>
      <c r="E1136" s="5" t="s">
        <v>74</v>
      </c>
    </row>
    <row r="1137" spans="1:5" x14ac:dyDescent="0.25">
      <c r="A1137" s="5">
        <v>11046</v>
      </c>
      <c r="B1137" s="5" t="s">
        <v>2743</v>
      </c>
      <c r="C1137" s="5" t="s">
        <v>2744</v>
      </c>
      <c r="D1137" s="5" t="s">
        <v>850</v>
      </c>
      <c r="E1137" s="5" t="s">
        <v>89</v>
      </c>
    </row>
    <row r="1138" spans="1:5" x14ac:dyDescent="0.25">
      <c r="A1138" s="5">
        <v>14039</v>
      </c>
      <c r="B1138" s="5" t="s">
        <v>2745</v>
      </c>
      <c r="C1138" s="5" t="s">
        <v>2746</v>
      </c>
      <c r="D1138" s="5" t="s">
        <v>2747</v>
      </c>
      <c r="E1138" s="5" t="s">
        <v>110</v>
      </c>
    </row>
    <row r="1139" spans="1:5" x14ac:dyDescent="0.25">
      <c r="A1139" s="5">
        <v>23048</v>
      </c>
      <c r="B1139" s="5" t="s">
        <v>2748</v>
      </c>
      <c r="C1139" s="5" t="s">
        <v>2749</v>
      </c>
      <c r="D1139" s="5" t="s">
        <v>507</v>
      </c>
      <c r="E1139" s="5" t="s">
        <v>89</v>
      </c>
    </row>
    <row r="1140" spans="1:5" x14ac:dyDescent="0.25">
      <c r="A1140" s="5">
        <v>17097</v>
      </c>
      <c r="B1140" s="5" t="s">
        <v>2750</v>
      </c>
      <c r="C1140" s="5" t="s">
        <v>2751</v>
      </c>
      <c r="D1140" s="5" t="s">
        <v>2752</v>
      </c>
      <c r="E1140" s="5" t="s">
        <v>110</v>
      </c>
    </row>
    <row r="1141" spans="1:5" x14ac:dyDescent="0.25">
      <c r="A1141" s="5">
        <v>16169</v>
      </c>
      <c r="B1141" s="5" t="s">
        <v>2753</v>
      </c>
      <c r="C1141" s="5" t="s">
        <v>2754</v>
      </c>
      <c r="D1141" s="5" t="s">
        <v>2755</v>
      </c>
      <c r="E1141" s="5" t="s">
        <v>93</v>
      </c>
    </row>
    <row r="1142" spans="1:5" x14ac:dyDescent="0.25">
      <c r="A1142" s="5">
        <v>26096</v>
      </c>
      <c r="B1142" s="5" t="s">
        <v>2756</v>
      </c>
      <c r="C1142" s="5" t="s">
        <v>2757</v>
      </c>
      <c r="D1142" s="5" t="s">
        <v>2758</v>
      </c>
      <c r="E1142" s="5" t="s">
        <v>153</v>
      </c>
    </row>
    <row r="1143" spans="1:5" x14ac:dyDescent="0.25">
      <c r="A1143" s="5">
        <v>13106</v>
      </c>
      <c r="B1143" s="5" t="s">
        <v>2759</v>
      </c>
      <c r="C1143" s="5" t="s">
        <v>2760</v>
      </c>
      <c r="D1143" s="5" t="s">
        <v>2761</v>
      </c>
      <c r="E1143" s="5" t="s">
        <v>81</v>
      </c>
    </row>
    <row r="1144" spans="1:5" x14ac:dyDescent="0.25">
      <c r="A1144" s="5">
        <v>12044</v>
      </c>
      <c r="B1144" s="5" t="s">
        <v>2762</v>
      </c>
      <c r="C1144" s="5" t="s">
        <v>2763</v>
      </c>
      <c r="D1144" s="5" t="s">
        <v>435</v>
      </c>
      <c r="E1144" s="5" t="s">
        <v>97</v>
      </c>
    </row>
    <row r="1145" spans="1:5" x14ac:dyDescent="0.25">
      <c r="A1145" s="5">
        <v>19101</v>
      </c>
      <c r="B1145" s="5" t="s">
        <v>2764</v>
      </c>
      <c r="C1145" s="5" t="s">
        <v>2765</v>
      </c>
      <c r="D1145" s="5" t="s">
        <v>685</v>
      </c>
      <c r="E1145" s="5" t="s">
        <v>97</v>
      </c>
    </row>
    <row r="1146" spans="1:5" x14ac:dyDescent="0.25">
      <c r="A1146" s="5">
        <v>24022</v>
      </c>
      <c r="B1146" s="5" t="s">
        <v>2766</v>
      </c>
      <c r="C1146" s="5" t="s">
        <v>2767</v>
      </c>
      <c r="D1146" s="5" t="s">
        <v>507</v>
      </c>
      <c r="E1146" s="5" t="s">
        <v>89</v>
      </c>
    </row>
    <row r="1147" spans="1:5" x14ac:dyDescent="0.25">
      <c r="A1147" s="5" t="s">
        <v>74</v>
      </c>
      <c r="B1147" s="5" t="s">
        <v>2768</v>
      </c>
      <c r="C1147" s="5" t="s">
        <v>2769</v>
      </c>
      <c r="D1147" s="5" t="s">
        <v>220</v>
      </c>
      <c r="E1147" s="5" t="s">
        <v>72</v>
      </c>
    </row>
    <row r="1148" spans="1:5" x14ac:dyDescent="0.25">
      <c r="A1148" s="5">
        <v>26111</v>
      </c>
      <c r="B1148" s="5" t="s">
        <v>2770</v>
      </c>
      <c r="C1148" s="5" t="s">
        <v>2771</v>
      </c>
      <c r="D1148" s="5" t="s">
        <v>335</v>
      </c>
      <c r="E1148" s="5" t="s">
        <v>89</v>
      </c>
    </row>
    <row r="1149" spans="1:5" x14ac:dyDescent="0.25">
      <c r="A1149" s="5">
        <v>15051</v>
      </c>
      <c r="B1149" s="5" t="s">
        <v>2772</v>
      </c>
      <c r="C1149" s="5" t="s">
        <v>2773</v>
      </c>
      <c r="D1149" s="5" t="s">
        <v>873</v>
      </c>
      <c r="E1149" s="5" t="s">
        <v>312</v>
      </c>
    </row>
    <row r="1150" spans="1:5" x14ac:dyDescent="0.25">
      <c r="A1150" s="5">
        <v>13337</v>
      </c>
      <c r="B1150" s="5" t="s">
        <v>2774</v>
      </c>
      <c r="C1150" s="5" t="s">
        <v>2775</v>
      </c>
      <c r="D1150" s="5" t="s">
        <v>2776</v>
      </c>
      <c r="E1150" s="5" t="s">
        <v>72</v>
      </c>
    </row>
    <row r="1151" spans="1:5" x14ac:dyDescent="0.25">
      <c r="A1151" s="5">
        <v>16034</v>
      </c>
      <c r="B1151" s="5" t="s">
        <v>2777</v>
      </c>
      <c r="C1151" s="5" t="s">
        <v>2778</v>
      </c>
      <c r="D1151" s="5" t="s">
        <v>2265</v>
      </c>
      <c r="E1151" s="5" t="s">
        <v>89</v>
      </c>
    </row>
    <row r="1152" spans="1:5" x14ac:dyDescent="0.25">
      <c r="A1152" s="5">
        <v>24045</v>
      </c>
      <c r="B1152" s="5" t="s">
        <v>2779</v>
      </c>
      <c r="C1152" s="5" t="s">
        <v>2780</v>
      </c>
      <c r="D1152" s="5" t="s">
        <v>2781</v>
      </c>
      <c r="E1152" s="5" t="s">
        <v>188</v>
      </c>
    </row>
    <row r="1153" spans="1:5" x14ac:dyDescent="0.25">
      <c r="A1153" s="5">
        <v>82001</v>
      </c>
      <c r="B1153" s="5" t="s">
        <v>2782</v>
      </c>
      <c r="C1153" s="5" t="s">
        <v>2783</v>
      </c>
      <c r="D1153" s="5" t="s">
        <v>2784</v>
      </c>
      <c r="E1153" s="5" t="s">
        <v>77</v>
      </c>
    </row>
    <row r="1154" spans="1:5" x14ac:dyDescent="0.25">
      <c r="A1154" s="5">
        <v>99055</v>
      </c>
      <c r="B1154" s="5" t="s">
        <v>2785</v>
      </c>
      <c r="C1154" s="5" t="s">
        <v>2786</v>
      </c>
      <c r="D1154" s="5" t="s">
        <v>493</v>
      </c>
      <c r="E1154" s="5" t="s">
        <v>89</v>
      </c>
    </row>
    <row r="1155" spans="1:5" x14ac:dyDescent="0.25">
      <c r="A1155" s="5">
        <v>18076</v>
      </c>
      <c r="B1155" s="5" t="s">
        <v>2787</v>
      </c>
      <c r="C1155" s="5" t="s">
        <v>2788</v>
      </c>
      <c r="D1155" s="5" t="s">
        <v>552</v>
      </c>
      <c r="E1155" s="5" t="s">
        <v>110</v>
      </c>
    </row>
    <row r="1156" spans="1:5" x14ac:dyDescent="0.25">
      <c r="A1156" s="5">
        <v>12059</v>
      </c>
      <c r="B1156" s="5" t="s">
        <v>2789</v>
      </c>
      <c r="C1156" s="5" t="s">
        <v>2790</v>
      </c>
      <c r="D1156" s="5" t="s">
        <v>2791</v>
      </c>
      <c r="E1156" s="5" t="s">
        <v>140</v>
      </c>
    </row>
    <row r="1157" spans="1:5" x14ac:dyDescent="0.25">
      <c r="A1157" s="5">
        <v>16008</v>
      </c>
      <c r="B1157" s="5" t="s">
        <v>2792</v>
      </c>
      <c r="C1157" s="5" t="s">
        <v>2793</v>
      </c>
      <c r="D1157" s="5" t="s">
        <v>2257</v>
      </c>
      <c r="E1157" s="5" t="s">
        <v>1772</v>
      </c>
    </row>
    <row r="1158" spans="1:5" x14ac:dyDescent="0.25">
      <c r="A1158" s="5">
        <v>19304</v>
      </c>
      <c r="B1158" s="5" t="s">
        <v>2794</v>
      </c>
      <c r="C1158" s="5" t="s">
        <v>2795</v>
      </c>
      <c r="D1158" s="5" t="s">
        <v>2796</v>
      </c>
      <c r="E1158" s="5" t="s">
        <v>93</v>
      </c>
    </row>
    <row r="1159" spans="1:5" x14ac:dyDescent="0.25">
      <c r="A1159" s="5">
        <v>19248</v>
      </c>
      <c r="B1159" s="5" t="s">
        <v>2797</v>
      </c>
      <c r="C1159" s="5" t="s">
        <v>2798</v>
      </c>
      <c r="D1159" s="5" t="s">
        <v>376</v>
      </c>
      <c r="E1159" s="5" t="s">
        <v>89</v>
      </c>
    </row>
    <row r="1160" spans="1:5" x14ac:dyDescent="0.25">
      <c r="A1160" s="5" t="s">
        <v>74</v>
      </c>
      <c r="B1160" s="5" t="s">
        <v>2799</v>
      </c>
      <c r="C1160" s="5" t="s">
        <v>2800</v>
      </c>
      <c r="D1160" s="5" t="s">
        <v>74</v>
      </c>
      <c r="E1160" s="5" t="s">
        <v>74</v>
      </c>
    </row>
    <row r="1161" spans="1:5" x14ac:dyDescent="0.25">
      <c r="A1161" s="5">
        <v>29014</v>
      </c>
      <c r="B1161" s="5" t="s">
        <v>2801</v>
      </c>
      <c r="C1161" s="5" t="s">
        <v>2802</v>
      </c>
      <c r="D1161" s="5" t="s">
        <v>493</v>
      </c>
      <c r="E1161" s="5" t="s">
        <v>2803</v>
      </c>
    </row>
    <row r="1162" spans="1:5" x14ac:dyDescent="0.25">
      <c r="A1162" s="5">
        <v>13202</v>
      </c>
      <c r="B1162" s="5" t="s">
        <v>2804</v>
      </c>
      <c r="C1162" s="5" t="s">
        <v>2805</v>
      </c>
      <c r="D1162" s="5" t="s">
        <v>2166</v>
      </c>
      <c r="E1162" s="5" t="s">
        <v>72</v>
      </c>
    </row>
    <row r="1163" spans="1:5" x14ac:dyDescent="0.25">
      <c r="A1163" s="5">
        <v>16219</v>
      </c>
      <c r="B1163" s="5" t="s">
        <v>2806</v>
      </c>
      <c r="C1163" s="5" t="s">
        <v>2807</v>
      </c>
      <c r="D1163" s="5" t="s">
        <v>478</v>
      </c>
      <c r="E1163" s="5" t="s">
        <v>479</v>
      </c>
    </row>
    <row r="1164" spans="1:5" x14ac:dyDescent="0.25">
      <c r="A1164" s="5">
        <v>17048</v>
      </c>
      <c r="B1164" s="5" t="s">
        <v>2808</v>
      </c>
      <c r="C1164" s="5" t="s">
        <v>2809</v>
      </c>
      <c r="D1164" s="5" t="s">
        <v>106</v>
      </c>
      <c r="E1164" s="5" t="s">
        <v>85</v>
      </c>
    </row>
    <row r="1165" spans="1:5" x14ac:dyDescent="0.25">
      <c r="A1165" s="5">
        <v>18202</v>
      </c>
      <c r="B1165" s="5" t="s">
        <v>2810</v>
      </c>
      <c r="C1165" s="5" t="s">
        <v>2811</v>
      </c>
      <c r="D1165" s="5" t="s">
        <v>393</v>
      </c>
      <c r="E1165" s="5" t="s">
        <v>89</v>
      </c>
    </row>
    <row r="1166" spans="1:5" x14ac:dyDescent="0.25">
      <c r="A1166" s="5">
        <v>17078</v>
      </c>
      <c r="B1166" s="5" t="s">
        <v>2812</v>
      </c>
      <c r="C1166" s="5" t="s">
        <v>2813</v>
      </c>
      <c r="D1166" s="5" t="s">
        <v>2814</v>
      </c>
      <c r="E1166" s="5" t="s">
        <v>188</v>
      </c>
    </row>
    <row r="1167" spans="1:5" x14ac:dyDescent="0.25">
      <c r="A1167" s="5">
        <v>29040</v>
      </c>
      <c r="B1167" s="5" t="s">
        <v>2815</v>
      </c>
      <c r="C1167" s="5" t="s">
        <v>2816</v>
      </c>
      <c r="D1167" s="5" t="s">
        <v>435</v>
      </c>
      <c r="E1167" s="5" t="s">
        <v>85</v>
      </c>
    </row>
    <row r="1168" spans="1:5" x14ac:dyDescent="0.25">
      <c r="A1168" s="5">
        <v>12099</v>
      </c>
      <c r="B1168" s="5" t="s">
        <v>2817</v>
      </c>
      <c r="C1168" s="5" t="s">
        <v>2818</v>
      </c>
      <c r="D1168" s="5" t="s">
        <v>297</v>
      </c>
      <c r="E1168" s="5" t="s">
        <v>97</v>
      </c>
    </row>
    <row r="1169" spans="1:5" x14ac:dyDescent="0.25">
      <c r="A1169" s="5">
        <v>26155</v>
      </c>
      <c r="B1169" s="5" t="s">
        <v>2819</v>
      </c>
      <c r="C1169" s="5" t="s">
        <v>2820</v>
      </c>
      <c r="D1169" s="5" t="s">
        <v>527</v>
      </c>
      <c r="E1169" s="5" t="s">
        <v>206</v>
      </c>
    </row>
    <row r="1170" spans="1:5" x14ac:dyDescent="0.25">
      <c r="A1170" s="5" t="s">
        <v>74</v>
      </c>
      <c r="B1170" s="5" t="s">
        <v>2821</v>
      </c>
      <c r="C1170" s="5" t="s">
        <v>2822</v>
      </c>
      <c r="D1170" s="5" t="s">
        <v>74</v>
      </c>
      <c r="E1170" s="5" t="s">
        <v>74</v>
      </c>
    </row>
    <row r="1171" spans="1:5" x14ac:dyDescent="0.25">
      <c r="A1171" s="5">
        <v>17178</v>
      </c>
      <c r="B1171" s="5" t="s">
        <v>2823</v>
      </c>
      <c r="C1171" s="5" t="s">
        <v>2824</v>
      </c>
      <c r="D1171" s="5" t="s">
        <v>478</v>
      </c>
      <c r="E1171" s="5" t="s">
        <v>479</v>
      </c>
    </row>
    <row r="1172" spans="1:5" x14ac:dyDescent="0.25">
      <c r="A1172" s="5">
        <v>28100</v>
      </c>
      <c r="B1172" s="5" t="s">
        <v>2825</v>
      </c>
      <c r="C1172" s="5" t="s">
        <v>2826</v>
      </c>
      <c r="D1172" s="5" t="s">
        <v>335</v>
      </c>
      <c r="E1172" s="5" t="s">
        <v>89</v>
      </c>
    </row>
    <row r="1173" spans="1:5" x14ac:dyDescent="0.25">
      <c r="A1173" s="5" t="s">
        <v>74</v>
      </c>
      <c r="B1173" s="5" t="s">
        <v>2827</v>
      </c>
      <c r="C1173" s="5" t="s">
        <v>2828</v>
      </c>
      <c r="D1173" s="5" t="s">
        <v>74</v>
      </c>
      <c r="E1173" s="5" t="s">
        <v>74</v>
      </c>
    </row>
    <row r="1174" spans="1:5" x14ac:dyDescent="0.25">
      <c r="A1174" s="5">
        <v>18103</v>
      </c>
      <c r="B1174" s="5" t="s">
        <v>2829</v>
      </c>
      <c r="C1174" s="5" t="s">
        <v>2830</v>
      </c>
      <c r="D1174" s="5" t="s">
        <v>252</v>
      </c>
      <c r="E1174" s="5" t="s">
        <v>2831</v>
      </c>
    </row>
    <row r="1175" spans="1:5" x14ac:dyDescent="0.25">
      <c r="A1175" s="5">
        <v>19182</v>
      </c>
      <c r="B1175" s="5" t="s">
        <v>2832</v>
      </c>
      <c r="C1175" s="5" t="s">
        <v>2833</v>
      </c>
      <c r="D1175" s="5" t="s">
        <v>246</v>
      </c>
      <c r="E1175" s="5" t="s">
        <v>97</v>
      </c>
    </row>
    <row r="1176" spans="1:5" x14ac:dyDescent="0.25">
      <c r="A1176" s="5">
        <v>19015</v>
      </c>
      <c r="B1176" s="5" t="s">
        <v>2834</v>
      </c>
      <c r="C1176" s="5" t="s">
        <v>2835</v>
      </c>
      <c r="D1176" s="5" t="s">
        <v>2836</v>
      </c>
      <c r="E1176" s="5" t="s">
        <v>89</v>
      </c>
    </row>
    <row r="1177" spans="1:5" x14ac:dyDescent="0.25">
      <c r="A1177" s="5">
        <v>12085</v>
      </c>
      <c r="B1177" s="5" t="s">
        <v>2837</v>
      </c>
      <c r="C1177" s="5" t="s">
        <v>2838</v>
      </c>
      <c r="D1177" s="5" t="s">
        <v>1450</v>
      </c>
      <c r="E1177" s="5" t="s">
        <v>110</v>
      </c>
    </row>
    <row r="1178" spans="1:5" x14ac:dyDescent="0.25">
      <c r="A1178" s="5">
        <v>19127</v>
      </c>
      <c r="B1178" s="5" t="s">
        <v>2839</v>
      </c>
      <c r="C1178" s="5" t="s">
        <v>2840</v>
      </c>
      <c r="D1178" s="5" t="s">
        <v>220</v>
      </c>
      <c r="E1178" s="5" t="s">
        <v>117</v>
      </c>
    </row>
    <row r="1179" spans="1:5" x14ac:dyDescent="0.25">
      <c r="A1179" s="5">
        <v>26116</v>
      </c>
      <c r="B1179" s="5" t="s">
        <v>2841</v>
      </c>
      <c r="C1179" s="5" t="s">
        <v>2842</v>
      </c>
      <c r="D1179" s="5" t="s">
        <v>2843</v>
      </c>
      <c r="E1179" s="5" t="s">
        <v>632</v>
      </c>
    </row>
    <row r="1180" spans="1:5" x14ac:dyDescent="0.25">
      <c r="A1180" s="5">
        <v>11063</v>
      </c>
      <c r="B1180" s="5" t="s">
        <v>2844</v>
      </c>
      <c r="C1180" s="5" t="s">
        <v>2845</v>
      </c>
      <c r="D1180" s="5" t="s">
        <v>2846</v>
      </c>
      <c r="E1180" s="5" t="s">
        <v>2045</v>
      </c>
    </row>
    <row r="1181" spans="1:5" x14ac:dyDescent="0.25">
      <c r="A1181" s="5" t="s">
        <v>74</v>
      </c>
      <c r="B1181" s="5" t="s">
        <v>2847</v>
      </c>
      <c r="C1181" s="5" t="s">
        <v>2848</v>
      </c>
      <c r="D1181" s="5" t="s">
        <v>74</v>
      </c>
      <c r="E1181" s="5" t="s">
        <v>140</v>
      </c>
    </row>
    <row r="1182" spans="1:5" x14ac:dyDescent="0.25">
      <c r="A1182" s="5">
        <v>18141</v>
      </c>
      <c r="B1182" s="5" t="s">
        <v>2849</v>
      </c>
      <c r="C1182" s="5" t="s">
        <v>2850</v>
      </c>
      <c r="D1182" s="5" t="s">
        <v>2851</v>
      </c>
      <c r="E1182" s="5" t="s">
        <v>117</v>
      </c>
    </row>
    <row r="1183" spans="1:5" x14ac:dyDescent="0.25">
      <c r="A1183" s="5">
        <v>14019</v>
      </c>
      <c r="B1183" s="5" t="s">
        <v>2852</v>
      </c>
      <c r="C1183" s="5" t="s">
        <v>2853</v>
      </c>
      <c r="D1183" s="5" t="s">
        <v>297</v>
      </c>
      <c r="E1183" s="5" t="s">
        <v>72</v>
      </c>
    </row>
    <row r="1184" spans="1:5" x14ac:dyDescent="0.25">
      <c r="A1184" s="5">
        <v>13085</v>
      </c>
      <c r="B1184" s="5" t="s">
        <v>2854</v>
      </c>
      <c r="C1184" s="5" t="s">
        <v>2855</v>
      </c>
      <c r="D1184" s="5" t="s">
        <v>2593</v>
      </c>
      <c r="E1184" s="5" t="s">
        <v>2856</v>
      </c>
    </row>
    <row r="1185" spans="1:5" x14ac:dyDescent="0.25">
      <c r="A1185" s="5" t="s">
        <v>74</v>
      </c>
      <c r="B1185" s="5" t="s">
        <v>2857</v>
      </c>
      <c r="C1185" s="5" t="s">
        <v>2858</v>
      </c>
      <c r="D1185" s="5" t="s">
        <v>74</v>
      </c>
      <c r="E1185" s="5" t="s">
        <v>153</v>
      </c>
    </row>
    <row r="1186" spans="1:5" x14ac:dyDescent="0.25">
      <c r="A1186" s="5" t="s">
        <v>74</v>
      </c>
      <c r="B1186" s="5" t="s">
        <v>2859</v>
      </c>
      <c r="C1186" s="5" t="s">
        <v>2860</v>
      </c>
      <c r="D1186" s="5" t="s">
        <v>74</v>
      </c>
      <c r="E1186" s="5" t="s">
        <v>74</v>
      </c>
    </row>
    <row r="1187" spans="1:5" x14ac:dyDescent="0.25">
      <c r="A1187" s="5">
        <v>14024</v>
      </c>
      <c r="B1187" s="5" t="s">
        <v>2861</v>
      </c>
      <c r="C1187" s="5" t="s">
        <v>2862</v>
      </c>
      <c r="D1187" s="5" t="s">
        <v>297</v>
      </c>
      <c r="E1187" s="5" t="s">
        <v>97</v>
      </c>
    </row>
    <row r="1188" spans="1:5" x14ac:dyDescent="0.25">
      <c r="A1188" s="5" t="s">
        <v>74</v>
      </c>
      <c r="B1188" s="5" t="s">
        <v>2863</v>
      </c>
      <c r="C1188" s="5" t="s">
        <v>2864</v>
      </c>
      <c r="D1188" s="5" t="s">
        <v>74</v>
      </c>
      <c r="E1188" s="5" t="s">
        <v>140</v>
      </c>
    </row>
    <row r="1189" spans="1:5" x14ac:dyDescent="0.25">
      <c r="A1189" s="5">
        <v>16010</v>
      </c>
      <c r="B1189" s="5" t="s">
        <v>2865</v>
      </c>
      <c r="C1189" s="5" t="s">
        <v>2866</v>
      </c>
      <c r="D1189" s="5" t="s">
        <v>2867</v>
      </c>
      <c r="E1189" s="5" t="s">
        <v>140</v>
      </c>
    </row>
    <row r="1190" spans="1:5" x14ac:dyDescent="0.25">
      <c r="A1190" s="5">
        <v>16120</v>
      </c>
      <c r="B1190" s="5" t="s">
        <v>2868</v>
      </c>
      <c r="C1190" s="5" t="s">
        <v>2869</v>
      </c>
      <c r="D1190" s="5" t="s">
        <v>2870</v>
      </c>
      <c r="E1190" s="5" t="s">
        <v>89</v>
      </c>
    </row>
    <row r="1191" spans="1:5" x14ac:dyDescent="0.25">
      <c r="A1191" s="5">
        <v>14061</v>
      </c>
      <c r="B1191" s="5" t="s">
        <v>2871</v>
      </c>
      <c r="C1191" s="5" t="s">
        <v>2872</v>
      </c>
      <c r="D1191" s="5" t="s">
        <v>74</v>
      </c>
      <c r="E1191" s="5" t="s">
        <v>140</v>
      </c>
    </row>
    <row r="1192" spans="1:5" x14ac:dyDescent="0.25">
      <c r="A1192" s="5">
        <v>99029</v>
      </c>
      <c r="B1192" s="5" t="s">
        <v>2873</v>
      </c>
      <c r="C1192" s="5" t="s">
        <v>2874</v>
      </c>
      <c r="D1192" s="5" t="s">
        <v>2575</v>
      </c>
      <c r="E1192" s="5" t="s">
        <v>110</v>
      </c>
    </row>
    <row r="1193" spans="1:5" x14ac:dyDescent="0.25">
      <c r="A1193" s="5">
        <v>15138</v>
      </c>
      <c r="B1193" s="5" t="s">
        <v>2875</v>
      </c>
      <c r="C1193" s="5" t="s">
        <v>2876</v>
      </c>
      <c r="D1193" s="5" t="s">
        <v>2877</v>
      </c>
      <c r="E1193" s="5" t="s">
        <v>188</v>
      </c>
    </row>
    <row r="1194" spans="1:5" x14ac:dyDescent="0.25">
      <c r="A1194" s="5">
        <v>12028</v>
      </c>
      <c r="B1194" s="5" t="s">
        <v>2878</v>
      </c>
      <c r="C1194" s="5" t="s">
        <v>2879</v>
      </c>
      <c r="D1194" s="5" t="s">
        <v>2880</v>
      </c>
      <c r="E1194" s="5" t="s">
        <v>72</v>
      </c>
    </row>
    <row r="1195" spans="1:5" x14ac:dyDescent="0.25">
      <c r="A1195" s="5">
        <v>18052</v>
      </c>
      <c r="B1195" s="5" t="s">
        <v>2881</v>
      </c>
      <c r="C1195" s="5" t="s">
        <v>2882</v>
      </c>
      <c r="D1195" s="5" t="s">
        <v>393</v>
      </c>
      <c r="E1195" s="5" t="s">
        <v>211</v>
      </c>
    </row>
    <row r="1196" spans="1:5" x14ac:dyDescent="0.25">
      <c r="A1196" s="5">
        <v>29129</v>
      </c>
      <c r="B1196" s="5" t="s">
        <v>2883</v>
      </c>
      <c r="C1196" s="5" t="s">
        <v>2884</v>
      </c>
      <c r="D1196" s="5" t="s">
        <v>2885</v>
      </c>
      <c r="E1196" s="5" t="s">
        <v>188</v>
      </c>
    </row>
    <row r="1197" spans="1:5" x14ac:dyDescent="0.25">
      <c r="A1197" s="5">
        <v>18168</v>
      </c>
      <c r="B1197" s="5" t="s">
        <v>2886</v>
      </c>
      <c r="C1197" s="5" t="s">
        <v>2887</v>
      </c>
      <c r="D1197" s="5" t="s">
        <v>1331</v>
      </c>
      <c r="E1197" s="5" t="s">
        <v>89</v>
      </c>
    </row>
    <row r="1198" spans="1:5" x14ac:dyDescent="0.25">
      <c r="A1198" s="5">
        <v>13217</v>
      </c>
      <c r="B1198" s="5" t="s">
        <v>2888</v>
      </c>
      <c r="C1198" s="5" t="s">
        <v>2889</v>
      </c>
      <c r="D1198" s="5" t="s">
        <v>2890</v>
      </c>
      <c r="E1198" s="5" t="s">
        <v>72</v>
      </c>
    </row>
    <row r="1199" spans="1:5" x14ac:dyDescent="0.25">
      <c r="A1199" s="5">
        <v>13380</v>
      </c>
      <c r="B1199" s="5" t="s">
        <v>2891</v>
      </c>
      <c r="C1199" s="5" t="s">
        <v>2892</v>
      </c>
      <c r="D1199" s="5" t="s">
        <v>507</v>
      </c>
      <c r="E1199" s="5" t="s">
        <v>153</v>
      </c>
    </row>
    <row r="1200" spans="1:5" x14ac:dyDescent="0.25">
      <c r="A1200" s="5">
        <v>99041</v>
      </c>
      <c r="B1200" s="5" t="s">
        <v>2893</v>
      </c>
      <c r="C1200" s="5" t="s">
        <v>2894</v>
      </c>
      <c r="D1200" s="5" t="s">
        <v>2895</v>
      </c>
      <c r="E1200" s="5" t="s">
        <v>51</v>
      </c>
    </row>
    <row r="1201" spans="1:5" x14ac:dyDescent="0.25">
      <c r="A1201" s="5">
        <v>17163</v>
      </c>
      <c r="B1201" s="5" t="s">
        <v>2896</v>
      </c>
      <c r="C1201" s="5" t="s">
        <v>2897</v>
      </c>
      <c r="D1201" s="5" t="s">
        <v>84</v>
      </c>
      <c r="E1201" s="5" t="s">
        <v>93</v>
      </c>
    </row>
    <row r="1202" spans="1:5" x14ac:dyDescent="0.25">
      <c r="A1202" s="5">
        <v>15046</v>
      </c>
      <c r="B1202" s="5" t="s">
        <v>2898</v>
      </c>
      <c r="C1202" s="5" t="s">
        <v>2899</v>
      </c>
      <c r="D1202" s="5" t="s">
        <v>2900</v>
      </c>
      <c r="E1202" s="5" t="s">
        <v>81</v>
      </c>
    </row>
    <row r="1203" spans="1:5" x14ac:dyDescent="0.25">
      <c r="A1203" s="5">
        <v>15012</v>
      </c>
      <c r="B1203" s="5" t="s">
        <v>2901</v>
      </c>
      <c r="C1203" s="5" t="s">
        <v>2902</v>
      </c>
      <c r="D1203" s="5" t="s">
        <v>84</v>
      </c>
      <c r="E1203" s="5" t="s">
        <v>479</v>
      </c>
    </row>
    <row r="1204" spans="1:5" x14ac:dyDescent="0.25">
      <c r="A1204" s="5">
        <v>19133</v>
      </c>
      <c r="B1204" s="5" t="s">
        <v>2903</v>
      </c>
      <c r="C1204" s="5" t="s">
        <v>2904</v>
      </c>
      <c r="D1204" s="5" t="s">
        <v>2905</v>
      </c>
      <c r="E1204" s="5" t="s">
        <v>110</v>
      </c>
    </row>
    <row r="1205" spans="1:5" x14ac:dyDescent="0.25">
      <c r="A1205" s="5">
        <v>11012</v>
      </c>
      <c r="B1205" s="5" t="s">
        <v>2906</v>
      </c>
      <c r="C1205" s="5" t="s">
        <v>2907</v>
      </c>
      <c r="D1205" s="5" t="s">
        <v>2908</v>
      </c>
      <c r="E1205" s="5" t="s">
        <v>72</v>
      </c>
    </row>
    <row r="1206" spans="1:5" x14ac:dyDescent="0.25">
      <c r="A1206" s="5">
        <v>18009</v>
      </c>
      <c r="B1206" s="5" t="s">
        <v>2909</v>
      </c>
      <c r="C1206" s="5" t="s">
        <v>2910</v>
      </c>
      <c r="D1206" s="5" t="s">
        <v>685</v>
      </c>
      <c r="E1206" s="5" t="s">
        <v>117</v>
      </c>
    </row>
    <row r="1207" spans="1:5" x14ac:dyDescent="0.25">
      <c r="A1207" s="5">
        <v>12001</v>
      </c>
      <c r="B1207" s="5" t="s">
        <v>2911</v>
      </c>
      <c r="C1207" s="5" t="s">
        <v>2912</v>
      </c>
      <c r="D1207" s="5" t="s">
        <v>552</v>
      </c>
      <c r="E1207" s="5" t="s">
        <v>224</v>
      </c>
    </row>
    <row r="1208" spans="1:5" x14ac:dyDescent="0.25">
      <c r="A1208" s="5">
        <v>18056</v>
      </c>
      <c r="B1208" s="5" t="s">
        <v>2913</v>
      </c>
      <c r="C1208" s="5" t="s">
        <v>2914</v>
      </c>
      <c r="D1208" s="5" t="s">
        <v>2915</v>
      </c>
      <c r="E1208" s="5" t="s">
        <v>89</v>
      </c>
    </row>
    <row r="1209" spans="1:5" x14ac:dyDescent="0.25">
      <c r="A1209" s="5">
        <v>17195</v>
      </c>
      <c r="B1209" s="5" t="s">
        <v>2916</v>
      </c>
      <c r="C1209" s="5" t="s">
        <v>2917</v>
      </c>
      <c r="D1209" s="5" t="s">
        <v>1325</v>
      </c>
      <c r="E1209" s="5" t="s">
        <v>97</v>
      </c>
    </row>
    <row r="1210" spans="1:5" x14ac:dyDescent="0.25">
      <c r="A1210" s="5">
        <v>12055</v>
      </c>
      <c r="B1210" s="5" t="s">
        <v>2918</v>
      </c>
      <c r="C1210" s="5" t="s">
        <v>2919</v>
      </c>
      <c r="D1210" s="5" t="s">
        <v>729</v>
      </c>
      <c r="E1210" s="5" t="s">
        <v>153</v>
      </c>
    </row>
    <row r="1211" spans="1:5" x14ac:dyDescent="0.25">
      <c r="A1211" s="5">
        <v>18102</v>
      </c>
      <c r="B1211" s="5" t="s">
        <v>2920</v>
      </c>
      <c r="C1211" s="5" t="s">
        <v>2921</v>
      </c>
      <c r="D1211" s="5" t="s">
        <v>2922</v>
      </c>
      <c r="E1211" s="5" t="s">
        <v>89</v>
      </c>
    </row>
    <row r="1212" spans="1:5" x14ac:dyDescent="0.25">
      <c r="A1212" s="5">
        <v>28135</v>
      </c>
      <c r="B1212" s="5" t="s">
        <v>2923</v>
      </c>
      <c r="C1212" s="5" t="s">
        <v>2924</v>
      </c>
      <c r="D1212" s="5" t="s">
        <v>2925</v>
      </c>
      <c r="E1212" s="5" t="s">
        <v>479</v>
      </c>
    </row>
    <row r="1213" spans="1:5" x14ac:dyDescent="0.25">
      <c r="A1213" s="5" t="s">
        <v>74</v>
      </c>
      <c r="B1213" s="5" t="s">
        <v>2926</v>
      </c>
      <c r="C1213" s="5" t="s">
        <v>2927</v>
      </c>
      <c r="D1213" s="5" t="s">
        <v>74</v>
      </c>
      <c r="E1213" s="5" t="s">
        <v>74</v>
      </c>
    </row>
    <row r="1214" spans="1:5" x14ac:dyDescent="0.25">
      <c r="A1214" s="5" t="s">
        <v>74</v>
      </c>
      <c r="B1214" s="5" t="s">
        <v>2928</v>
      </c>
      <c r="C1214" s="5" t="s">
        <v>2929</v>
      </c>
      <c r="D1214" s="5" t="s">
        <v>74</v>
      </c>
      <c r="E1214" s="5" t="s">
        <v>74</v>
      </c>
    </row>
    <row r="1215" spans="1:5" x14ac:dyDescent="0.25">
      <c r="A1215" s="5">
        <v>13203</v>
      </c>
      <c r="B1215" s="5" t="s">
        <v>2930</v>
      </c>
      <c r="C1215" s="5" t="s">
        <v>2931</v>
      </c>
      <c r="D1215" s="5" t="s">
        <v>2166</v>
      </c>
      <c r="E1215" s="5" t="s">
        <v>72</v>
      </c>
    </row>
    <row r="1216" spans="1:5" x14ac:dyDescent="0.25">
      <c r="A1216" s="5">
        <v>19166</v>
      </c>
      <c r="B1216" s="5" t="s">
        <v>2932</v>
      </c>
      <c r="C1216" s="5" t="s">
        <v>2933</v>
      </c>
      <c r="D1216" s="5" t="s">
        <v>386</v>
      </c>
      <c r="E1216" s="5" t="s">
        <v>89</v>
      </c>
    </row>
    <row r="1217" spans="1:5" x14ac:dyDescent="0.25">
      <c r="A1217" s="5">
        <v>13213</v>
      </c>
      <c r="B1217" s="5" t="s">
        <v>2934</v>
      </c>
      <c r="C1217" s="5" t="s">
        <v>2935</v>
      </c>
      <c r="D1217" s="5" t="s">
        <v>143</v>
      </c>
      <c r="E1217" s="5" t="s">
        <v>72</v>
      </c>
    </row>
    <row r="1218" spans="1:5" x14ac:dyDescent="0.25">
      <c r="A1218" s="5">
        <v>13018</v>
      </c>
      <c r="B1218" s="5" t="s">
        <v>2936</v>
      </c>
      <c r="C1218" s="5" t="s">
        <v>2937</v>
      </c>
      <c r="D1218" s="5" t="s">
        <v>2938</v>
      </c>
      <c r="E1218" s="5" t="s">
        <v>117</v>
      </c>
    </row>
    <row r="1219" spans="1:5" x14ac:dyDescent="0.25">
      <c r="A1219" s="5">
        <v>13077</v>
      </c>
      <c r="B1219" s="5" t="s">
        <v>2939</v>
      </c>
      <c r="C1219" s="5" t="s">
        <v>2940</v>
      </c>
      <c r="D1219" s="5" t="s">
        <v>2941</v>
      </c>
      <c r="E1219" s="5" t="s">
        <v>117</v>
      </c>
    </row>
    <row r="1220" spans="1:5" x14ac:dyDescent="0.25">
      <c r="A1220" s="5">
        <v>22071</v>
      </c>
      <c r="B1220" s="5" t="s">
        <v>2942</v>
      </c>
      <c r="C1220" s="5" t="s">
        <v>2943</v>
      </c>
      <c r="D1220" s="5" t="s">
        <v>552</v>
      </c>
      <c r="E1220" s="5" t="s">
        <v>93</v>
      </c>
    </row>
    <row r="1221" spans="1:5" x14ac:dyDescent="0.25">
      <c r="A1221" s="5">
        <v>15113</v>
      </c>
      <c r="B1221" s="5" t="s">
        <v>2944</v>
      </c>
      <c r="C1221" s="5" t="s">
        <v>2945</v>
      </c>
      <c r="D1221" s="5" t="s">
        <v>96</v>
      </c>
      <c r="E1221" s="5" t="s">
        <v>110</v>
      </c>
    </row>
    <row r="1222" spans="1:5" x14ac:dyDescent="0.25">
      <c r="A1222" s="5">
        <v>14074</v>
      </c>
      <c r="B1222" s="5" t="s">
        <v>2946</v>
      </c>
      <c r="C1222" s="5" t="s">
        <v>2947</v>
      </c>
      <c r="D1222" s="5" t="s">
        <v>2948</v>
      </c>
      <c r="E1222" s="5" t="s">
        <v>312</v>
      </c>
    </row>
    <row r="1223" spans="1:5" x14ac:dyDescent="0.25">
      <c r="A1223" s="5">
        <v>14036</v>
      </c>
      <c r="B1223" s="5" t="s">
        <v>2949</v>
      </c>
      <c r="C1223" s="5" t="s">
        <v>2950</v>
      </c>
      <c r="D1223" s="5" t="s">
        <v>507</v>
      </c>
      <c r="E1223" s="5" t="s">
        <v>93</v>
      </c>
    </row>
    <row r="1224" spans="1:5" x14ac:dyDescent="0.25">
      <c r="A1224" s="5">
        <v>28037</v>
      </c>
      <c r="B1224" s="5" t="s">
        <v>2951</v>
      </c>
      <c r="C1224" s="5" t="s">
        <v>2952</v>
      </c>
      <c r="D1224" s="5" t="s">
        <v>1826</v>
      </c>
      <c r="E1224" s="5" t="s">
        <v>89</v>
      </c>
    </row>
    <row r="1225" spans="1:5" x14ac:dyDescent="0.25">
      <c r="A1225" s="5">
        <v>13027</v>
      </c>
      <c r="B1225" s="5" t="s">
        <v>2953</v>
      </c>
      <c r="C1225" s="5" t="s">
        <v>2954</v>
      </c>
      <c r="D1225" s="5" t="s">
        <v>2955</v>
      </c>
      <c r="E1225" s="5" t="s">
        <v>72</v>
      </c>
    </row>
    <row r="1226" spans="1:5" x14ac:dyDescent="0.25">
      <c r="A1226" s="5" t="s">
        <v>74</v>
      </c>
      <c r="B1226" s="5" t="s">
        <v>2956</v>
      </c>
      <c r="C1226" s="5" t="s">
        <v>2957</v>
      </c>
      <c r="D1226" s="5" t="s">
        <v>74</v>
      </c>
      <c r="E1226" s="5" t="s">
        <v>140</v>
      </c>
    </row>
    <row r="1227" spans="1:5" x14ac:dyDescent="0.25">
      <c r="A1227" s="5">
        <v>17165</v>
      </c>
      <c r="B1227" s="5" t="s">
        <v>2958</v>
      </c>
      <c r="C1227" s="5" t="s">
        <v>2959</v>
      </c>
      <c r="D1227" s="5" t="s">
        <v>847</v>
      </c>
      <c r="E1227" s="5" t="s">
        <v>211</v>
      </c>
    </row>
    <row r="1228" spans="1:5" x14ac:dyDescent="0.25">
      <c r="A1228" s="5" t="s">
        <v>74</v>
      </c>
      <c r="B1228" s="5" t="s">
        <v>2960</v>
      </c>
      <c r="C1228" s="5" t="s">
        <v>2961</v>
      </c>
      <c r="D1228" s="5" t="s">
        <v>74</v>
      </c>
      <c r="E1228" s="5" t="s">
        <v>74</v>
      </c>
    </row>
    <row r="1229" spans="1:5" x14ac:dyDescent="0.25">
      <c r="A1229" s="5">
        <v>18116</v>
      </c>
      <c r="B1229" s="5" t="s">
        <v>2962</v>
      </c>
      <c r="C1229" s="5" t="s">
        <v>2963</v>
      </c>
      <c r="D1229" s="5" t="s">
        <v>2964</v>
      </c>
      <c r="E1229" s="5" t="s">
        <v>188</v>
      </c>
    </row>
    <row r="1230" spans="1:5" x14ac:dyDescent="0.25">
      <c r="A1230" s="5">
        <v>18226</v>
      </c>
      <c r="B1230" s="5" t="s">
        <v>2965</v>
      </c>
      <c r="C1230" s="5" t="s">
        <v>2966</v>
      </c>
      <c r="D1230" s="5" t="s">
        <v>1778</v>
      </c>
      <c r="E1230" s="5" t="s">
        <v>1668</v>
      </c>
    </row>
    <row r="1231" spans="1:5" x14ac:dyDescent="0.25">
      <c r="A1231" s="5">
        <v>13241</v>
      </c>
      <c r="B1231" s="5" t="s">
        <v>2967</v>
      </c>
      <c r="C1231" s="5" t="s">
        <v>2968</v>
      </c>
      <c r="D1231" s="5" t="s">
        <v>2166</v>
      </c>
      <c r="E1231" s="5" t="s">
        <v>72</v>
      </c>
    </row>
    <row r="1232" spans="1:5" x14ac:dyDescent="0.25">
      <c r="A1232" s="5">
        <v>16079</v>
      </c>
      <c r="B1232" s="5" t="s">
        <v>2969</v>
      </c>
      <c r="C1232" s="5" t="s">
        <v>2970</v>
      </c>
      <c r="D1232" s="5" t="s">
        <v>2971</v>
      </c>
      <c r="E1232" s="5" t="s">
        <v>72</v>
      </c>
    </row>
    <row r="1233" spans="1:5" x14ac:dyDescent="0.25">
      <c r="A1233" s="5">
        <v>18240</v>
      </c>
      <c r="B1233" s="5" t="s">
        <v>2972</v>
      </c>
      <c r="C1233" s="5" t="s">
        <v>2973</v>
      </c>
      <c r="D1233" s="5" t="s">
        <v>2974</v>
      </c>
      <c r="E1233" s="5" t="s">
        <v>188</v>
      </c>
    </row>
    <row r="1234" spans="1:5" x14ac:dyDescent="0.25">
      <c r="A1234" s="5">
        <v>18208</v>
      </c>
      <c r="B1234" s="5" t="s">
        <v>2975</v>
      </c>
      <c r="C1234" s="5" t="s">
        <v>2976</v>
      </c>
      <c r="D1234" s="5" t="s">
        <v>1778</v>
      </c>
      <c r="E1234" s="5" t="s">
        <v>1668</v>
      </c>
    </row>
    <row r="1235" spans="1:5" x14ac:dyDescent="0.25">
      <c r="A1235" s="5">
        <v>10056</v>
      </c>
      <c r="B1235" s="5" t="s">
        <v>2977</v>
      </c>
      <c r="C1235" s="5" t="s">
        <v>2978</v>
      </c>
      <c r="D1235" s="5" t="s">
        <v>335</v>
      </c>
      <c r="E1235" s="5" t="s">
        <v>89</v>
      </c>
    </row>
    <row r="1236" spans="1:5" x14ac:dyDescent="0.25">
      <c r="A1236" s="5">
        <v>98080</v>
      </c>
      <c r="B1236" s="5" t="s">
        <v>2979</v>
      </c>
      <c r="C1236" s="5" t="s">
        <v>2980</v>
      </c>
      <c r="D1236" s="5" t="s">
        <v>2981</v>
      </c>
      <c r="E1236" s="5" t="s">
        <v>81</v>
      </c>
    </row>
    <row r="1237" spans="1:5" x14ac:dyDescent="0.25">
      <c r="A1237" s="5" t="s">
        <v>74</v>
      </c>
      <c r="B1237" s="5" t="s">
        <v>2982</v>
      </c>
      <c r="C1237" s="5" t="s">
        <v>2983</v>
      </c>
      <c r="D1237" s="5" t="s">
        <v>74</v>
      </c>
      <c r="E1237" s="5" t="s">
        <v>74</v>
      </c>
    </row>
    <row r="1238" spans="1:5" x14ac:dyDescent="0.25">
      <c r="A1238" s="5">
        <v>19090</v>
      </c>
      <c r="B1238" s="5" t="s">
        <v>2984</v>
      </c>
      <c r="C1238" s="5" t="s">
        <v>2985</v>
      </c>
      <c r="D1238" s="5" t="s">
        <v>1458</v>
      </c>
      <c r="E1238" s="5" t="s">
        <v>312</v>
      </c>
    </row>
    <row r="1239" spans="1:5" x14ac:dyDescent="0.25">
      <c r="A1239" s="5" t="s">
        <v>74</v>
      </c>
      <c r="B1239" s="5" t="s">
        <v>2986</v>
      </c>
      <c r="C1239" s="5" t="s">
        <v>2987</v>
      </c>
      <c r="D1239" s="5" t="s">
        <v>74</v>
      </c>
      <c r="E1239" s="5" t="s">
        <v>74</v>
      </c>
    </row>
    <row r="1240" spans="1:5" x14ac:dyDescent="0.25">
      <c r="A1240" s="5">
        <v>18237</v>
      </c>
      <c r="B1240" s="5" t="s">
        <v>2988</v>
      </c>
      <c r="C1240" s="5" t="s">
        <v>2989</v>
      </c>
      <c r="D1240" s="5" t="s">
        <v>191</v>
      </c>
      <c r="E1240" s="5" t="s">
        <v>97</v>
      </c>
    </row>
    <row r="1241" spans="1:5" x14ac:dyDescent="0.25">
      <c r="A1241" s="5">
        <v>27040</v>
      </c>
      <c r="B1241" s="5" t="s">
        <v>2990</v>
      </c>
      <c r="C1241" s="5" t="s">
        <v>2991</v>
      </c>
      <c r="D1241" s="5" t="s">
        <v>501</v>
      </c>
      <c r="E1241" s="5" t="s">
        <v>89</v>
      </c>
    </row>
    <row r="1242" spans="1:5" x14ac:dyDescent="0.25">
      <c r="A1242" s="5" t="s">
        <v>74</v>
      </c>
      <c r="B1242" s="5" t="s">
        <v>2992</v>
      </c>
      <c r="C1242" s="5" t="s">
        <v>2993</v>
      </c>
      <c r="D1242" s="5" t="s">
        <v>74</v>
      </c>
      <c r="E1242" s="5" t="s">
        <v>74</v>
      </c>
    </row>
    <row r="1243" spans="1:5" x14ac:dyDescent="0.25">
      <c r="A1243" s="5" t="s">
        <v>74</v>
      </c>
      <c r="B1243" s="5" t="s">
        <v>2994</v>
      </c>
      <c r="C1243" s="5" t="s">
        <v>2995</v>
      </c>
      <c r="D1243" s="5" t="s">
        <v>74</v>
      </c>
      <c r="E1243" s="5" t="s">
        <v>74</v>
      </c>
    </row>
    <row r="1244" spans="1:5" x14ac:dyDescent="0.25">
      <c r="A1244" s="5" t="s">
        <v>74</v>
      </c>
      <c r="B1244" s="5" t="s">
        <v>2996</v>
      </c>
      <c r="C1244" s="5" t="s">
        <v>2997</v>
      </c>
      <c r="D1244" s="5" t="s">
        <v>74</v>
      </c>
      <c r="E1244" s="5" t="s">
        <v>74</v>
      </c>
    </row>
    <row r="1245" spans="1:5" x14ac:dyDescent="0.25">
      <c r="A1245" s="5" t="s">
        <v>74</v>
      </c>
      <c r="B1245" s="5" t="s">
        <v>2998</v>
      </c>
      <c r="C1245" s="5" t="s">
        <v>2999</v>
      </c>
      <c r="D1245" s="5" t="s">
        <v>74</v>
      </c>
      <c r="E1245" s="5" t="s">
        <v>74</v>
      </c>
    </row>
    <row r="1246" spans="1:5" x14ac:dyDescent="0.25">
      <c r="A1246" s="5" t="s">
        <v>74</v>
      </c>
      <c r="B1246" s="5" t="s">
        <v>3000</v>
      </c>
      <c r="C1246" s="5" t="s">
        <v>3001</v>
      </c>
      <c r="D1246" s="5" t="s">
        <v>74</v>
      </c>
      <c r="E1246" s="5" t="s">
        <v>74</v>
      </c>
    </row>
    <row r="1247" spans="1:5" x14ac:dyDescent="0.25">
      <c r="A1247" s="5" t="s">
        <v>74</v>
      </c>
      <c r="B1247" s="5" t="s">
        <v>3002</v>
      </c>
      <c r="C1247" s="5" t="s">
        <v>3003</v>
      </c>
      <c r="D1247" s="5" t="s">
        <v>74</v>
      </c>
      <c r="E1247" s="5" t="s">
        <v>74</v>
      </c>
    </row>
    <row r="1248" spans="1:5" x14ac:dyDescent="0.25">
      <c r="A1248" s="5" t="s">
        <v>74</v>
      </c>
      <c r="B1248" s="5" t="s">
        <v>3004</v>
      </c>
      <c r="C1248" s="5" t="s">
        <v>3005</v>
      </c>
      <c r="D1248" s="5" t="s">
        <v>74</v>
      </c>
      <c r="E1248" s="5" t="s">
        <v>74</v>
      </c>
    </row>
    <row r="1249" spans="1:5" x14ac:dyDescent="0.25">
      <c r="A1249" s="5">
        <v>15099</v>
      </c>
      <c r="B1249" s="5" t="s">
        <v>3006</v>
      </c>
      <c r="C1249" s="5" t="s">
        <v>3007</v>
      </c>
      <c r="D1249" s="5" t="s">
        <v>3008</v>
      </c>
      <c r="E1249" s="5" t="s">
        <v>188</v>
      </c>
    </row>
    <row r="1250" spans="1:5" x14ac:dyDescent="0.25">
      <c r="A1250" s="5">
        <v>19212</v>
      </c>
      <c r="B1250" s="5" t="s">
        <v>3009</v>
      </c>
      <c r="C1250" s="5" t="s">
        <v>3010</v>
      </c>
      <c r="D1250" s="5" t="s">
        <v>386</v>
      </c>
      <c r="E1250" s="5" t="s">
        <v>3011</v>
      </c>
    </row>
    <row r="1251" spans="1:5" x14ac:dyDescent="0.25">
      <c r="A1251" s="5" t="s">
        <v>74</v>
      </c>
      <c r="B1251" s="5" t="s">
        <v>3012</v>
      </c>
      <c r="C1251" s="5" t="s">
        <v>3013</v>
      </c>
      <c r="D1251" s="5" t="s">
        <v>74</v>
      </c>
      <c r="E1251" s="5" t="s">
        <v>74</v>
      </c>
    </row>
    <row r="1252" spans="1:5" x14ac:dyDescent="0.25">
      <c r="A1252" s="5" t="s">
        <v>74</v>
      </c>
      <c r="B1252" s="5" t="s">
        <v>3014</v>
      </c>
      <c r="C1252" s="5" t="s">
        <v>3015</v>
      </c>
      <c r="D1252" s="5" t="s">
        <v>74</v>
      </c>
      <c r="E1252" s="5" t="s">
        <v>74</v>
      </c>
    </row>
    <row r="1253" spans="1:5" x14ac:dyDescent="0.25">
      <c r="A1253" s="5" t="s">
        <v>74</v>
      </c>
      <c r="B1253" s="5" t="s">
        <v>3016</v>
      </c>
      <c r="C1253" s="5" t="s">
        <v>3017</v>
      </c>
      <c r="D1253" s="5" t="s">
        <v>74</v>
      </c>
      <c r="E1253" s="5" t="s">
        <v>74</v>
      </c>
    </row>
    <row r="1254" spans="1:5" x14ac:dyDescent="0.25">
      <c r="A1254" s="5" t="s">
        <v>74</v>
      </c>
      <c r="B1254" s="5" t="s">
        <v>3018</v>
      </c>
      <c r="C1254" s="5" t="s">
        <v>3019</v>
      </c>
      <c r="D1254" s="5" t="s">
        <v>3020</v>
      </c>
      <c r="E1254" s="5" t="s">
        <v>97</v>
      </c>
    </row>
    <row r="1255" spans="1:5" x14ac:dyDescent="0.25">
      <c r="A1255" s="5">
        <v>14046</v>
      </c>
      <c r="B1255" s="5" t="s">
        <v>3021</v>
      </c>
      <c r="C1255" s="5" t="s">
        <v>3022</v>
      </c>
      <c r="D1255" s="5" t="s">
        <v>408</v>
      </c>
      <c r="E1255" s="5" t="s">
        <v>89</v>
      </c>
    </row>
    <row r="1256" spans="1:5" x14ac:dyDescent="0.25">
      <c r="A1256" s="5" t="s">
        <v>74</v>
      </c>
      <c r="B1256" s="5" t="s">
        <v>3023</v>
      </c>
      <c r="C1256" s="5" t="s">
        <v>3024</v>
      </c>
      <c r="D1256" s="5" t="s">
        <v>74</v>
      </c>
      <c r="E1256" s="5" t="s">
        <v>72</v>
      </c>
    </row>
    <row r="1257" spans="1:5" x14ac:dyDescent="0.25">
      <c r="A1257" s="5" t="s">
        <v>74</v>
      </c>
      <c r="B1257" s="5" t="s">
        <v>3025</v>
      </c>
      <c r="C1257" s="5" t="s">
        <v>3026</v>
      </c>
      <c r="D1257" s="5" t="s">
        <v>74</v>
      </c>
      <c r="E1257" s="5" t="s">
        <v>74</v>
      </c>
    </row>
    <row r="1258" spans="1:5" x14ac:dyDescent="0.25">
      <c r="A1258" s="5" t="s">
        <v>74</v>
      </c>
      <c r="B1258" s="5" t="s">
        <v>3027</v>
      </c>
      <c r="C1258" s="5" t="s">
        <v>3028</v>
      </c>
      <c r="D1258" s="5" t="s">
        <v>585</v>
      </c>
      <c r="E1258" s="5" t="s">
        <v>181</v>
      </c>
    </row>
    <row r="1259" spans="1:5" x14ac:dyDescent="0.25">
      <c r="A1259" s="5">
        <v>17197</v>
      </c>
      <c r="B1259" s="5" t="s">
        <v>3029</v>
      </c>
      <c r="C1259" s="5" t="s">
        <v>3030</v>
      </c>
      <c r="D1259" s="5" t="s">
        <v>3031</v>
      </c>
      <c r="E1259" s="5" t="s">
        <v>211</v>
      </c>
    </row>
    <row r="1260" spans="1:5" x14ac:dyDescent="0.25">
      <c r="A1260" s="5">
        <v>18198</v>
      </c>
      <c r="B1260" s="5" t="s">
        <v>3032</v>
      </c>
      <c r="C1260" s="5" t="s">
        <v>3033</v>
      </c>
      <c r="D1260" s="5" t="s">
        <v>3034</v>
      </c>
      <c r="E1260" s="5" t="s">
        <v>188</v>
      </c>
    </row>
    <row r="1261" spans="1:5" x14ac:dyDescent="0.25">
      <c r="A1261" s="5" t="s">
        <v>74</v>
      </c>
      <c r="B1261" s="5" t="s">
        <v>3035</v>
      </c>
      <c r="C1261" s="5" t="s">
        <v>3036</v>
      </c>
      <c r="D1261" s="5" t="s">
        <v>1177</v>
      </c>
      <c r="E1261" s="5" t="s">
        <v>89</v>
      </c>
    </row>
    <row r="1262" spans="1:5" x14ac:dyDescent="0.25">
      <c r="A1262" s="5">
        <v>19237</v>
      </c>
      <c r="B1262" s="5" t="s">
        <v>3037</v>
      </c>
      <c r="C1262" s="5" t="s">
        <v>3038</v>
      </c>
      <c r="D1262" s="5" t="s">
        <v>376</v>
      </c>
      <c r="E1262" s="5" t="s">
        <v>89</v>
      </c>
    </row>
    <row r="1263" spans="1:5" x14ac:dyDescent="0.25">
      <c r="A1263" s="5">
        <v>14018</v>
      </c>
      <c r="B1263" s="5" t="s">
        <v>3039</v>
      </c>
      <c r="C1263" s="5" t="s">
        <v>3040</v>
      </c>
      <c r="D1263" s="5" t="s">
        <v>3041</v>
      </c>
      <c r="E1263" s="5" t="s">
        <v>117</v>
      </c>
    </row>
    <row r="1264" spans="1:5" x14ac:dyDescent="0.25">
      <c r="A1264" s="5" t="s">
        <v>74</v>
      </c>
      <c r="B1264" s="5" t="s">
        <v>3042</v>
      </c>
      <c r="C1264" s="5" t="s">
        <v>3043</v>
      </c>
      <c r="D1264" s="5" t="s">
        <v>74</v>
      </c>
      <c r="E1264" s="5" t="s">
        <v>74</v>
      </c>
    </row>
    <row r="1265" spans="1:5" x14ac:dyDescent="0.25">
      <c r="A1265" s="5">
        <v>17057</v>
      </c>
      <c r="B1265" s="5" t="s">
        <v>3044</v>
      </c>
      <c r="C1265" s="5" t="s">
        <v>3045</v>
      </c>
      <c r="D1265" s="5" t="s">
        <v>146</v>
      </c>
      <c r="E1265" s="5" t="s">
        <v>117</v>
      </c>
    </row>
    <row r="1266" spans="1:5" x14ac:dyDescent="0.25">
      <c r="A1266" s="5">
        <v>19018</v>
      </c>
      <c r="B1266" s="5" t="s">
        <v>3046</v>
      </c>
      <c r="C1266" s="5" t="s">
        <v>3047</v>
      </c>
      <c r="D1266" s="5" t="s">
        <v>3048</v>
      </c>
      <c r="E1266" s="5" t="s">
        <v>181</v>
      </c>
    </row>
    <row r="1267" spans="1:5" x14ac:dyDescent="0.25">
      <c r="A1267" s="5">
        <v>19209</v>
      </c>
      <c r="B1267" s="5" t="s">
        <v>3049</v>
      </c>
      <c r="C1267" s="5" t="s">
        <v>3050</v>
      </c>
      <c r="D1267" s="5" t="s">
        <v>1464</v>
      </c>
      <c r="E1267" s="5" t="s">
        <v>181</v>
      </c>
    </row>
    <row r="1268" spans="1:5" x14ac:dyDescent="0.25">
      <c r="A1268" s="5" t="s">
        <v>74</v>
      </c>
      <c r="B1268" s="5" t="s">
        <v>3051</v>
      </c>
      <c r="C1268" s="5" t="s">
        <v>3052</v>
      </c>
      <c r="D1268" s="5" t="s">
        <v>74</v>
      </c>
      <c r="E1268" s="5" t="s">
        <v>74</v>
      </c>
    </row>
    <row r="1269" spans="1:5" x14ac:dyDescent="0.25">
      <c r="A1269" s="5">
        <v>14171</v>
      </c>
      <c r="B1269" s="5" t="s">
        <v>3053</v>
      </c>
      <c r="C1269" s="5" t="s">
        <v>3054</v>
      </c>
      <c r="D1269" s="5" t="s">
        <v>3055</v>
      </c>
      <c r="E1269" s="5" t="s">
        <v>51</v>
      </c>
    </row>
    <row r="1270" spans="1:5" x14ac:dyDescent="0.25">
      <c r="A1270" s="5">
        <v>17025</v>
      </c>
      <c r="B1270" s="5" t="s">
        <v>3056</v>
      </c>
      <c r="C1270" s="5" t="s">
        <v>3057</v>
      </c>
      <c r="D1270" s="5" t="s">
        <v>475</v>
      </c>
      <c r="E1270" s="5" t="s">
        <v>110</v>
      </c>
    </row>
    <row r="1271" spans="1:5" x14ac:dyDescent="0.25">
      <c r="A1271" s="5">
        <v>19160</v>
      </c>
      <c r="B1271" s="5" t="s">
        <v>3058</v>
      </c>
      <c r="C1271" s="5" t="s">
        <v>3059</v>
      </c>
      <c r="D1271" s="5" t="s">
        <v>143</v>
      </c>
      <c r="E1271" s="5" t="s">
        <v>181</v>
      </c>
    </row>
    <row r="1272" spans="1:5" x14ac:dyDescent="0.25">
      <c r="A1272" s="5">
        <v>27141</v>
      </c>
      <c r="B1272" s="5" t="s">
        <v>3060</v>
      </c>
      <c r="C1272" s="5" t="s">
        <v>3061</v>
      </c>
      <c r="D1272" s="5" t="s">
        <v>3062</v>
      </c>
      <c r="E1272" s="5" t="s">
        <v>140</v>
      </c>
    </row>
    <row r="1273" spans="1:5" x14ac:dyDescent="0.25">
      <c r="A1273" s="5" t="s">
        <v>74</v>
      </c>
      <c r="B1273" s="5" t="s">
        <v>3063</v>
      </c>
      <c r="C1273" s="5" t="s">
        <v>3064</v>
      </c>
      <c r="D1273" s="5" t="s">
        <v>74</v>
      </c>
      <c r="E1273" s="5" t="s">
        <v>74</v>
      </c>
    </row>
    <row r="1274" spans="1:5" x14ac:dyDescent="0.25">
      <c r="A1274" s="5" t="s">
        <v>74</v>
      </c>
      <c r="B1274" s="5" t="s">
        <v>3065</v>
      </c>
      <c r="C1274" s="5" t="s">
        <v>3066</v>
      </c>
      <c r="D1274" s="5" t="s">
        <v>74</v>
      </c>
      <c r="E1274" s="5" t="s">
        <v>74</v>
      </c>
    </row>
    <row r="1275" spans="1:5" x14ac:dyDescent="0.25">
      <c r="A1275" s="5" t="s">
        <v>74</v>
      </c>
      <c r="B1275" s="5" t="s">
        <v>3067</v>
      </c>
      <c r="C1275" s="5" t="s">
        <v>3068</v>
      </c>
      <c r="D1275" s="5" t="s">
        <v>74</v>
      </c>
      <c r="E1275" s="5" t="s">
        <v>74</v>
      </c>
    </row>
    <row r="1276" spans="1:5" x14ac:dyDescent="0.25">
      <c r="A1276" s="5">
        <v>26149</v>
      </c>
      <c r="B1276" s="5" t="s">
        <v>3069</v>
      </c>
      <c r="C1276" s="5" t="s">
        <v>3070</v>
      </c>
      <c r="D1276" s="5" t="s">
        <v>3071</v>
      </c>
      <c r="E1276" s="5" t="s">
        <v>348</v>
      </c>
    </row>
    <row r="1277" spans="1:5" x14ac:dyDescent="0.25">
      <c r="A1277" s="5">
        <v>18224</v>
      </c>
      <c r="B1277" s="5" t="s">
        <v>3072</v>
      </c>
      <c r="C1277" s="5" t="s">
        <v>3073</v>
      </c>
      <c r="D1277" s="5" t="s">
        <v>1167</v>
      </c>
      <c r="E1277" s="5" t="s">
        <v>72</v>
      </c>
    </row>
    <row r="1278" spans="1:5" x14ac:dyDescent="0.25">
      <c r="A1278" s="5">
        <v>29003</v>
      </c>
      <c r="B1278" s="5" t="s">
        <v>3074</v>
      </c>
      <c r="C1278" s="5" t="s">
        <v>3075</v>
      </c>
      <c r="D1278" s="5" t="s">
        <v>475</v>
      </c>
      <c r="E1278" s="5" t="s">
        <v>479</v>
      </c>
    </row>
    <row r="1279" spans="1:5" x14ac:dyDescent="0.25">
      <c r="A1279" s="5">
        <v>18179</v>
      </c>
      <c r="B1279" s="5" t="s">
        <v>3076</v>
      </c>
      <c r="C1279" s="5" t="s">
        <v>3077</v>
      </c>
      <c r="D1279" s="5" t="s">
        <v>533</v>
      </c>
      <c r="E1279" s="5" t="s">
        <v>348</v>
      </c>
    </row>
    <row r="1280" spans="1:5" x14ac:dyDescent="0.25">
      <c r="A1280" s="5">
        <v>15097</v>
      </c>
      <c r="B1280" s="5" t="s">
        <v>3078</v>
      </c>
      <c r="C1280" s="5" t="s">
        <v>3079</v>
      </c>
      <c r="D1280" s="5" t="s">
        <v>3080</v>
      </c>
      <c r="E1280" s="5" t="s">
        <v>89</v>
      </c>
    </row>
    <row r="1281" spans="1:5" x14ac:dyDescent="0.25">
      <c r="A1281" s="5" t="s">
        <v>74</v>
      </c>
      <c r="B1281" s="5" t="s">
        <v>3081</v>
      </c>
      <c r="C1281" s="5" t="s">
        <v>3082</v>
      </c>
      <c r="D1281" s="5" t="s">
        <v>74</v>
      </c>
      <c r="E1281" s="5" t="s">
        <v>72</v>
      </c>
    </row>
    <row r="1282" spans="1:5" x14ac:dyDescent="0.25">
      <c r="A1282" s="5">
        <v>14160</v>
      </c>
      <c r="B1282" s="5" t="s">
        <v>3083</v>
      </c>
      <c r="C1282" s="5" t="s">
        <v>3084</v>
      </c>
      <c r="D1282" s="5" t="s">
        <v>3085</v>
      </c>
      <c r="E1282" s="5" t="s">
        <v>72</v>
      </c>
    </row>
    <row r="1283" spans="1:5" x14ac:dyDescent="0.25">
      <c r="A1283" s="5" t="s">
        <v>74</v>
      </c>
      <c r="B1283" s="5" t="s">
        <v>3086</v>
      </c>
      <c r="C1283" s="5" t="s">
        <v>3087</v>
      </c>
      <c r="D1283" s="5" t="s">
        <v>74</v>
      </c>
      <c r="E1283" s="5" t="s">
        <v>74</v>
      </c>
    </row>
    <row r="1284" spans="1:5" x14ac:dyDescent="0.25">
      <c r="A1284" s="5" t="s">
        <v>74</v>
      </c>
      <c r="B1284" s="5" t="s">
        <v>3088</v>
      </c>
      <c r="C1284" s="5" t="s">
        <v>3089</v>
      </c>
      <c r="D1284" s="5" t="s">
        <v>74</v>
      </c>
      <c r="E1284" s="5" t="s">
        <v>74</v>
      </c>
    </row>
    <row r="1285" spans="1:5" x14ac:dyDescent="0.25">
      <c r="A1285" s="5">
        <v>19082</v>
      </c>
      <c r="B1285" s="5" t="s">
        <v>3090</v>
      </c>
      <c r="C1285" s="5" t="s">
        <v>3091</v>
      </c>
      <c r="D1285" s="5" t="s">
        <v>3092</v>
      </c>
      <c r="E1285" s="5" t="s">
        <v>81</v>
      </c>
    </row>
    <row r="1286" spans="1:5" x14ac:dyDescent="0.25">
      <c r="A1286" s="5">
        <v>13012</v>
      </c>
      <c r="B1286" s="5" t="s">
        <v>3093</v>
      </c>
      <c r="C1286" s="5" t="s">
        <v>3094</v>
      </c>
      <c r="D1286" s="5" t="s">
        <v>3095</v>
      </c>
      <c r="E1286" s="5" t="s">
        <v>51</v>
      </c>
    </row>
    <row r="1287" spans="1:5" x14ac:dyDescent="0.25">
      <c r="A1287" s="5">
        <v>99003</v>
      </c>
      <c r="B1287" s="5" t="s">
        <v>3096</v>
      </c>
      <c r="C1287" s="5" t="s">
        <v>3097</v>
      </c>
      <c r="D1287" s="5" t="s">
        <v>1109</v>
      </c>
      <c r="E1287" s="5" t="s">
        <v>3098</v>
      </c>
    </row>
    <row r="1288" spans="1:5" x14ac:dyDescent="0.25">
      <c r="A1288" s="5" t="s">
        <v>74</v>
      </c>
      <c r="B1288" s="5" t="s">
        <v>3099</v>
      </c>
      <c r="C1288" s="5" t="s">
        <v>3100</v>
      </c>
      <c r="D1288" s="5" t="s">
        <v>74</v>
      </c>
      <c r="E1288" s="5" t="s">
        <v>74</v>
      </c>
    </row>
    <row r="1289" spans="1:5" x14ac:dyDescent="0.25">
      <c r="A1289" s="5" t="s">
        <v>74</v>
      </c>
      <c r="B1289" s="5" t="s">
        <v>3101</v>
      </c>
      <c r="C1289" s="5" t="s">
        <v>3102</v>
      </c>
      <c r="D1289" s="5" t="s">
        <v>74</v>
      </c>
      <c r="E1289" s="5" t="s">
        <v>74</v>
      </c>
    </row>
    <row r="1290" spans="1:5" x14ac:dyDescent="0.25">
      <c r="A1290" s="5" t="s">
        <v>74</v>
      </c>
      <c r="B1290" s="5" t="s">
        <v>3103</v>
      </c>
      <c r="C1290" s="5" t="s">
        <v>3104</v>
      </c>
      <c r="D1290" s="5" t="s">
        <v>74</v>
      </c>
      <c r="E1290" s="5" t="s">
        <v>74</v>
      </c>
    </row>
    <row r="1291" spans="1:5" x14ac:dyDescent="0.25">
      <c r="A1291" s="5" t="s">
        <v>74</v>
      </c>
      <c r="B1291" s="5" t="s">
        <v>3105</v>
      </c>
      <c r="C1291" s="5" t="s">
        <v>3106</v>
      </c>
      <c r="D1291" s="5" t="s">
        <v>74</v>
      </c>
      <c r="E1291" s="5" t="s">
        <v>74</v>
      </c>
    </row>
    <row r="1292" spans="1:5" x14ac:dyDescent="0.25">
      <c r="A1292" s="5">
        <v>19125</v>
      </c>
      <c r="B1292" s="5" t="s">
        <v>3107</v>
      </c>
      <c r="C1292" s="5" t="s">
        <v>3108</v>
      </c>
      <c r="D1292" s="5" t="s">
        <v>3109</v>
      </c>
      <c r="E1292" s="5" t="s">
        <v>181</v>
      </c>
    </row>
    <row r="1293" spans="1:5" x14ac:dyDescent="0.25">
      <c r="A1293" s="5" t="s">
        <v>74</v>
      </c>
      <c r="B1293" s="5" t="s">
        <v>3110</v>
      </c>
      <c r="C1293" s="5" t="s">
        <v>3111</v>
      </c>
      <c r="D1293" s="5" t="s">
        <v>74</v>
      </c>
      <c r="E1293" s="5" t="s">
        <v>74</v>
      </c>
    </row>
    <row r="1294" spans="1:5" x14ac:dyDescent="0.25">
      <c r="A1294" s="5">
        <v>19156</v>
      </c>
      <c r="B1294" s="5" t="s">
        <v>3112</v>
      </c>
      <c r="C1294" s="5" t="s">
        <v>3113</v>
      </c>
      <c r="D1294" s="5" t="s">
        <v>3114</v>
      </c>
      <c r="E1294" s="5" t="s">
        <v>206</v>
      </c>
    </row>
    <row r="1295" spans="1:5" x14ac:dyDescent="0.25">
      <c r="A1295" s="5">
        <v>18245</v>
      </c>
      <c r="B1295" s="5" t="s">
        <v>3115</v>
      </c>
      <c r="C1295" s="5" t="s">
        <v>3116</v>
      </c>
      <c r="D1295" s="5" t="s">
        <v>393</v>
      </c>
      <c r="E1295" s="5" t="s">
        <v>89</v>
      </c>
    </row>
    <row r="1296" spans="1:5" x14ac:dyDescent="0.25">
      <c r="A1296" s="5">
        <v>13006</v>
      </c>
      <c r="B1296" s="5" t="s">
        <v>3117</v>
      </c>
      <c r="C1296" s="5" t="s">
        <v>3118</v>
      </c>
      <c r="D1296" s="5" t="s">
        <v>3119</v>
      </c>
      <c r="E1296" s="5" t="s">
        <v>188</v>
      </c>
    </row>
    <row r="1297" spans="1:5" x14ac:dyDescent="0.25">
      <c r="A1297" s="5">
        <v>17119</v>
      </c>
      <c r="B1297" s="5" t="s">
        <v>3120</v>
      </c>
      <c r="C1297" s="5" t="s">
        <v>3121</v>
      </c>
      <c r="D1297" s="5" t="s">
        <v>3122</v>
      </c>
      <c r="E1297" s="5" t="s">
        <v>211</v>
      </c>
    </row>
    <row r="1298" spans="1:5" x14ac:dyDescent="0.25">
      <c r="A1298" s="5">
        <v>16063</v>
      </c>
      <c r="B1298" s="5" t="s">
        <v>3123</v>
      </c>
      <c r="C1298" s="5" t="s">
        <v>3124</v>
      </c>
      <c r="D1298" s="5" t="s">
        <v>3125</v>
      </c>
      <c r="E1298" s="5" t="s">
        <v>211</v>
      </c>
    </row>
    <row r="1299" spans="1:5" x14ac:dyDescent="0.25">
      <c r="A1299" s="5">
        <v>18258</v>
      </c>
      <c r="B1299" s="5" t="s">
        <v>3126</v>
      </c>
      <c r="C1299" s="5" t="s">
        <v>3127</v>
      </c>
      <c r="D1299" s="5" t="s">
        <v>3128</v>
      </c>
      <c r="E1299" s="5" t="s">
        <v>51</v>
      </c>
    </row>
    <row r="1300" spans="1:5" x14ac:dyDescent="0.25">
      <c r="A1300" s="5" t="s">
        <v>74</v>
      </c>
      <c r="B1300" s="5" t="s">
        <v>3129</v>
      </c>
      <c r="C1300" s="5" t="s">
        <v>3130</v>
      </c>
      <c r="D1300" s="5" t="s">
        <v>74</v>
      </c>
      <c r="E1300" s="5" t="s">
        <v>74</v>
      </c>
    </row>
    <row r="1301" spans="1:5" x14ac:dyDescent="0.25">
      <c r="A1301" s="5" t="s">
        <v>74</v>
      </c>
      <c r="B1301" s="5" t="s">
        <v>3131</v>
      </c>
      <c r="C1301" s="5" t="s">
        <v>3132</v>
      </c>
      <c r="D1301" s="5" t="s">
        <v>74</v>
      </c>
      <c r="E1301" s="5" t="s">
        <v>74</v>
      </c>
    </row>
    <row r="1302" spans="1:5" x14ac:dyDescent="0.25">
      <c r="A1302" s="5" t="s">
        <v>74</v>
      </c>
      <c r="B1302" s="5" t="s">
        <v>3133</v>
      </c>
      <c r="C1302" s="5" t="s">
        <v>3134</v>
      </c>
      <c r="D1302" s="5" t="s">
        <v>74</v>
      </c>
      <c r="E1302" s="5" t="s">
        <v>74</v>
      </c>
    </row>
    <row r="1303" spans="1:5" x14ac:dyDescent="0.25">
      <c r="A1303" s="5" t="s">
        <v>74</v>
      </c>
      <c r="B1303" s="5" t="s">
        <v>3135</v>
      </c>
      <c r="C1303" s="5" t="s">
        <v>3136</v>
      </c>
      <c r="D1303" s="5" t="s">
        <v>74</v>
      </c>
      <c r="E1303" s="5" t="s">
        <v>74</v>
      </c>
    </row>
    <row r="1304" spans="1:5" x14ac:dyDescent="0.25">
      <c r="A1304" s="5" t="s">
        <v>74</v>
      </c>
      <c r="B1304" s="5" t="s">
        <v>3137</v>
      </c>
      <c r="C1304" s="5" t="s">
        <v>3138</v>
      </c>
      <c r="D1304" s="5" t="s">
        <v>74</v>
      </c>
      <c r="E1304" s="5" t="s">
        <v>74</v>
      </c>
    </row>
    <row r="1305" spans="1:5" x14ac:dyDescent="0.25">
      <c r="A1305" s="5" t="s">
        <v>74</v>
      </c>
      <c r="B1305" s="5" t="s">
        <v>3139</v>
      </c>
      <c r="C1305" s="5" t="s">
        <v>3140</v>
      </c>
      <c r="D1305" s="5" t="s">
        <v>74</v>
      </c>
      <c r="E1305" s="5" t="s">
        <v>74</v>
      </c>
    </row>
    <row r="1306" spans="1:5" x14ac:dyDescent="0.25">
      <c r="A1306" s="5">
        <v>12084</v>
      </c>
      <c r="B1306" s="5" t="s">
        <v>3141</v>
      </c>
      <c r="C1306" s="5" t="s">
        <v>3142</v>
      </c>
      <c r="D1306" s="5" t="s">
        <v>220</v>
      </c>
      <c r="E1306" s="5" t="s">
        <v>117</v>
      </c>
    </row>
    <row r="1307" spans="1:5" x14ac:dyDescent="0.25">
      <c r="A1307" s="5" t="s">
        <v>3144</v>
      </c>
      <c r="B1307" s="5" t="s">
        <v>3143</v>
      </c>
      <c r="C1307" s="5" t="s">
        <v>3145</v>
      </c>
      <c r="D1307" s="5" t="s">
        <v>191</v>
      </c>
      <c r="E1307" s="5" t="s">
        <v>97</v>
      </c>
    </row>
    <row r="1308" spans="1:5" x14ac:dyDescent="0.25">
      <c r="A1308" s="5" t="s">
        <v>74</v>
      </c>
      <c r="B1308" s="5" t="s">
        <v>3146</v>
      </c>
      <c r="C1308" s="5" t="s">
        <v>3147</v>
      </c>
      <c r="D1308" s="5" t="s">
        <v>74</v>
      </c>
      <c r="E1308" s="5" t="s">
        <v>74</v>
      </c>
    </row>
    <row r="1309" spans="1:5" x14ac:dyDescent="0.25">
      <c r="A1309" s="5" t="s">
        <v>74</v>
      </c>
      <c r="B1309" s="5" t="s">
        <v>3148</v>
      </c>
      <c r="C1309" s="5" t="s">
        <v>3149</v>
      </c>
      <c r="D1309" s="5" t="s">
        <v>74</v>
      </c>
      <c r="E1309" s="5" t="s">
        <v>74</v>
      </c>
    </row>
    <row r="1310" spans="1:5" x14ac:dyDescent="0.25">
      <c r="A1310" s="5">
        <v>17177</v>
      </c>
      <c r="B1310" s="5" t="s">
        <v>3150</v>
      </c>
      <c r="C1310" s="5" t="s">
        <v>3151</v>
      </c>
      <c r="D1310" s="5" t="s">
        <v>84</v>
      </c>
      <c r="E1310" s="5" t="s">
        <v>117</v>
      </c>
    </row>
    <row r="1311" spans="1:5" x14ac:dyDescent="0.25">
      <c r="A1311" s="5">
        <v>17068</v>
      </c>
      <c r="B1311" s="5" t="s">
        <v>3152</v>
      </c>
      <c r="C1311" s="5" t="s">
        <v>3153</v>
      </c>
      <c r="D1311" s="5" t="s">
        <v>2010</v>
      </c>
      <c r="E1311" s="5" t="s">
        <v>110</v>
      </c>
    </row>
    <row r="1312" spans="1:5" x14ac:dyDescent="0.25">
      <c r="A1312" s="5">
        <v>16163</v>
      </c>
      <c r="B1312" s="5" t="s">
        <v>3154</v>
      </c>
      <c r="C1312" s="5" t="s">
        <v>3155</v>
      </c>
      <c r="D1312" s="5" t="s">
        <v>3156</v>
      </c>
      <c r="E1312" s="5" t="s">
        <v>181</v>
      </c>
    </row>
    <row r="1313" spans="1:5" x14ac:dyDescent="0.25">
      <c r="A1313" s="5" t="s">
        <v>74</v>
      </c>
      <c r="B1313" s="5" t="s">
        <v>3157</v>
      </c>
      <c r="C1313" s="5" t="s">
        <v>3158</v>
      </c>
      <c r="D1313" s="5" t="s">
        <v>74</v>
      </c>
      <c r="E1313" s="5" t="s">
        <v>74</v>
      </c>
    </row>
    <row r="1314" spans="1:5" x14ac:dyDescent="0.25">
      <c r="A1314" s="5" t="s">
        <v>74</v>
      </c>
      <c r="B1314" s="5" t="s">
        <v>3159</v>
      </c>
      <c r="C1314" s="5" t="s">
        <v>3160</v>
      </c>
      <c r="D1314" s="5" t="s">
        <v>74</v>
      </c>
      <c r="E1314" s="5" t="s">
        <v>74</v>
      </c>
    </row>
    <row r="1315" spans="1:5" x14ac:dyDescent="0.25">
      <c r="A1315" s="5">
        <v>17076</v>
      </c>
      <c r="B1315" s="5" t="s">
        <v>3161</v>
      </c>
      <c r="C1315" s="5" t="s">
        <v>3162</v>
      </c>
      <c r="D1315" s="5" t="s">
        <v>191</v>
      </c>
      <c r="E1315" s="5" t="s">
        <v>72</v>
      </c>
    </row>
    <row r="1316" spans="1:5" x14ac:dyDescent="0.25">
      <c r="A1316" s="5">
        <v>19289</v>
      </c>
      <c r="B1316" s="5" t="s">
        <v>3163</v>
      </c>
      <c r="C1316" s="5" t="s">
        <v>3164</v>
      </c>
      <c r="D1316" s="5" t="s">
        <v>1148</v>
      </c>
      <c r="E1316" s="5" t="s">
        <v>206</v>
      </c>
    </row>
    <row r="1317" spans="1:5" x14ac:dyDescent="0.25">
      <c r="A1317" s="5">
        <v>19081</v>
      </c>
      <c r="B1317" s="5" t="s">
        <v>3165</v>
      </c>
      <c r="C1317" s="5" t="s">
        <v>3166</v>
      </c>
      <c r="D1317" s="5" t="s">
        <v>386</v>
      </c>
      <c r="E1317" s="5" t="s">
        <v>89</v>
      </c>
    </row>
    <row r="1318" spans="1:5" x14ac:dyDescent="0.25">
      <c r="A1318" s="5">
        <v>17114</v>
      </c>
      <c r="B1318" s="5" t="s">
        <v>3167</v>
      </c>
      <c r="C1318" s="5" t="s">
        <v>3168</v>
      </c>
      <c r="D1318" s="5" t="s">
        <v>3169</v>
      </c>
      <c r="E1318" s="5" t="s">
        <v>348</v>
      </c>
    </row>
    <row r="1319" spans="1:5" x14ac:dyDescent="0.25">
      <c r="A1319" s="5" t="s">
        <v>74</v>
      </c>
      <c r="B1319" s="5" t="s">
        <v>3170</v>
      </c>
      <c r="C1319" s="5" t="s">
        <v>3171</v>
      </c>
      <c r="D1319" s="5" t="s">
        <v>74</v>
      </c>
      <c r="E1319" s="5" t="s">
        <v>93</v>
      </c>
    </row>
    <row r="1320" spans="1:5" x14ac:dyDescent="0.25">
      <c r="A1320" s="5">
        <v>17089</v>
      </c>
      <c r="B1320" s="5" t="s">
        <v>3172</v>
      </c>
      <c r="C1320" s="5" t="s">
        <v>3173</v>
      </c>
      <c r="D1320" s="5" t="s">
        <v>3174</v>
      </c>
      <c r="E1320" s="5" t="s">
        <v>348</v>
      </c>
    </row>
    <row r="1321" spans="1:5" x14ac:dyDescent="0.25">
      <c r="A1321" s="5">
        <v>16003</v>
      </c>
      <c r="B1321" s="5" t="s">
        <v>3175</v>
      </c>
      <c r="C1321" s="5" t="s">
        <v>3176</v>
      </c>
      <c r="D1321" s="5" t="s">
        <v>1164</v>
      </c>
      <c r="E1321" s="5" t="s">
        <v>211</v>
      </c>
    </row>
    <row r="1322" spans="1:5" x14ac:dyDescent="0.25">
      <c r="A1322" s="5" t="s">
        <v>74</v>
      </c>
      <c r="B1322" s="5" t="s">
        <v>3177</v>
      </c>
      <c r="C1322" s="5" t="s">
        <v>3178</v>
      </c>
      <c r="D1322" s="5" t="s">
        <v>74</v>
      </c>
      <c r="E1322" s="5" t="s">
        <v>74</v>
      </c>
    </row>
    <row r="1323" spans="1:5" x14ac:dyDescent="0.25">
      <c r="A1323" s="5" t="s">
        <v>74</v>
      </c>
      <c r="B1323" s="5" t="s">
        <v>3179</v>
      </c>
      <c r="C1323" s="5" t="s">
        <v>3180</v>
      </c>
      <c r="D1323" s="5" t="s">
        <v>74</v>
      </c>
      <c r="E1323" s="5" t="s">
        <v>74</v>
      </c>
    </row>
    <row r="1324" spans="1:5" x14ac:dyDescent="0.25">
      <c r="A1324" s="5" t="s">
        <v>74</v>
      </c>
      <c r="B1324" s="5" t="s">
        <v>3181</v>
      </c>
      <c r="C1324" s="5" t="s">
        <v>3182</v>
      </c>
      <c r="D1324" s="5" t="s">
        <v>74</v>
      </c>
      <c r="E1324" s="5" t="s">
        <v>74</v>
      </c>
    </row>
    <row r="1325" spans="1:5" x14ac:dyDescent="0.25">
      <c r="A1325" s="5">
        <v>26166</v>
      </c>
      <c r="B1325" s="5" t="s">
        <v>3183</v>
      </c>
      <c r="C1325" s="5" t="s">
        <v>3184</v>
      </c>
      <c r="D1325" s="5" t="s">
        <v>579</v>
      </c>
      <c r="E1325" s="5" t="s">
        <v>188</v>
      </c>
    </row>
    <row r="1326" spans="1:5" x14ac:dyDescent="0.25">
      <c r="A1326" s="5">
        <v>98004</v>
      </c>
      <c r="B1326" s="5" t="s">
        <v>3185</v>
      </c>
      <c r="C1326" s="5" t="s">
        <v>3186</v>
      </c>
      <c r="D1326" s="5" t="s">
        <v>552</v>
      </c>
      <c r="E1326" s="5" t="s">
        <v>110</v>
      </c>
    </row>
    <row r="1327" spans="1:5" x14ac:dyDescent="0.25">
      <c r="A1327" s="5">
        <v>28010</v>
      </c>
      <c r="B1327" s="5" t="s">
        <v>3187</v>
      </c>
      <c r="C1327" s="5" t="s">
        <v>3188</v>
      </c>
      <c r="D1327" s="5" t="s">
        <v>493</v>
      </c>
      <c r="E1327" s="5" t="s">
        <v>93</v>
      </c>
    </row>
    <row r="1328" spans="1:5" x14ac:dyDescent="0.25">
      <c r="A1328" s="5">
        <v>18219</v>
      </c>
      <c r="B1328" s="5" t="s">
        <v>3189</v>
      </c>
      <c r="C1328" s="5" t="s">
        <v>3190</v>
      </c>
      <c r="D1328" s="5" t="s">
        <v>1167</v>
      </c>
      <c r="E1328" s="5" t="s">
        <v>72</v>
      </c>
    </row>
    <row r="1329" spans="1:5" x14ac:dyDescent="0.25">
      <c r="A1329" s="5">
        <v>16016</v>
      </c>
      <c r="B1329" s="5" t="s">
        <v>3191</v>
      </c>
      <c r="C1329" s="5" t="s">
        <v>3192</v>
      </c>
      <c r="D1329" s="5" t="s">
        <v>3193</v>
      </c>
      <c r="E1329" s="5" t="s">
        <v>470</v>
      </c>
    </row>
    <row r="1330" spans="1:5" x14ac:dyDescent="0.25">
      <c r="A1330" s="5">
        <v>15045</v>
      </c>
      <c r="B1330" s="5" t="s">
        <v>3194</v>
      </c>
      <c r="C1330" s="5" t="s">
        <v>3195</v>
      </c>
      <c r="D1330" s="5" t="s">
        <v>435</v>
      </c>
      <c r="E1330" s="5" t="s">
        <v>72</v>
      </c>
    </row>
    <row r="1331" spans="1:5" x14ac:dyDescent="0.25">
      <c r="A1331" s="5">
        <v>98072</v>
      </c>
      <c r="B1331" s="5" t="s">
        <v>3196</v>
      </c>
      <c r="C1331" s="5" t="s">
        <v>3197</v>
      </c>
      <c r="D1331" s="5" t="s">
        <v>3198</v>
      </c>
      <c r="E1331" s="5" t="s">
        <v>51</v>
      </c>
    </row>
    <row r="1332" spans="1:5" x14ac:dyDescent="0.25">
      <c r="A1332" s="5">
        <v>29124</v>
      </c>
      <c r="B1332" s="5" t="s">
        <v>3199</v>
      </c>
      <c r="C1332" s="5" t="s">
        <v>3200</v>
      </c>
      <c r="D1332" s="5" t="s">
        <v>685</v>
      </c>
      <c r="E1332" s="5" t="s">
        <v>93</v>
      </c>
    </row>
    <row r="1333" spans="1:5" x14ac:dyDescent="0.25">
      <c r="A1333" s="5">
        <v>19181</v>
      </c>
      <c r="B1333" s="5" t="s">
        <v>3201</v>
      </c>
      <c r="C1333" s="5" t="s">
        <v>3202</v>
      </c>
      <c r="D1333" s="5" t="s">
        <v>3203</v>
      </c>
      <c r="E1333" s="5" t="s">
        <v>110</v>
      </c>
    </row>
    <row r="1334" spans="1:5" x14ac:dyDescent="0.25">
      <c r="A1334" s="5">
        <v>95015</v>
      </c>
      <c r="B1334" s="5" t="s">
        <v>3204</v>
      </c>
      <c r="C1334" s="5" t="s">
        <v>3205</v>
      </c>
      <c r="D1334" s="5" t="s">
        <v>3206</v>
      </c>
      <c r="E1334" s="5" t="s">
        <v>77</v>
      </c>
    </row>
    <row r="1335" spans="1:5" x14ac:dyDescent="0.25">
      <c r="A1335" s="5">
        <v>18104</v>
      </c>
      <c r="B1335" s="5" t="s">
        <v>3207</v>
      </c>
      <c r="C1335" s="5" t="s">
        <v>3208</v>
      </c>
      <c r="D1335" s="5" t="s">
        <v>393</v>
      </c>
      <c r="E1335" s="5" t="s">
        <v>89</v>
      </c>
    </row>
    <row r="1336" spans="1:5" x14ac:dyDescent="0.25">
      <c r="A1336" s="5" t="s">
        <v>74</v>
      </c>
      <c r="B1336" s="5" t="s">
        <v>3209</v>
      </c>
      <c r="C1336" s="5" t="s">
        <v>3210</v>
      </c>
      <c r="D1336" s="5" t="s">
        <v>74</v>
      </c>
      <c r="E1336" s="5" t="s">
        <v>74</v>
      </c>
    </row>
    <row r="1337" spans="1:5" x14ac:dyDescent="0.25">
      <c r="A1337" s="5" t="s">
        <v>74</v>
      </c>
      <c r="B1337" s="5" t="s">
        <v>3211</v>
      </c>
      <c r="C1337" s="5" t="s">
        <v>3212</v>
      </c>
      <c r="D1337" s="5" t="s">
        <v>74</v>
      </c>
      <c r="E1337" s="5" t="s">
        <v>74</v>
      </c>
    </row>
    <row r="1338" spans="1:5" x14ac:dyDescent="0.25">
      <c r="A1338" s="5" t="s">
        <v>74</v>
      </c>
      <c r="B1338" s="5" t="s">
        <v>3213</v>
      </c>
      <c r="C1338" s="5" t="s">
        <v>3214</v>
      </c>
      <c r="D1338" s="5" t="s">
        <v>74</v>
      </c>
      <c r="E1338" s="5" t="s">
        <v>74</v>
      </c>
    </row>
    <row r="1339" spans="1:5" x14ac:dyDescent="0.25">
      <c r="A1339" s="5" t="s">
        <v>74</v>
      </c>
      <c r="B1339" s="5" t="s">
        <v>3215</v>
      </c>
      <c r="C1339" s="5" t="s">
        <v>3216</v>
      </c>
      <c r="D1339" s="5" t="s">
        <v>74</v>
      </c>
      <c r="E1339" s="5" t="s">
        <v>74</v>
      </c>
    </row>
    <row r="1340" spans="1:5" x14ac:dyDescent="0.25">
      <c r="A1340" s="5" t="s">
        <v>74</v>
      </c>
      <c r="B1340" s="5" t="s">
        <v>3217</v>
      </c>
      <c r="C1340" s="5" t="s">
        <v>3218</v>
      </c>
      <c r="D1340" s="5" t="s">
        <v>74</v>
      </c>
      <c r="E1340" s="5" t="s">
        <v>74</v>
      </c>
    </row>
    <row r="1341" spans="1:5" x14ac:dyDescent="0.25">
      <c r="A1341" s="5" t="s">
        <v>74</v>
      </c>
      <c r="B1341" s="5" t="s">
        <v>3219</v>
      </c>
      <c r="C1341" s="5" t="s">
        <v>3220</v>
      </c>
      <c r="D1341" s="5" t="s">
        <v>74</v>
      </c>
      <c r="E1341" s="5" t="s">
        <v>74</v>
      </c>
    </row>
    <row r="1342" spans="1:5" x14ac:dyDescent="0.25">
      <c r="A1342" s="5" t="s">
        <v>74</v>
      </c>
      <c r="B1342" s="5" t="s">
        <v>3221</v>
      </c>
      <c r="C1342" s="5" t="s">
        <v>3222</v>
      </c>
      <c r="D1342" s="5" t="s">
        <v>74</v>
      </c>
      <c r="E1342" s="5" t="s">
        <v>74</v>
      </c>
    </row>
    <row r="1343" spans="1:5" x14ac:dyDescent="0.25">
      <c r="A1343" s="5" t="s">
        <v>74</v>
      </c>
      <c r="B1343" s="5" t="s">
        <v>3223</v>
      </c>
      <c r="C1343" s="5" t="s">
        <v>3224</v>
      </c>
      <c r="D1343" s="5" t="s">
        <v>74</v>
      </c>
      <c r="E1343" s="5" t="s">
        <v>74</v>
      </c>
    </row>
    <row r="1344" spans="1:5" x14ac:dyDescent="0.25">
      <c r="A1344" s="5" t="s">
        <v>74</v>
      </c>
      <c r="B1344" s="5" t="s">
        <v>3225</v>
      </c>
      <c r="C1344" s="5" t="s">
        <v>3226</v>
      </c>
      <c r="D1344" s="5" t="s">
        <v>74</v>
      </c>
      <c r="E1344" s="5" t="s">
        <v>74</v>
      </c>
    </row>
    <row r="1345" spans="1:5" x14ac:dyDescent="0.25">
      <c r="A1345" s="5" t="s">
        <v>74</v>
      </c>
      <c r="B1345" s="5" t="s">
        <v>3227</v>
      </c>
      <c r="C1345" s="5" t="s">
        <v>3228</v>
      </c>
      <c r="D1345" s="5" t="s">
        <v>74</v>
      </c>
      <c r="E1345" s="5" t="s">
        <v>74</v>
      </c>
    </row>
    <row r="1346" spans="1:5" x14ac:dyDescent="0.25">
      <c r="A1346" s="5">
        <v>19146</v>
      </c>
      <c r="B1346" s="5" t="s">
        <v>3229</v>
      </c>
      <c r="C1346" s="5" t="s">
        <v>3230</v>
      </c>
      <c r="D1346" s="5" t="s">
        <v>3231</v>
      </c>
      <c r="E1346" s="5" t="s">
        <v>89</v>
      </c>
    </row>
    <row r="1347" spans="1:5" x14ac:dyDescent="0.25">
      <c r="A1347" s="5" t="s">
        <v>74</v>
      </c>
      <c r="B1347" s="5" t="s">
        <v>3232</v>
      </c>
      <c r="C1347" s="5" t="s">
        <v>3233</v>
      </c>
      <c r="D1347" s="5" t="s">
        <v>74</v>
      </c>
      <c r="E1347" s="5" t="s">
        <v>74</v>
      </c>
    </row>
    <row r="1348" spans="1:5" x14ac:dyDescent="0.25">
      <c r="A1348" s="5" t="s">
        <v>74</v>
      </c>
      <c r="B1348" s="5" t="s">
        <v>3234</v>
      </c>
      <c r="C1348" s="5" t="s">
        <v>3235</v>
      </c>
      <c r="D1348" s="5" t="s">
        <v>74</v>
      </c>
      <c r="E1348" s="5" t="s">
        <v>74</v>
      </c>
    </row>
    <row r="1349" spans="1:5" x14ac:dyDescent="0.25">
      <c r="A1349" s="5" t="s">
        <v>74</v>
      </c>
      <c r="B1349" s="5" t="s">
        <v>3236</v>
      </c>
      <c r="C1349" s="5" t="s">
        <v>3237</v>
      </c>
      <c r="D1349" s="5" t="s">
        <v>74</v>
      </c>
      <c r="E1349" s="5" t="s">
        <v>74</v>
      </c>
    </row>
    <row r="1350" spans="1:5" x14ac:dyDescent="0.25">
      <c r="A1350" s="5" t="s">
        <v>74</v>
      </c>
      <c r="B1350" s="5" t="s">
        <v>3238</v>
      </c>
      <c r="C1350" s="5" t="s">
        <v>3239</v>
      </c>
      <c r="D1350" s="5" t="s">
        <v>74</v>
      </c>
      <c r="E1350" s="5" t="s">
        <v>74</v>
      </c>
    </row>
    <row r="1351" spans="1:5" x14ac:dyDescent="0.25">
      <c r="A1351" s="5" t="s">
        <v>74</v>
      </c>
      <c r="B1351" s="5" t="s">
        <v>3240</v>
      </c>
      <c r="C1351" s="5" t="s">
        <v>3241</v>
      </c>
      <c r="D1351" s="5" t="s">
        <v>74</v>
      </c>
      <c r="E1351" s="5" t="s">
        <v>74</v>
      </c>
    </row>
    <row r="1352" spans="1:5" x14ac:dyDescent="0.25">
      <c r="A1352" s="5" t="s">
        <v>74</v>
      </c>
      <c r="B1352" s="5" t="s">
        <v>3242</v>
      </c>
      <c r="C1352" s="5" t="s">
        <v>3243</v>
      </c>
      <c r="D1352" s="5" t="s">
        <v>74</v>
      </c>
      <c r="E1352" s="5" t="s">
        <v>74</v>
      </c>
    </row>
    <row r="1353" spans="1:5" x14ac:dyDescent="0.25">
      <c r="A1353" s="5" t="s">
        <v>74</v>
      </c>
      <c r="B1353" s="5" t="s">
        <v>3244</v>
      </c>
      <c r="C1353" s="5" t="s">
        <v>3245</v>
      </c>
      <c r="D1353" s="5" t="s">
        <v>74</v>
      </c>
      <c r="E1353" s="5" t="s">
        <v>74</v>
      </c>
    </row>
    <row r="1354" spans="1:5" x14ac:dyDescent="0.25">
      <c r="A1354" s="5" t="s">
        <v>74</v>
      </c>
      <c r="B1354" s="5" t="s">
        <v>3246</v>
      </c>
      <c r="C1354" s="5" t="s">
        <v>3247</v>
      </c>
      <c r="D1354" s="5" t="s">
        <v>74</v>
      </c>
      <c r="E1354" s="5" t="s">
        <v>74</v>
      </c>
    </row>
    <row r="1355" spans="1:5" x14ac:dyDescent="0.25">
      <c r="A1355" s="5">
        <v>17070</v>
      </c>
      <c r="B1355" s="5" t="s">
        <v>3248</v>
      </c>
      <c r="C1355" s="5" t="s">
        <v>3249</v>
      </c>
      <c r="D1355" s="5" t="s">
        <v>2971</v>
      </c>
      <c r="E1355" s="5" t="s">
        <v>72</v>
      </c>
    </row>
    <row r="1356" spans="1:5" x14ac:dyDescent="0.25">
      <c r="A1356" s="5" t="s">
        <v>74</v>
      </c>
      <c r="B1356" s="5" t="s">
        <v>3250</v>
      </c>
      <c r="C1356" s="5" t="s">
        <v>3251</v>
      </c>
      <c r="D1356" s="5" t="s">
        <v>3252</v>
      </c>
      <c r="E1356" s="5" t="s">
        <v>74</v>
      </c>
    </row>
    <row r="1357" spans="1:5" x14ac:dyDescent="0.25">
      <c r="A1357" s="5" t="s">
        <v>74</v>
      </c>
      <c r="B1357" s="5" t="s">
        <v>3253</v>
      </c>
      <c r="C1357" s="5" t="s">
        <v>3254</v>
      </c>
      <c r="D1357" s="5" t="s">
        <v>309</v>
      </c>
      <c r="E1357" s="5" t="s">
        <v>89</v>
      </c>
    </row>
    <row r="1358" spans="1:5" x14ac:dyDescent="0.25">
      <c r="A1358" s="5">
        <v>19300</v>
      </c>
      <c r="B1358" s="5" t="s">
        <v>3255</v>
      </c>
      <c r="C1358" s="5" t="s">
        <v>3256</v>
      </c>
      <c r="D1358" s="5" t="s">
        <v>729</v>
      </c>
      <c r="E1358" s="5" t="s">
        <v>81</v>
      </c>
    </row>
    <row r="1359" spans="1:5" x14ac:dyDescent="0.25">
      <c r="A1359" s="5" t="s">
        <v>74</v>
      </c>
      <c r="B1359" s="5" t="s">
        <v>3257</v>
      </c>
      <c r="C1359" s="5" t="s">
        <v>3258</v>
      </c>
      <c r="D1359" s="5" t="s">
        <v>74</v>
      </c>
      <c r="E1359" s="5" t="s">
        <v>74</v>
      </c>
    </row>
    <row r="1360" spans="1:5" x14ac:dyDescent="0.25">
      <c r="A1360" s="5" t="s">
        <v>74</v>
      </c>
      <c r="B1360" s="5" t="s">
        <v>3259</v>
      </c>
      <c r="C1360" s="5" t="s">
        <v>3260</v>
      </c>
      <c r="D1360" s="5" t="s">
        <v>2938</v>
      </c>
      <c r="E1360" s="5" t="s">
        <v>74</v>
      </c>
    </row>
    <row r="1361" spans="1:5" x14ac:dyDescent="0.25">
      <c r="A1361" s="5" t="s">
        <v>74</v>
      </c>
      <c r="B1361" s="5" t="s">
        <v>3261</v>
      </c>
      <c r="C1361" s="5" t="s">
        <v>3262</v>
      </c>
      <c r="D1361" s="5" t="s">
        <v>74</v>
      </c>
      <c r="E1361" s="5" t="s">
        <v>74</v>
      </c>
    </row>
    <row r="1362" spans="1:5" x14ac:dyDescent="0.25">
      <c r="A1362" s="5" t="s">
        <v>74</v>
      </c>
      <c r="B1362" s="5" t="s">
        <v>3263</v>
      </c>
      <c r="C1362" s="5" t="s">
        <v>3264</v>
      </c>
      <c r="D1362" s="5" t="s">
        <v>74</v>
      </c>
      <c r="E1362" s="5" t="s">
        <v>74</v>
      </c>
    </row>
    <row r="1363" spans="1:5" x14ac:dyDescent="0.25">
      <c r="A1363" s="5" t="s">
        <v>74</v>
      </c>
      <c r="B1363" s="5" t="s">
        <v>3265</v>
      </c>
      <c r="C1363" s="5" t="s">
        <v>3266</v>
      </c>
      <c r="D1363" s="5" t="s">
        <v>74</v>
      </c>
      <c r="E1363" s="5" t="s">
        <v>74</v>
      </c>
    </row>
    <row r="1364" spans="1:5" x14ac:dyDescent="0.25">
      <c r="A1364" s="5" t="s">
        <v>74</v>
      </c>
      <c r="B1364" s="5" t="s">
        <v>3267</v>
      </c>
      <c r="C1364" s="5" t="s">
        <v>3268</v>
      </c>
      <c r="D1364" s="5" t="s">
        <v>74</v>
      </c>
      <c r="E1364" s="5" t="s">
        <v>74</v>
      </c>
    </row>
    <row r="1365" spans="1:5" x14ac:dyDescent="0.25">
      <c r="A1365" s="5" t="s">
        <v>74</v>
      </c>
      <c r="B1365" s="5" t="s">
        <v>3269</v>
      </c>
      <c r="C1365" s="5" t="s">
        <v>3270</v>
      </c>
      <c r="D1365" s="5" t="s">
        <v>74</v>
      </c>
      <c r="E1365" s="5" t="s">
        <v>74</v>
      </c>
    </row>
    <row r="1366" spans="1:5" x14ac:dyDescent="0.25">
      <c r="A1366" s="5" t="s">
        <v>74</v>
      </c>
      <c r="B1366" s="5" t="s">
        <v>3271</v>
      </c>
      <c r="C1366" s="5" t="s">
        <v>3272</v>
      </c>
      <c r="D1366" s="5" t="s">
        <v>74</v>
      </c>
      <c r="E1366" s="5" t="s">
        <v>74</v>
      </c>
    </row>
    <row r="1367" spans="1:5" x14ac:dyDescent="0.25">
      <c r="A1367" s="5" t="s">
        <v>74</v>
      </c>
      <c r="B1367" s="5" t="s">
        <v>3273</v>
      </c>
      <c r="C1367" s="5" t="s">
        <v>3274</v>
      </c>
      <c r="D1367" s="5" t="s">
        <v>74</v>
      </c>
      <c r="E1367" s="5" t="s">
        <v>74</v>
      </c>
    </row>
    <row r="1368" spans="1:5" x14ac:dyDescent="0.25">
      <c r="A1368" s="5" t="s">
        <v>74</v>
      </c>
      <c r="B1368" s="5" t="s">
        <v>3275</v>
      </c>
      <c r="C1368" s="5" t="s">
        <v>3276</v>
      </c>
      <c r="D1368" s="5" t="s">
        <v>74</v>
      </c>
      <c r="E1368" s="5" t="s">
        <v>74</v>
      </c>
    </row>
    <row r="1369" spans="1:5" x14ac:dyDescent="0.25">
      <c r="A1369" s="5" t="s">
        <v>74</v>
      </c>
      <c r="B1369" s="5" t="s">
        <v>3277</v>
      </c>
      <c r="C1369" s="5" t="s">
        <v>3278</v>
      </c>
      <c r="D1369" s="5" t="s">
        <v>74</v>
      </c>
      <c r="E1369" s="5" t="s">
        <v>74</v>
      </c>
    </row>
    <row r="1370" spans="1:5" x14ac:dyDescent="0.25">
      <c r="A1370" s="5" t="s">
        <v>74</v>
      </c>
      <c r="B1370" s="5" t="s">
        <v>3279</v>
      </c>
      <c r="C1370" s="5" t="s">
        <v>3280</v>
      </c>
      <c r="D1370" s="5" t="s">
        <v>74</v>
      </c>
      <c r="E1370" s="5" t="s">
        <v>74</v>
      </c>
    </row>
    <row r="1371" spans="1:5" x14ac:dyDescent="0.25">
      <c r="A1371" s="5" t="s">
        <v>74</v>
      </c>
      <c r="B1371" s="5" t="s">
        <v>3281</v>
      </c>
      <c r="C1371" s="5" t="s">
        <v>3282</v>
      </c>
      <c r="D1371" s="5" t="s">
        <v>74</v>
      </c>
      <c r="E1371" s="5" t="s">
        <v>74</v>
      </c>
    </row>
    <row r="1372" spans="1:5" x14ac:dyDescent="0.25">
      <c r="A1372" s="5" t="s">
        <v>74</v>
      </c>
      <c r="B1372" s="5" t="s">
        <v>3283</v>
      </c>
      <c r="C1372" s="5" t="s">
        <v>3284</v>
      </c>
      <c r="D1372" s="5" t="s">
        <v>74</v>
      </c>
      <c r="E1372" s="5" t="s">
        <v>74</v>
      </c>
    </row>
    <row r="1373" spans="1:5" x14ac:dyDescent="0.25">
      <c r="A1373" s="5" t="s">
        <v>74</v>
      </c>
      <c r="B1373" s="5" t="s">
        <v>3285</v>
      </c>
      <c r="C1373" s="5" t="s">
        <v>3286</v>
      </c>
      <c r="D1373" s="5" t="s">
        <v>74</v>
      </c>
      <c r="E1373" s="5" t="s">
        <v>74</v>
      </c>
    </row>
    <row r="1374" spans="1:5" x14ac:dyDescent="0.25">
      <c r="A1374" s="5" t="s">
        <v>74</v>
      </c>
      <c r="B1374" s="5" t="s">
        <v>1167</v>
      </c>
      <c r="C1374" s="5" t="s">
        <v>3287</v>
      </c>
      <c r="D1374" s="5" t="s">
        <v>74</v>
      </c>
      <c r="E1374" s="5" t="s">
        <v>74</v>
      </c>
    </row>
    <row r="1375" spans="1:5" x14ac:dyDescent="0.25">
      <c r="A1375" s="5" t="s">
        <v>74</v>
      </c>
      <c r="B1375" s="5" t="s">
        <v>3288</v>
      </c>
      <c r="C1375" s="5" t="s">
        <v>3289</v>
      </c>
      <c r="D1375" s="5" t="s">
        <v>74</v>
      </c>
      <c r="E1375" s="5" t="s">
        <v>74</v>
      </c>
    </row>
    <row r="1376" spans="1:5" x14ac:dyDescent="0.25">
      <c r="A1376" s="5" t="s">
        <v>74</v>
      </c>
      <c r="B1376" s="5" t="s">
        <v>3290</v>
      </c>
      <c r="C1376" s="5" t="s">
        <v>3291</v>
      </c>
      <c r="D1376" s="5" t="s">
        <v>74</v>
      </c>
      <c r="E1376" s="5" t="s">
        <v>74</v>
      </c>
    </row>
    <row r="1377" spans="1:5" x14ac:dyDescent="0.25">
      <c r="A1377" s="5" t="s">
        <v>74</v>
      </c>
      <c r="B1377" s="5" t="s">
        <v>85</v>
      </c>
      <c r="C1377" s="5" t="s">
        <v>3292</v>
      </c>
      <c r="D1377" s="5" t="s">
        <v>74</v>
      </c>
      <c r="E1377" s="5" t="s">
        <v>74</v>
      </c>
    </row>
    <row r="1378" spans="1:5" x14ac:dyDescent="0.25">
      <c r="A1378" s="5" t="s">
        <v>74</v>
      </c>
      <c r="B1378" s="5" t="s">
        <v>3293</v>
      </c>
      <c r="C1378" s="5" t="s">
        <v>3294</v>
      </c>
      <c r="D1378" s="5" t="s">
        <v>74</v>
      </c>
      <c r="E1378" s="5" t="s">
        <v>74</v>
      </c>
    </row>
    <row r="1379" spans="1:5" x14ac:dyDescent="0.25">
      <c r="A1379" s="5" t="s">
        <v>74</v>
      </c>
      <c r="B1379" s="5" t="s">
        <v>206</v>
      </c>
      <c r="C1379" s="5" t="s">
        <v>3295</v>
      </c>
      <c r="D1379" s="5" t="s">
        <v>74</v>
      </c>
      <c r="E1379" s="5" t="s">
        <v>74</v>
      </c>
    </row>
    <row r="1380" spans="1:5" x14ac:dyDescent="0.25">
      <c r="A1380" s="5" t="s">
        <v>74</v>
      </c>
      <c r="B1380" s="5" t="s">
        <v>3296</v>
      </c>
      <c r="C1380" s="5" t="s">
        <v>3297</v>
      </c>
      <c r="D1380" s="5" t="s">
        <v>74</v>
      </c>
      <c r="E1380" s="5" t="s">
        <v>74</v>
      </c>
    </row>
    <row r="1381" spans="1:5" x14ac:dyDescent="0.25">
      <c r="A1381" s="5" t="s">
        <v>74</v>
      </c>
      <c r="B1381" s="5" t="s">
        <v>3298</v>
      </c>
      <c r="C1381" s="5" t="s">
        <v>3299</v>
      </c>
      <c r="D1381" s="5" t="s">
        <v>74</v>
      </c>
      <c r="E1381" s="5" t="s">
        <v>74</v>
      </c>
    </row>
    <row r="1382" spans="1:5" x14ac:dyDescent="0.25">
      <c r="A1382" s="5" t="s">
        <v>74</v>
      </c>
      <c r="B1382" s="5" t="s">
        <v>3300</v>
      </c>
      <c r="C1382" s="5" t="s">
        <v>3301</v>
      </c>
      <c r="D1382" s="5" t="s">
        <v>74</v>
      </c>
      <c r="E1382" s="5" t="s">
        <v>74</v>
      </c>
    </row>
    <row r="1383" spans="1:5" x14ac:dyDescent="0.25">
      <c r="A1383" s="5" t="s">
        <v>74</v>
      </c>
      <c r="B1383" s="5" t="s">
        <v>3302</v>
      </c>
      <c r="C1383" s="5" t="s">
        <v>3303</v>
      </c>
      <c r="D1383" s="5" t="s">
        <v>74</v>
      </c>
      <c r="E1383" s="5" t="s">
        <v>74</v>
      </c>
    </row>
    <row r="1384" spans="1:5" x14ac:dyDescent="0.25">
      <c r="A1384" s="5" t="s">
        <v>74</v>
      </c>
      <c r="B1384" s="5" t="s">
        <v>3304</v>
      </c>
      <c r="C1384" s="5" t="s">
        <v>3305</v>
      </c>
      <c r="D1384" s="5" t="s">
        <v>74</v>
      </c>
      <c r="E1384" s="5" t="s">
        <v>74</v>
      </c>
    </row>
    <row r="1385" spans="1:5" x14ac:dyDescent="0.25">
      <c r="A1385" s="5" t="s">
        <v>74</v>
      </c>
      <c r="B1385" s="5" t="s">
        <v>3306</v>
      </c>
      <c r="C1385" s="5" t="s">
        <v>3307</v>
      </c>
      <c r="D1385" s="5" t="s">
        <v>74</v>
      </c>
      <c r="E1385" s="5" t="s">
        <v>74</v>
      </c>
    </row>
    <row r="1386" spans="1:5" x14ac:dyDescent="0.25">
      <c r="A1386" s="5" t="s">
        <v>74</v>
      </c>
      <c r="B1386" s="5" t="s">
        <v>3308</v>
      </c>
      <c r="C1386" s="5" t="s">
        <v>3309</v>
      </c>
      <c r="D1386" s="5" t="s">
        <v>74</v>
      </c>
      <c r="E1386" s="5" t="s">
        <v>74</v>
      </c>
    </row>
    <row r="1387" spans="1:5" x14ac:dyDescent="0.25">
      <c r="A1387" s="5" t="s">
        <v>74</v>
      </c>
      <c r="B1387" s="5" t="s">
        <v>3310</v>
      </c>
      <c r="C1387" s="5" t="s">
        <v>3311</v>
      </c>
      <c r="D1387" s="5" t="s">
        <v>74</v>
      </c>
      <c r="E1387" s="5" t="s">
        <v>74</v>
      </c>
    </row>
    <row r="1388" spans="1:5" x14ac:dyDescent="0.25">
      <c r="A1388" s="5" t="s">
        <v>74</v>
      </c>
      <c r="B1388" s="5" t="s">
        <v>3312</v>
      </c>
      <c r="C1388" s="5" t="s">
        <v>3313</v>
      </c>
      <c r="D1388" s="5" t="s">
        <v>74</v>
      </c>
      <c r="E1388" s="5" t="s">
        <v>74</v>
      </c>
    </row>
    <row r="1389" spans="1:5" x14ac:dyDescent="0.25">
      <c r="A1389" s="5" t="s">
        <v>74</v>
      </c>
      <c r="B1389" s="5" t="s">
        <v>3314</v>
      </c>
      <c r="C1389" s="5" t="s">
        <v>3315</v>
      </c>
      <c r="D1389" s="5" t="s">
        <v>74</v>
      </c>
      <c r="E1389" s="5" t="s">
        <v>74</v>
      </c>
    </row>
    <row r="1390" spans="1:5" x14ac:dyDescent="0.25">
      <c r="A1390" s="5" t="s">
        <v>74</v>
      </c>
      <c r="B1390" s="5" t="s">
        <v>3316</v>
      </c>
      <c r="C1390" s="5" t="s">
        <v>3317</v>
      </c>
      <c r="D1390" s="5" t="s">
        <v>74</v>
      </c>
      <c r="E1390" s="5" t="s">
        <v>74</v>
      </c>
    </row>
    <row r="1391" spans="1:5" x14ac:dyDescent="0.25">
      <c r="A1391" s="5" t="s">
        <v>74</v>
      </c>
      <c r="B1391" s="5" t="s">
        <v>3318</v>
      </c>
      <c r="C1391" s="5" t="s">
        <v>3319</v>
      </c>
      <c r="D1391" s="5" t="s">
        <v>74</v>
      </c>
      <c r="E1391" s="5" t="s">
        <v>74</v>
      </c>
    </row>
    <row r="1392" spans="1:5" x14ac:dyDescent="0.25">
      <c r="A1392" s="5" t="s">
        <v>74</v>
      </c>
      <c r="B1392" s="5" t="s">
        <v>3320</v>
      </c>
      <c r="C1392" s="5" t="s">
        <v>3321</v>
      </c>
      <c r="D1392" s="5" t="s">
        <v>74</v>
      </c>
      <c r="E1392" s="5" t="s">
        <v>74</v>
      </c>
    </row>
    <row r="1393" spans="1:5" x14ac:dyDescent="0.25">
      <c r="A1393" s="5" t="s">
        <v>74</v>
      </c>
      <c r="B1393" s="5" t="s">
        <v>3322</v>
      </c>
      <c r="C1393" s="5" t="s">
        <v>3323</v>
      </c>
      <c r="D1393" s="5" t="s">
        <v>74</v>
      </c>
      <c r="E1393" s="5" t="s">
        <v>74</v>
      </c>
    </row>
    <row r="1394" spans="1:5" x14ac:dyDescent="0.25">
      <c r="A1394" s="5" t="s">
        <v>74</v>
      </c>
      <c r="B1394" s="5" t="s">
        <v>3324</v>
      </c>
      <c r="C1394" s="5" t="s">
        <v>3325</v>
      </c>
      <c r="D1394" s="5" t="s">
        <v>74</v>
      </c>
      <c r="E1394" s="5" t="s">
        <v>74</v>
      </c>
    </row>
    <row r="1395" spans="1:5" x14ac:dyDescent="0.25">
      <c r="A1395" s="5" t="s">
        <v>74</v>
      </c>
      <c r="B1395" s="5" t="s">
        <v>3326</v>
      </c>
      <c r="C1395" s="5" t="s">
        <v>3327</v>
      </c>
      <c r="D1395" s="5" t="s">
        <v>74</v>
      </c>
      <c r="E1395" s="5" t="s">
        <v>74</v>
      </c>
    </row>
    <row r="1396" spans="1:5" x14ac:dyDescent="0.25">
      <c r="A1396" s="5" t="s">
        <v>74</v>
      </c>
      <c r="B1396" s="5" t="s">
        <v>3328</v>
      </c>
      <c r="C1396" s="5" t="s">
        <v>3329</v>
      </c>
      <c r="D1396" s="5" t="s">
        <v>74</v>
      </c>
      <c r="E1396" s="5" t="s">
        <v>74</v>
      </c>
    </row>
    <row r="1397" spans="1:5" x14ac:dyDescent="0.25">
      <c r="A1397" s="5" t="s">
        <v>74</v>
      </c>
      <c r="B1397" s="5" t="s">
        <v>3330</v>
      </c>
      <c r="C1397" s="5" t="s">
        <v>3331</v>
      </c>
      <c r="D1397" s="5" t="s">
        <v>74</v>
      </c>
      <c r="E1397" s="5" t="s">
        <v>74</v>
      </c>
    </row>
    <row r="1398" spans="1:5" x14ac:dyDescent="0.25">
      <c r="A1398" s="5" t="s">
        <v>74</v>
      </c>
      <c r="B1398" s="5" t="s">
        <v>3332</v>
      </c>
      <c r="C1398" s="5" t="s">
        <v>3333</v>
      </c>
      <c r="D1398" s="5" t="s">
        <v>74</v>
      </c>
      <c r="E1398" s="5" t="s">
        <v>74</v>
      </c>
    </row>
    <row r="1399" spans="1:5" x14ac:dyDescent="0.25">
      <c r="A1399" s="5" t="s">
        <v>74</v>
      </c>
      <c r="B1399" s="5" t="s">
        <v>3334</v>
      </c>
      <c r="C1399" s="5" t="s">
        <v>3335</v>
      </c>
      <c r="D1399" s="5" t="s">
        <v>74</v>
      </c>
      <c r="E1399" s="5" t="s">
        <v>74</v>
      </c>
    </row>
    <row r="1400" spans="1:5" x14ac:dyDescent="0.25">
      <c r="A1400" s="5" t="s">
        <v>74</v>
      </c>
      <c r="B1400" s="5" t="s">
        <v>3336</v>
      </c>
      <c r="C1400" s="5" t="s">
        <v>3337</v>
      </c>
      <c r="D1400" s="5" t="s">
        <v>74</v>
      </c>
      <c r="E1400" s="5" t="s">
        <v>74</v>
      </c>
    </row>
    <row r="1401" spans="1:5" x14ac:dyDescent="0.25">
      <c r="A1401" s="5" t="s">
        <v>74</v>
      </c>
      <c r="B1401" s="5" t="s">
        <v>3338</v>
      </c>
      <c r="C1401" s="5" t="s">
        <v>3339</v>
      </c>
      <c r="D1401" s="5" t="s">
        <v>74</v>
      </c>
      <c r="E1401" s="5" t="s">
        <v>74</v>
      </c>
    </row>
    <row r="1402" spans="1:5" x14ac:dyDescent="0.25">
      <c r="A1402" s="5" t="s">
        <v>74</v>
      </c>
      <c r="B1402" s="5" t="s">
        <v>3340</v>
      </c>
      <c r="C1402" s="5" t="s">
        <v>3341</v>
      </c>
      <c r="D1402" s="5" t="s">
        <v>74</v>
      </c>
      <c r="E1402" s="5" t="s">
        <v>74</v>
      </c>
    </row>
    <row r="1403" spans="1:5" x14ac:dyDescent="0.25">
      <c r="A1403" s="5" t="s">
        <v>74</v>
      </c>
      <c r="B1403" s="5" t="s">
        <v>3342</v>
      </c>
      <c r="C1403" s="5" t="s">
        <v>3343</v>
      </c>
      <c r="D1403" s="5" t="s">
        <v>74</v>
      </c>
      <c r="E1403" s="5" t="s">
        <v>74</v>
      </c>
    </row>
    <row r="1404" spans="1:5" x14ac:dyDescent="0.25">
      <c r="A1404" s="5" t="s">
        <v>74</v>
      </c>
      <c r="B1404" s="5" t="s">
        <v>3344</v>
      </c>
      <c r="C1404" s="5" t="s">
        <v>3345</v>
      </c>
      <c r="D1404" s="5" t="s">
        <v>74</v>
      </c>
      <c r="E1404" s="5" t="s">
        <v>74</v>
      </c>
    </row>
    <row r="1405" spans="1:5" x14ac:dyDescent="0.25">
      <c r="A1405" s="5" t="s">
        <v>74</v>
      </c>
      <c r="B1405" s="5" t="s">
        <v>3346</v>
      </c>
      <c r="C1405" s="5" t="s">
        <v>3347</v>
      </c>
      <c r="D1405" s="5" t="s">
        <v>74</v>
      </c>
      <c r="E1405" s="5" t="s">
        <v>74</v>
      </c>
    </row>
    <row r="1406" spans="1:5" x14ac:dyDescent="0.25">
      <c r="A1406" s="5" t="s">
        <v>74</v>
      </c>
      <c r="B1406" s="5" t="s">
        <v>3348</v>
      </c>
      <c r="C1406" s="5" t="s">
        <v>3349</v>
      </c>
      <c r="D1406" s="5" t="s">
        <v>74</v>
      </c>
      <c r="E1406" s="5" t="s">
        <v>74</v>
      </c>
    </row>
    <row r="1407" spans="1:5" x14ac:dyDescent="0.25">
      <c r="A1407" s="5" t="s">
        <v>74</v>
      </c>
      <c r="B1407" s="5" t="s">
        <v>3350</v>
      </c>
      <c r="C1407" s="5" t="s">
        <v>3351</v>
      </c>
      <c r="D1407" s="5" t="s">
        <v>74</v>
      </c>
      <c r="E1407" s="5" t="s">
        <v>74</v>
      </c>
    </row>
    <row r="1408" spans="1:5" x14ac:dyDescent="0.25">
      <c r="A1408" s="5">
        <v>93022</v>
      </c>
      <c r="B1408" s="5" t="s">
        <v>3352</v>
      </c>
      <c r="C1408" s="5" t="s">
        <v>3353</v>
      </c>
      <c r="D1408" s="5" t="s">
        <v>3354</v>
      </c>
      <c r="E1408" s="5" t="s">
        <v>188</v>
      </c>
    </row>
    <row r="1409" spans="1:5" x14ac:dyDescent="0.25">
      <c r="A1409" s="5">
        <v>28117</v>
      </c>
      <c r="B1409" s="5" t="s">
        <v>3355</v>
      </c>
      <c r="C1409" s="5" t="s">
        <v>3356</v>
      </c>
      <c r="D1409" s="5" t="s">
        <v>3357</v>
      </c>
      <c r="E1409" s="5" t="s">
        <v>1265</v>
      </c>
    </row>
    <row r="1410" spans="1:5" x14ac:dyDescent="0.25">
      <c r="A1410" s="5" t="s">
        <v>74</v>
      </c>
      <c r="B1410" s="5" t="s">
        <v>3358</v>
      </c>
      <c r="C1410" s="5" t="s">
        <v>3359</v>
      </c>
      <c r="D1410" s="5" t="s">
        <v>74</v>
      </c>
      <c r="E1410" s="5" t="s">
        <v>74</v>
      </c>
    </row>
    <row r="1411" spans="1:5" x14ac:dyDescent="0.25">
      <c r="A1411" s="5" t="s">
        <v>74</v>
      </c>
      <c r="B1411" s="5" t="s">
        <v>3360</v>
      </c>
      <c r="C1411" s="5" t="s">
        <v>3361</v>
      </c>
      <c r="D1411" s="5" t="s">
        <v>533</v>
      </c>
      <c r="E1411" s="5" t="s">
        <v>51</v>
      </c>
    </row>
    <row r="1412" spans="1:5" x14ac:dyDescent="0.25">
      <c r="A1412" s="5">
        <v>18204</v>
      </c>
      <c r="B1412" s="5" t="s">
        <v>3362</v>
      </c>
      <c r="C1412" s="5" t="s">
        <v>3363</v>
      </c>
      <c r="D1412" s="5" t="s">
        <v>2024</v>
      </c>
      <c r="E1412" s="5" t="s">
        <v>89</v>
      </c>
    </row>
    <row r="1413" spans="1:5" x14ac:dyDescent="0.25">
      <c r="A1413" s="5">
        <v>15004</v>
      </c>
      <c r="B1413" s="5" t="s">
        <v>3364</v>
      </c>
      <c r="C1413" s="5" t="s">
        <v>3365</v>
      </c>
      <c r="D1413" s="5" t="s">
        <v>533</v>
      </c>
      <c r="E1413" s="5" t="s">
        <v>110</v>
      </c>
    </row>
    <row r="1414" spans="1:5" x14ac:dyDescent="0.25">
      <c r="A1414" s="5">
        <v>17051</v>
      </c>
      <c r="B1414" s="5" t="s">
        <v>3366</v>
      </c>
      <c r="C1414" s="5" t="s">
        <v>3367</v>
      </c>
      <c r="D1414" s="5" t="s">
        <v>533</v>
      </c>
      <c r="E1414" s="5" t="s">
        <v>72</v>
      </c>
    </row>
    <row r="1415" spans="1:5" x14ac:dyDescent="0.25">
      <c r="A1415" s="5">
        <v>19286</v>
      </c>
      <c r="B1415" s="5" t="s">
        <v>3368</v>
      </c>
      <c r="C1415" s="5" t="s">
        <v>3369</v>
      </c>
      <c r="D1415" s="5" t="s">
        <v>3370</v>
      </c>
      <c r="E1415" s="5" t="s">
        <v>85</v>
      </c>
    </row>
    <row r="1416" spans="1:5" x14ac:dyDescent="0.25">
      <c r="A1416" s="5" t="s">
        <v>74</v>
      </c>
      <c r="B1416" s="5" t="s">
        <v>3371</v>
      </c>
      <c r="C1416" s="5" t="s">
        <v>3372</v>
      </c>
      <c r="D1416" s="5" t="s">
        <v>74</v>
      </c>
      <c r="E1416" s="5" t="s">
        <v>74</v>
      </c>
    </row>
    <row r="1417" spans="1:5" x14ac:dyDescent="0.25">
      <c r="A1417" s="5">
        <v>29150</v>
      </c>
      <c r="B1417" s="5" t="s">
        <v>3373</v>
      </c>
      <c r="C1417" s="5" t="s">
        <v>3374</v>
      </c>
      <c r="D1417" s="5" t="s">
        <v>74</v>
      </c>
      <c r="E1417" s="5" t="s">
        <v>74</v>
      </c>
    </row>
    <row r="1418" spans="1:5" x14ac:dyDescent="0.25">
      <c r="A1418" s="5">
        <v>19126</v>
      </c>
      <c r="B1418" s="5" t="s">
        <v>3375</v>
      </c>
      <c r="C1418" s="5" t="s">
        <v>3376</v>
      </c>
      <c r="D1418" s="5" t="s">
        <v>3377</v>
      </c>
      <c r="E1418" s="5" t="s">
        <v>348</v>
      </c>
    </row>
    <row r="1419" spans="1:5" x14ac:dyDescent="0.25">
      <c r="A1419" s="5">
        <v>19131</v>
      </c>
      <c r="B1419" s="5" t="s">
        <v>3378</v>
      </c>
      <c r="C1419" s="5" t="s">
        <v>3379</v>
      </c>
      <c r="D1419" s="5" t="s">
        <v>3380</v>
      </c>
      <c r="E1419" s="5" t="s">
        <v>348</v>
      </c>
    </row>
    <row r="1420" spans="1:5" x14ac:dyDescent="0.25">
      <c r="A1420" s="5" t="s">
        <v>74</v>
      </c>
      <c r="B1420" s="5" t="s">
        <v>3381</v>
      </c>
      <c r="C1420" s="5" t="s">
        <v>3382</v>
      </c>
      <c r="D1420" s="5" t="s">
        <v>74</v>
      </c>
      <c r="E1420" s="5" t="s">
        <v>74</v>
      </c>
    </row>
    <row r="1421" spans="1:5" x14ac:dyDescent="0.25">
      <c r="A1421" s="5">
        <v>19091</v>
      </c>
      <c r="B1421" s="5" t="s">
        <v>3383</v>
      </c>
      <c r="C1421" s="5" t="s">
        <v>3384</v>
      </c>
      <c r="D1421" s="5" t="s">
        <v>3385</v>
      </c>
      <c r="E1421" s="5" t="s">
        <v>51</v>
      </c>
    </row>
    <row r="1422" spans="1:5" x14ac:dyDescent="0.25">
      <c r="A1422" s="5">
        <v>17173</v>
      </c>
      <c r="B1422" s="5" t="s">
        <v>3386</v>
      </c>
      <c r="C1422" s="5" t="s">
        <v>3387</v>
      </c>
      <c r="D1422" s="5" t="s">
        <v>455</v>
      </c>
      <c r="E1422" s="5" t="s">
        <v>312</v>
      </c>
    </row>
    <row r="1423" spans="1:5" x14ac:dyDescent="0.25">
      <c r="A1423" s="5" t="s">
        <v>74</v>
      </c>
      <c r="B1423" s="5" t="s">
        <v>3388</v>
      </c>
      <c r="C1423" s="5" t="s">
        <v>3389</v>
      </c>
      <c r="D1423" s="5" t="s">
        <v>2024</v>
      </c>
      <c r="E1423" s="5" t="s">
        <v>89</v>
      </c>
    </row>
    <row r="1424" spans="1:5" x14ac:dyDescent="0.25">
      <c r="A1424" s="5">
        <v>13044</v>
      </c>
      <c r="B1424" s="5" t="s">
        <v>3390</v>
      </c>
      <c r="C1424" s="5" t="s">
        <v>3391</v>
      </c>
      <c r="D1424" s="5" t="s">
        <v>3392</v>
      </c>
      <c r="E1424" s="5" t="s">
        <v>89</v>
      </c>
    </row>
    <row r="1425" spans="1:5" x14ac:dyDescent="0.25">
      <c r="A1425" s="5">
        <v>19234</v>
      </c>
      <c r="B1425" s="5" t="s">
        <v>3393</v>
      </c>
      <c r="C1425" s="5" t="s">
        <v>3394</v>
      </c>
      <c r="D1425" s="5" t="s">
        <v>408</v>
      </c>
      <c r="E1425" s="5" t="s">
        <v>89</v>
      </c>
    </row>
    <row r="1426" spans="1:5" x14ac:dyDescent="0.25">
      <c r="A1426" s="5">
        <v>18073</v>
      </c>
      <c r="B1426" s="5" t="s">
        <v>3395</v>
      </c>
      <c r="C1426" s="5" t="s">
        <v>3396</v>
      </c>
      <c r="D1426" s="5" t="s">
        <v>3397</v>
      </c>
      <c r="E1426" s="5" t="s">
        <v>206</v>
      </c>
    </row>
    <row r="1427" spans="1:5" x14ac:dyDescent="0.25">
      <c r="A1427" s="5">
        <v>15034</v>
      </c>
      <c r="B1427" s="5" t="s">
        <v>3398</v>
      </c>
      <c r="C1427" s="5" t="s">
        <v>3399</v>
      </c>
      <c r="D1427" s="5" t="s">
        <v>3080</v>
      </c>
      <c r="E1427" s="5" t="s">
        <v>89</v>
      </c>
    </row>
    <row r="1428" spans="1:5" x14ac:dyDescent="0.25">
      <c r="A1428" s="5">
        <v>12080</v>
      </c>
      <c r="B1428" s="5" t="s">
        <v>3400</v>
      </c>
      <c r="C1428" s="5" t="s">
        <v>3401</v>
      </c>
      <c r="D1428" s="5" t="s">
        <v>1238</v>
      </c>
      <c r="E1428" s="5" t="s">
        <v>89</v>
      </c>
    </row>
    <row r="1429" spans="1:5" x14ac:dyDescent="0.25">
      <c r="A1429" s="5" t="s">
        <v>74</v>
      </c>
      <c r="B1429" s="5" t="s">
        <v>3402</v>
      </c>
      <c r="C1429" s="5" t="s">
        <v>3403</v>
      </c>
      <c r="D1429" s="5" t="s">
        <v>74</v>
      </c>
      <c r="E1429" s="5" t="s">
        <v>74</v>
      </c>
    </row>
    <row r="1430" spans="1:5" x14ac:dyDescent="0.25">
      <c r="A1430" s="5" t="s">
        <v>74</v>
      </c>
      <c r="B1430" s="5" t="s">
        <v>3404</v>
      </c>
      <c r="C1430" s="5" t="s">
        <v>3405</v>
      </c>
      <c r="D1430" s="5" t="s">
        <v>74</v>
      </c>
      <c r="E1430" s="5" t="s">
        <v>74</v>
      </c>
    </row>
    <row r="1431" spans="1:5" x14ac:dyDescent="0.25">
      <c r="A1431" s="5" t="s">
        <v>74</v>
      </c>
      <c r="B1431" s="5" t="s">
        <v>3406</v>
      </c>
      <c r="C1431" s="5" t="s">
        <v>3407</v>
      </c>
      <c r="D1431" s="5" t="s">
        <v>74</v>
      </c>
      <c r="E1431" s="5" t="s">
        <v>74</v>
      </c>
    </row>
    <row r="1432" spans="1:5" x14ac:dyDescent="0.25">
      <c r="A1432" s="5" t="s">
        <v>74</v>
      </c>
      <c r="B1432" s="5" t="s">
        <v>3408</v>
      </c>
      <c r="C1432" s="5" t="s">
        <v>3409</v>
      </c>
      <c r="D1432" s="5" t="s">
        <v>74</v>
      </c>
      <c r="E1432" s="5" t="s">
        <v>74</v>
      </c>
    </row>
    <row r="1433" spans="1:5" x14ac:dyDescent="0.25">
      <c r="A1433" s="5" t="s">
        <v>74</v>
      </c>
      <c r="B1433" s="5" t="s">
        <v>3410</v>
      </c>
      <c r="C1433" s="5" t="s">
        <v>3411</v>
      </c>
      <c r="D1433" s="5" t="s">
        <v>74</v>
      </c>
      <c r="E1433" s="5" t="s">
        <v>74</v>
      </c>
    </row>
    <row r="1434" spans="1:5" x14ac:dyDescent="0.25">
      <c r="A1434" s="5">
        <v>16134</v>
      </c>
      <c r="B1434" s="5" t="s">
        <v>3412</v>
      </c>
      <c r="C1434" s="5" t="s">
        <v>3413</v>
      </c>
      <c r="D1434" s="5" t="s">
        <v>386</v>
      </c>
      <c r="E1434" s="5" t="s">
        <v>89</v>
      </c>
    </row>
    <row r="1435" spans="1:5" x14ac:dyDescent="0.25">
      <c r="A1435" s="5">
        <v>16045</v>
      </c>
      <c r="B1435" s="5" t="s">
        <v>3414</v>
      </c>
      <c r="C1435" s="5" t="s">
        <v>3415</v>
      </c>
      <c r="D1435" s="5" t="s">
        <v>455</v>
      </c>
      <c r="E1435" s="5" t="s">
        <v>206</v>
      </c>
    </row>
    <row r="1436" spans="1:5" x14ac:dyDescent="0.25">
      <c r="A1436" s="5">
        <v>13281</v>
      </c>
      <c r="B1436" s="5" t="s">
        <v>3416</v>
      </c>
      <c r="C1436" s="5" t="s">
        <v>3417</v>
      </c>
      <c r="D1436" s="5" t="s">
        <v>3418</v>
      </c>
      <c r="E1436" s="5" t="s">
        <v>153</v>
      </c>
    </row>
    <row r="1437" spans="1:5" x14ac:dyDescent="0.25">
      <c r="A1437" s="5">
        <v>18238</v>
      </c>
      <c r="B1437" s="5" t="s">
        <v>3419</v>
      </c>
      <c r="C1437" s="5" t="s">
        <v>3420</v>
      </c>
      <c r="D1437" s="5" t="s">
        <v>533</v>
      </c>
      <c r="E1437" s="5" t="s">
        <v>72</v>
      </c>
    </row>
    <row r="1438" spans="1:5" x14ac:dyDescent="0.25">
      <c r="A1438" s="5">
        <v>17111</v>
      </c>
      <c r="B1438" s="5" t="s">
        <v>3421</v>
      </c>
      <c r="C1438" s="5" t="s">
        <v>3422</v>
      </c>
      <c r="D1438" s="5" t="s">
        <v>3423</v>
      </c>
      <c r="E1438" s="5" t="s">
        <v>211</v>
      </c>
    </row>
    <row r="1439" spans="1:5" x14ac:dyDescent="0.25">
      <c r="A1439" s="5">
        <v>19010</v>
      </c>
      <c r="B1439" s="5" t="s">
        <v>3424</v>
      </c>
      <c r="C1439" s="5" t="s">
        <v>3425</v>
      </c>
      <c r="D1439" s="5" t="s">
        <v>539</v>
      </c>
      <c r="E1439" s="5" t="s">
        <v>89</v>
      </c>
    </row>
    <row r="1440" spans="1:5" x14ac:dyDescent="0.25">
      <c r="A1440" s="5" t="s">
        <v>74</v>
      </c>
      <c r="B1440" s="5" t="s">
        <v>3426</v>
      </c>
      <c r="C1440" s="5" t="s">
        <v>3427</v>
      </c>
      <c r="D1440" s="5" t="s">
        <v>74</v>
      </c>
      <c r="E1440" s="5" t="s">
        <v>74</v>
      </c>
    </row>
    <row r="1441" spans="1:5" x14ac:dyDescent="0.25">
      <c r="A1441" s="5">
        <v>18163</v>
      </c>
      <c r="B1441" s="5" t="s">
        <v>3428</v>
      </c>
      <c r="C1441" s="5" t="s">
        <v>3429</v>
      </c>
      <c r="D1441" s="5" t="s">
        <v>297</v>
      </c>
      <c r="E1441" s="5" t="s">
        <v>72</v>
      </c>
    </row>
    <row r="1442" spans="1:5" x14ac:dyDescent="0.25">
      <c r="A1442" s="5" t="s">
        <v>74</v>
      </c>
      <c r="B1442" s="5" t="s">
        <v>3430</v>
      </c>
      <c r="C1442" s="5" t="s">
        <v>3431</v>
      </c>
      <c r="D1442" s="5" t="s">
        <v>74</v>
      </c>
      <c r="E1442" s="5" t="s">
        <v>74</v>
      </c>
    </row>
    <row r="1443" spans="1:5" x14ac:dyDescent="0.25">
      <c r="A1443" s="5" t="s">
        <v>74</v>
      </c>
      <c r="B1443" s="5" t="s">
        <v>3432</v>
      </c>
      <c r="C1443" s="5" t="s">
        <v>3433</v>
      </c>
      <c r="D1443" s="5" t="s">
        <v>74</v>
      </c>
      <c r="E1443" s="5" t="s">
        <v>74</v>
      </c>
    </row>
    <row r="1444" spans="1:5" x14ac:dyDescent="0.25">
      <c r="A1444" s="5" t="s">
        <v>74</v>
      </c>
      <c r="B1444" s="5" t="s">
        <v>3432</v>
      </c>
      <c r="C1444" s="5" t="s">
        <v>3434</v>
      </c>
      <c r="D1444" s="5" t="s">
        <v>74</v>
      </c>
      <c r="E1444" s="5" t="s">
        <v>74</v>
      </c>
    </row>
    <row r="1445" spans="1:5" x14ac:dyDescent="0.25">
      <c r="A1445" s="5" t="s">
        <v>74</v>
      </c>
      <c r="B1445" s="5" t="s">
        <v>3435</v>
      </c>
      <c r="C1445" s="5" t="s">
        <v>3436</v>
      </c>
      <c r="D1445" s="5" t="s">
        <v>74</v>
      </c>
      <c r="E1445" s="5" t="s">
        <v>74</v>
      </c>
    </row>
    <row r="1446" spans="1:5" x14ac:dyDescent="0.25">
      <c r="A1446" s="5" t="s">
        <v>74</v>
      </c>
      <c r="B1446" s="5" t="s">
        <v>3437</v>
      </c>
      <c r="C1446" s="5" t="s">
        <v>3438</v>
      </c>
      <c r="D1446" s="5" t="s">
        <v>74</v>
      </c>
      <c r="E1446" s="5" t="s">
        <v>74</v>
      </c>
    </row>
    <row r="1447" spans="1:5" x14ac:dyDescent="0.25">
      <c r="A1447" s="5" t="s">
        <v>74</v>
      </c>
      <c r="B1447" s="5" t="s">
        <v>3439</v>
      </c>
      <c r="C1447" s="5" t="s">
        <v>3440</v>
      </c>
      <c r="D1447" s="5" t="s">
        <v>74</v>
      </c>
      <c r="E1447" s="5" t="s">
        <v>74</v>
      </c>
    </row>
    <row r="1448" spans="1:5" x14ac:dyDescent="0.25">
      <c r="A1448" s="5" t="s">
        <v>74</v>
      </c>
      <c r="B1448" s="5" t="s">
        <v>3441</v>
      </c>
      <c r="C1448" s="5" t="s">
        <v>3442</v>
      </c>
      <c r="D1448" s="5" t="s">
        <v>74</v>
      </c>
      <c r="E1448" s="5" t="s">
        <v>74</v>
      </c>
    </row>
    <row r="1449" spans="1:5" x14ac:dyDescent="0.25">
      <c r="A1449" s="5" t="s">
        <v>74</v>
      </c>
      <c r="B1449" s="5" t="s">
        <v>3443</v>
      </c>
      <c r="C1449" s="5" t="s">
        <v>3444</v>
      </c>
      <c r="D1449" s="5" t="s">
        <v>74</v>
      </c>
      <c r="E1449" s="5" t="s">
        <v>74</v>
      </c>
    </row>
    <row r="1450" spans="1:5" x14ac:dyDescent="0.25">
      <c r="A1450" s="5" t="s">
        <v>74</v>
      </c>
      <c r="B1450" s="5" t="s">
        <v>3445</v>
      </c>
      <c r="C1450" s="5" t="s">
        <v>3446</v>
      </c>
      <c r="D1450" s="5" t="s">
        <v>74</v>
      </c>
      <c r="E1450" s="5" t="s">
        <v>74</v>
      </c>
    </row>
    <row r="1451" spans="1:5" x14ac:dyDescent="0.25">
      <c r="A1451" s="5" t="s">
        <v>74</v>
      </c>
      <c r="B1451" s="5" t="s">
        <v>3447</v>
      </c>
      <c r="C1451" s="5" t="s">
        <v>3448</v>
      </c>
      <c r="D1451" s="5" t="s">
        <v>74</v>
      </c>
      <c r="E1451" s="5" t="s">
        <v>74</v>
      </c>
    </row>
    <row r="1452" spans="1:5" x14ac:dyDescent="0.25">
      <c r="A1452" s="5">
        <v>17118</v>
      </c>
      <c r="B1452" s="5" t="s">
        <v>3449</v>
      </c>
      <c r="C1452" s="5" t="s">
        <v>3450</v>
      </c>
      <c r="D1452" s="5" t="s">
        <v>3451</v>
      </c>
      <c r="E1452" s="5" t="s">
        <v>81</v>
      </c>
    </row>
    <row r="1453" spans="1:5" x14ac:dyDescent="0.25">
      <c r="A1453" s="5" t="s">
        <v>74</v>
      </c>
      <c r="B1453" s="5" t="s">
        <v>3452</v>
      </c>
      <c r="C1453" s="5" t="s">
        <v>3453</v>
      </c>
      <c r="D1453" s="5" t="s">
        <v>74</v>
      </c>
      <c r="E1453" s="5" t="s">
        <v>74</v>
      </c>
    </row>
    <row r="1454" spans="1:5" x14ac:dyDescent="0.25">
      <c r="A1454" s="5" t="s">
        <v>74</v>
      </c>
      <c r="B1454" s="5" t="s">
        <v>3454</v>
      </c>
      <c r="C1454" s="5" t="s">
        <v>3455</v>
      </c>
      <c r="D1454" s="5" t="s">
        <v>74</v>
      </c>
      <c r="E1454" s="5" t="s">
        <v>74</v>
      </c>
    </row>
    <row r="1455" spans="1:5" x14ac:dyDescent="0.25">
      <c r="A1455" s="5" t="s">
        <v>74</v>
      </c>
      <c r="B1455" s="5" t="s">
        <v>3456</v>
      </c>
      <c r="C1455" s="5" t="s">
        <v>3457</v>
      </c>
      <c r="D1455" s="5" t="s">
        <v>74</v>
      </c>
      <c r="E1455" s="5" t="s">
        <v>74</v>
      </c>
    </row>
    <row r="1456" spans="1:5" x14ac:dyDescent="0.25">
      <c r="A1456" s="5">
        <v>15196</v>
      </c>
      <c r="B1456" s="5" t="s">
        <v>3458</v>
      </c>
      <c r="C1456" s="5" t="s">
        <v>3459</v>
      </c>
      <c r="D1456" s="5" t="s">
        <v>3460</v>
      </c>
      <c r="E1456" s="5" t="s">
        <v>188</v>
      </c>
    </row>
    <row r="1457" spans="1:5" x14ac:dyDescent="0.25">
      <c r="A1457" s="5" t="s">
        <v>74</v>
      </c>
      <c r="B1457" s="5" t="s">
        <v>3461</v>
      </c>
      <c r="C1457" s="5" t="s">
        <v>3462</v>
      </c>
      <c r="D1457" s="5" t="s">
        <v>74</v>
      </c>
      <c r="E1457" s="5" t="s">
        <v>74</v>
      </c>
    </row>
    <row r="1458" spans="1:5" x14ac:dyDescent="0.25">
      <c r="A1458" s="5">
        <v>17181</v>
      </c>
      <c r="B1458" s="5" t="s">
        <v>3463</v>
      </c>
      <c r="C1458" s="5" t="s">
        <v>3464</v>
      </c>
      <c r="D1458" s="5" t="s">
        <v>2814</v>
      </c>
      <c r="E1458" s="5" t="s">
        <v>188</v>
      </c>
    </row>
    <row r="1459" spans="1:5" x14ac:dyDescent="0.25">
      <c r="A1459" s="5">
        <v>14178</v>
      </c>
      <c r="B1459" s="5" t="s">
        <v>3465</v>
      </c>
      <c r="C1459" s="5" t="s">
        <v>3466</v>
      </c>
      <c r="D1459" s="5" t="s">
        <v>579</v>
      </c>
      <c r="E1459" s="5" t="s">
        <v>188</v>
      </c>
    </row>
    <row r="1460" spans="1:5" x14ac:dyDescent="0.25">
      <c r="A1460" s="5">
        <v>15193</v>
      </c>
      <c r="B1460" s="5" t="s">
        <v>3467</v>
      </c>
      <c r="C1460" s="5" t="s">
        <v>3468</v>
      </c>
      <c r="D1460" s="5" t="s">
        <v>3469</v>
      </c>
      <c r="E1460" s="5" t="s">
        <v>153</v>
      </c>
    </row>
    <row r="1461" spans="1:5" x14ac:dyDescent="0.25">
      <c r="A1461" s="5" t="s">
        <v>74</v>
      </c>
      <c r="B1461" s="5" t="s">
        <v>3470</v>
      </c>
      <c r="C1461" s="5" t="s">
        <v>3471</v>
      </c>
      <c r="D1461" s="5" t="s">
        <v>74</v>
      </c>
      <c r="E1461" s="5" t="s">
        <v>74</v>
      </c>
    </row>
    <row r="1462" spans="1:5" x14ac:dyDescent="0.25">
      <c r="A1462" s="5">
        <v>29016</v>
      </c>
      <c r="B1462" s="5" t="s">
        <v>3472</v>
      </c>
      <c r="C1462" s="5" t="s">
        <v>3473</v>
      </c>
      <c r="D1462" s="5" t="s">
        <v>74</v>
      </c>
      <c r="E1462" s="5" t="s">
        <v>117</v>
      </c>
    </row>
    <row r="1463" spans="1:5" x14ac:dyDescent="0.25">
      <c r="A1463" s="5">
        <v>18130</v>
      </c>
      <c r="B1463" s="5" t="s">
        <v>3474</v>
      </c>
      <c r="C1463" s="5" t="s">
        <v>3475</v>
      </c>
      <c r="D1463" s="5" t="s">
        <v>533</v>
      </c>
      <c r="E1463" s="5" t="s">
        <v>117</v>
      </c>
    </row>
    <row r="1464" spans="1:5" x14ac:dyDescent="0.25">
      <c r="A1464" s="5" t="s">
        <v>74</v>
      </c>
      <c r="B1464" s="5" t="s">
        <v>3476</v>
      </c>
      <c r="C1464" s="5" t="s">
        <v>3477</v>
      </c>
      <c r="D1464" s="5" t="s">
        <v>2089</v>
      </c>
      <c r="E1464" s="5" t="s">
        <v>72</v>
      </c>
    </row>
    <row r="1465" spans="1:5" x14ac:dyDescent="0.25">
      <c r="A1465" s="5">
        <v>18044</v>
      </c>
      <c r="B1465" s="5" t="s">
        <v>3478</v>
      </c>
      <c r="C1465" s="5" t="s">
        <v>3479</v>
      </c>
      <c r="D1465" s="5" t="s">
        <v>3480</v>
      </c>
      <c r="E1465" s="5" t="s">
        <v>211</v>
      </c>
    </row>
    <row r="1466" spans="1:5" x14ac:dyDescent="0.25">
      <c r="A1466" s="5" t="s">
        <v>74</v>
      </c>
      <c r="B1466" s="5" t="s">
        <v>3481</v>
      </c>
      <c r="C1466" s="5" t="s">
        <v>3482</v>
      </c>
      <c r="D1466" s="5" t="s">
        <v>74</v>
      </c>
      <c r="E1466" s="5" t="s">
        <v>74</v>
      </c>
    </row>
    <row r="1467" spans="1:5" x14ac:dyDescent="0.25">
      <c r="A1467" s="5" t="s">
        <v>74</v>
      </c>
      <c r="B1467" s="5" t="s">
        <v>3483</v>
      </c>
      <c r="C1467" s="5" t="s">
        <v>3484</v>
      </c>
      <c r="D1467" s="5" t="s">
        <v>3485</v>
      </c>
      <c r="E1467" s="5" t="s">
        <v>89</v>
      </c>
    </row>
    <row r="1468" spans="1:5" x14ac:dyDescent="0.25">
      <c r="A1468" s="5" t="s">
        <v>74</v>
      </c>
      <c r="B1468" s="5" t="s">
        <v>3486</v>
      </c>
      <c r="C1468" s="5" t="s">
        <v>3487</v>
      </c>
      <c r="D1468" s="5" t="s">
        <v>74</v>
      </c>
      <c r="E1468" s="5" t="s">
        <v>74</v>
      </c>
    </row>
    <row r="1469" spans="1:5" x14ac:dyDescent="0.25">
      <c r="A1469" s="5" t="s">
        <v>74</v>
      </c>
      <c r="B1469" s="5" t="s">
        <v>3488</v>
      </c>
      <c r="C1469" s="5" t="s">
        <v>3489</v>
      </c>
      <c r="D1469" s="5" t="s">
        <v>3490</v>
      </c>
      <c r="E1469" s="5" t="s">
        <v>51</v>
      </c>
    </row>
    <row r="1470" spans="1:5" x14ac:dyDescent="0.25">
      <c r="A1470" s="5" t="s">
        <v>74</v>
      </c>
      <c r="B1470" s="5" t="s">
        <v>3491</v>
      </c>
      <c r="C1470" s="5" t="s">
        <v>3492</v>
      </c>
      <c r="D1470" s="5" t="s">
        <v>74</v>
      </c>
      <c r="E1470" s="5" t="s">
        <v>74</v>
      </c>
    </row>
    <row r="1471" spans="1:5" x14ac:dyDescent="0.25">
      <c r="A1471" s="5" t="s">
        <v>74</v>
      </c>
      <c r="B1471" s="5" t="s">
        <v>3493</v>
      </c>
      <c r="C1471" s="5" t="s">
        <v>3494</v>
      </c>
      <c r="D1471" s="5" t="s">
        <v>74</v>
      </c>
      <c r="E1471" s="5" t="s">
        <v>74</v>
      </c>
    </row>
    <row r="1472" spans="1:5" x14ac:dyDescent="0.25">
      <c r="A1472" s="5" t="s">
        <v>74</v>
      </c>
      <c r="B1472" s="5" t="s">
        <v>3495</v>
      </c>
      <c r="C1472" s="5" t="s">
        <v>3496</v>
      </c>
      <c r="D1472" s="5" t="s">
        <v>74</v>
      </c>
      <c r="E1472" s="5" t="s">
        <v>74</v>
      </c>
    </row>
    <row r="1473" spans="1:5" x14ac:dyDescent="0.25">
      <c r="A1473" s="5">
        <v>19249</v>
      </c>
      <c r="B1473" s="5" t="s">
        <v>3497</v>
      </c>
      <c r="C1473" s="5" t="s">
        <v>3498</v>
      </c>
      <c r="D1473" s="5" t="s">
        <v>3499</v>
      </c>
      <c r="E1473" s="5" t="s">
        <v>89</v>
      </c>
    </row>
    <row r="1474" spans="1:5" x14ac:dyDescent="0.25">
      <c r="A1474" s="5" t="s">
        <v>74</v>
      </c>
      <c r="B1474" s="5" t="s">
        <v>3500</v>
      </c>
      <c r="C1474" s="5" t="s">
        <v>3501</v>
      </c>
      <c r="D1474" s="5" t="s">
        <v>74</v>
      </c>
      <c r="E1474" s="5" t="s">
        <v>74</v>
      </c>
    </row>
    <row r="1475" spans="1:5" x14ac:dyDescent="0.25">
      <c r="A1475" s="5" t="s">
        <v>74</v>
      </c>
      <c r="B1475" s="5" t="s">
        <v>3502</v>
      </c>
      <c r="C1475" s="5" t="s">
        <v>3503</v>
      </c>
      <c r="D1475" s="5" t="s">
        <v>74</v>
      </c>
      <c r="E1475" s="5" t="s">
        <v>74</v>
      </c>
    </row>
    <row r="1476" spans="1:5" x14ac:dyDescent="0.25">
      <c r="A1476" s="5" t="s">
        <v>74</v>
      </c>
      <c r="B1476" s="5" t="s">
        <v>3504</v>
      </c>
      <c r="C1476" s="5" t="s">
        <v>3505</v>
      </c>
      <c r="D1476" s="5" t="s">
        <v>74</v>
      </c>
      <c r="E1476" s="5" t="s">
        <v>74</v>
      </c>
    </row>
    <row r="1477" spans="1:5" x14ac:dyDescent="0.25">
      <c r="A1477" s="5">
        <v>12089</v>
      </c>
      <c r="B1477" s="5" t="s">
        <v>3506</v>
      </c>
      <c r="C1477" s="5" t="s">
        <v>3507</v>
      </c>
      <c r="D1477" s="5" t="s">
        <v>3508</v>
      </c>
      <c r="E1477" s="5" t="s">
        <v>211</v>
      </c>
    </row>
    <row r="1478" spans="1:5" x14ac:dyDescent="0.25">
      <c r="A1478" s="5">
        <v>17126</v>
      </c>
      <c r="B1478" s="5" t="s">
        <v>3509</v>
      </c>
      <c r="C1478" s="5" t="s">
        <v>3510</v>
      </c>
      <c r="D1478" s="5" t="s">
        <v>3511</v>
      </c>
      <c r="E1478" s="5" t="s">
        <v>77</v>
      </c>
    </row>
    <row r="1479" spans="1:5" x14ac:dyDescent="0.25">
      <c r="A1479" s="5">
        <v>13200</v>
      </c>
      <c r="B1479" s="5" t="s">
        <v>3512</v>
      </c>
      <c r="C1479" s="5" t="s">
        <v>3513</v>
      </c>
      <c r="D1479" s="5" t="s">
        <v>739</v>
      </c>
      <c r="E1479" s="5" t="s">
        <v>72</v>
      </c>
    </row>
    <row r="1480" spans="1:5" x14ac:dyDescent="0.25">
      <c r="A1480" s="5" t="s">
        <v>74</v>
      </c>
      <c r="B1480" s="5" t="s">
        <v>3514</v>
      </c>
      <c r="C1480" s="5" t="s">
        <v>3515</v>
      </c>
      <c r="D1480" s="5" t="s">
        <v>3385</v>
      </c>
      <c r="E1480" s="5" t="s">
        <v>51</v>
      </c>
    </row>
    <row r="1481" spans="1:5" x14ac:dyDescent="0.25">
      <c r="A1481" s="5">
        <v>18236</v>
      </c>
      <c r="B1481" s="5" t="s">
        <v>3516</v>
      </c>
      <c r="C1481" s="5" t="s">
        <v>3517</v>
      </c>
      <c r="D1481" s="5" t="s">
        <v>3518</v>
      </c>
      <c r="E1481" s="5" t="s">
        <v>1261</v>
      </c>
    </row>
    <row r="1482" spans="1:5" x14ac:dyDescent="0.25">
      <c r="A1482" s="5">
        <v>19266</v>
      </c>
      <c r="B1482" s="5" t="s">
        <v>3519</v>
      </c>
      <c r="C1482" s="5" t="s">
        <v>3520</v>
      </c>
      <c r="D1482" s="5" t="s">
        <v>1325</v>
      </c>
      <c r="E1482" s="5" t="s">
        <v>89</v>
      </c>
    </row>
    <row r="1483" spans="1:5" x14ac:dyDescent="0.25">
      <c r="A1483" s="5">
        <v>15035</v>
      </c>
      <c r="B1483" s="5" t="s">
        <v>3521</v>
      </c>
      <c r="C1483" s="5" t="s">
        <v>3522</v>
      </c>
      <c r="D1483" s="5" t="s">
        <v>3523</v>
      </c>
      <c r="E1483" s="5" t="s">
        <v>72</v>
      </c>
    </row>
    <row r="1484" spans="1:5" x14ac:dyDescent="0.25">
      <c r="A1484" s="5">
        <v>28120</v>
      </c>
      <c r="B1484" s="5" t="s">
        <v>3524</v>
      </c>
      <c r="C1484" s="5" t="s">
        <v>3525</v>
      </c>
      <c r="D1484" s="5" t="s">
        <v>3526</v>
      </c>
      <c r="E1484" s="5" t="s">
        <v>117</v>
      </c>
    </row>
    <row r="1485" spans="1:5" x14ac:dyDescent="0.25">
      <c r="A1485" s="5" t="s">
        <v>74</v>
      </c>
      <c r="B1485" s="5" t="s">
        <v>3527</v>
      </c>
      <c r="C1485" s="5" t="s">
        <v>3528</v>
      </c>
      <c r="D1485" s="5" t="s">
        <v>74</v>
      </c>
      <c r="E1485" s="5" t="s">
        <v>74</v>
      </c>
    </row>
    <row r="1486" spans="1:5" x14ac:dyDescent="0.25">
      <c r="A1486" s="5">
        <v>15181</v>
      </c>
      <c r="B1486" s="5" t="s">
        <v>3529</v>
      </c>
      <c r="C1486" s="5" t="s">
        <v>3530</v>
      </c>
      <c r="D1486" s="5" t="s">
        <v>3531</v>
      </c>
      <c r="E1486" s="5" t="s">
        <v>110</v>
      </c>
    </row>
    <row r="1487" spans="1:5" x14ac:dyDescent="0.25">
      <c r="A1487" s="5">
        <v>18285</v>
      </c>
      <c r="B1487" s="5" t="s">
        <v>3532</v>
      </c>
      <c r="C1487" s="5" t="s">
        <v>3533</v>
      </c>
      <c r="D1487" s="5" t="s">
        <v>2221</v>
      </c>
      <c r="E1487" s="5" t="s">
        <v>117</v>
      </c>
    </row>
    <row r="1488" spans="1:5" x14ac:dyDescent="0.25">
      <c r="A1488" s="5">
        <v>14093</v>
      </c>
      <c r="B1488" s="5" t="s">
        <v>3534</v>
      </c>
      <c r="C1488" s="5" t="s">
        <v>3535</v>
      </c>
      <c r="D1488" s="5" t="s">
        <v>191</v>
      </c>
      <c r="E1488" s="5" t="s">
        <v>97</v>
      </c>
    </row>
    <row r="1489" spans="1:5" x14ac:dyDescent="0.25">
      <c r="A1489" s="5">
        <v>19020</v>
      </c>
      <c r="B1489" s="5" t="s">
        <v>3536</v>
      </c>
      <c r="C1489" s="5" t="s">
        <v>3537</v>
      </c>
      <c r="D1489" s="5" t="s">
        <v>74</v>
      </c>
      <c r="E1489" s="5" t="s">
        <v>479</v>
      </c>
    </row>
    <row r="1490" spans="1:5" x14ac:dyDescent="0.25">
      <c r="A1490" s="5">
        <v>12106</v>
      </c>
      <c r="B1490" s="5" t="s">
        <v>3538</v>
      </c>
      <c r="C1490" s="5" t="s">
        <v>3539</v>
      </c>
      <c r="D1490" s="5" t="s">
        <v>3540</v>
      </c>
      <c r="E1490" s="5" t="s">
        <v>211</v>
      </c>
    </row>
    <row r="1491" spans="1:5" x14ac:dyDescent="0.25">
      <c r="A1491" s="5">
        <v>27037</v>
      </c>
      <c r="B1491" s="5" t="s">
        <v>3541</v>
      </c>
      <c r="C1491" s="5" t="s">
        <v>3542</v>
      </c>
      <c r="D1491" s="5" t="s">
        <v>2084</v>
      </c>
      <c r="E1491" s="5" t="s">
        <v>312</v>
      </c>
    </row>
    <row r="1492" spans="1:5" x14ac:dyDescent="0.25">
      <c r="A1492" s="5">
        <v>19157</v>
      </c>
      <c r="B1492" s="5" t="s">
        <v>3543</v>
      </c>
      <c r="C1492" s="5" t="s">
        <v>3544</v>
      </c>
      <c r="D1492" s="5" t="s">
        <v>3545</v>
      </c>
      <c r="E1492" s="5" t="s">
        <v>348</v>
      </c>
    </row>
    <row r="1493" spans="1:5" x14ac:dyDescent="0.25">
      <c r="A1493" s="5" t="s">
        <v>74</v>
      </c>
      <c r="B1493" s="5" t="s">
        <v>3546</v>
      </c>
      <c r="C1493" s="5" t="s">
        <v>3547</v>
      </c>
      <c r="D1493" s="5" t="s">
        <v>74</v>
      </c>
      <c r="E1493" s="5" t="s">
        <v>74</v>
      </c>
    </row>
    <row r="1494" spans="1:5" x14ac:dyDescent="0.25">
      <c r="A1494" s="5">
        <v>14097</v>
      </c>
      <c r="B1494" s="5" t="s">
        <v>3548</v>
      </c>
      <c r="C1494" s="5" t="s">
        <v>3549</v>
      </c>
      <c r="D1494" s="5" t="s">
        <v>246</v>
      </c>
      <c r="E1494" s="5" t="s">
        <v>72</v>
      </c>
    </row>
    <row r="1495" spans="1:5" x14ac:dyDescent="0.25">
      <c r="A1495" s="5">
        <v>15121</v>
      </c>
      <c r="B1495" s="5" t="s">
        <v>3550</v>
      </c>
      <c r="C1495" s="5" t="s">
        <v>3551</v>
      </c>
      <c r="D1495" s="5" t="s">
        <v>2221</v>
      </c>
      <c r="E1495" s="5" t="s">
        <v>117</v>
      </c>
    </row>
    <row r="1496" spans="1:5" x14ac:dyDescent="0.25">
      <c r="A1496" s="5">
        <v>19145</v>
      </c>
      <c r="B1496" s="5" t="s">
        <v>3552</v>
      </c>
      <c r="C1496" s="5" t="s">
        <v>3553</v>
      </c>
      <c r="D1496" s="5" t="s">
        <v>2300</v>
      </c>
      <c r="E1496" s="5" t="s">
        <v>312</v>
      </c>
    </row>
    <row r="1497" spans="1:5" x14ac:dyDescent="0.25">
      <c r="A1497" s="5">
        <v>18284</v>
      </c>
      <c r="B1497" s="5" t="s">
        <v>3554</v>
      </c>
      <c r="C1497" s="5" t="s">
        <v>3555</v>
      </c>
      <c r="D1497" s="5" t="s">
        <v>3556</v>
      </c>
      <c r="E1497" s="5" t="s">
        <v>524</v>
      </c>
    </row>
    <row r="1498" spans="1:5" x14ac:dyDescent="0.25">
      <c r="A1498" s="5" t="s">
        <v>74</v>
      </c>
      <c r="B1498" s="5" t="s">
        <v>3557</v>
      </c>
      <c r="C1498" s="5" t="s">
        <v>3558</v>
      </c>
      <c r="D1498" s="5" t="s">
        <v>74</v>
      </c>
      <c r="E1498" s="5" t="s">
        <v>74</v>
      </c>
    </row>
    <row r="1499" spans="1:5" x14ac:dyDescent="0.25">
      <c r="A1499" s="5">
        <v>13125</v>
      </c>
      <c r="B1499" s="5" t="s">
        <v>3559</v>
      </c>
      <c r="C1499" s="5" t="s">
        <v>3560</v>
      </c>
      <c r="D1499" s="5" t="s">
        <v>1734</v>
      </c>
      <c r="E1499" s="5" t="s">
        <v>188</v>
      </c>
    </row>
    <row r="1500" spans="1:5" x14ac:dyDescent="0.25">
      <c r="A1500" s="5">
        <v>15079</v>
      </c>
      <c r="B1500" s="5" t="s">
        <v>3561</v>
      </c>
      <c r="C1500" s="5" t="s">
        <v>3562</v>
      </c>
      <c r="D1500" s="5" t="s">
        <v>507</v>
      </c>
      <c r="E1500" s="5" t="s">
        <v>479</v>
      </c>
    </row>
    <row r="1501" spans="1:5" x14ac:dyDescent="0.25">
      <c r="A1501" s="5">
        <v>16144</v>
      </c>
      <c r="B1501" s="5" t="s">
        <v>3563</v>
      </c>
      <c r="C1501" s="5" t="s">
        <v>3564</v>
      </c>
      <c r="D1501" s="5" t="s">
        <v>294</v>
      </c>
      <c r="E1501" s="5" t="s">
        <v>85</v>
      </c>
    </row>
    <row r="1502" spans="1:5" x14ac:dyDescent="0.25">
      <c r="A1502" s="5">
        <v>17144</v>
      </c>
      <c r="B1502" s="5" t="s">
        <v>3565</v>
      </c>
      <c r="C1502" s="5" t="s">
        <v>3566</v>
      </c>
      <c r="D1502" s="5" t="s">
        <v>3567</v>
      </c>
      <c r="E1502" s="5" t="s">
        <v>72</v>
      </c>
    </row>
    <row r="1503" spans="1:5" x14ac:dyDescent="0.25">
      <c r="A1503" s="5" t="s">
        <v>74</v>
      </c>
      <c r="B1503" s="5" t="s">
        <v>3568</v>
      </c>
      <c r="C1503" s="5" t="s">
        <v>3569</v>
      </c>
      <c r="D1503" s="5" t="s">
        <v>74</v>
      </c>
      <c r="E1503" s="5" t="s">
        <v>74</v>
      </c>
    </row>
    <row r="1504" spans="1:5" x14ac:dyDescent="0.25">
      <c r="A1504" s="5" t="s">
        <v>74</v>
      </c>
      <c r="B1504" s="5" t="s">
        <v>3570</v>
      </c>
      <c r="C1504" s="5" t="s">
        <v>3571</v>
      </c>
      <c r="D1504" s="5" t="s">
        <v>74</v>
      </c>
      <c r="E1504" s="5" t="s">
        <v>74</v>
      </c>
    </row>
    <row r="1505" spans="1:5" x14ac:dyDescent="0.25">
      <c r="A1505" s="5" t="s">
        <v>74</v>
      </c>
      <c r="B1505" s="5" t="s">
        <v>3572</v>
      </c>
      <c r="C1505" s="5" t="s">
        <v>3573</v>
      </c>
      <c r="D1505" s="5" t="s">
        <v>74</v>
      </c>
      <c r="E1505" s="5" t="s">
        <v>74</v>
      </c>
    </row>
    <row r="1506" spans="1:5" x14ac:dyDescent="0.25">
      <c r="A1506" s="5" t="s">
        <v>74</v>
      </c>
      <c r="B1506" s="5" t="s">
        <v>97</v>
      </c>
      <c r="C1506" s="5" t="s">
        <v>3574</v>
      </c>
      <c r="D1506" s="5" t="s">
        <v>74</v>
      </c>
      <c r="E1506" s="5" t="s">
        <v>74</v>
      </c>
    </row>
    <row r="1507" spans="1:5" x14ac:dyDescent="0.25">
      <c r="A1507" s="5" t="s">
        <v>74</v>
      </c>
      <c r="B1507" s="5" t="s">
        <v>3575</v>
      </c>
      <c r="C1507" s="5" t="s">
        <v>3576</v>
      </c>
      <c r="D1507" s="5" t="s">
        <v>74</v>
      </c>
      <c r="E1507" s="5" t="s">
        <v>74</v>
      </c>
    </row>
    <row r="1508" spans="1:5" x14ac:dyDescent="0.25">
      <c r="A1508" s="5" t="s">
        <v>74</v>
      </c>
      <c r="B1508" s="5" t="s">
        <v>3577</v>
      </c>
      <c r="C1508" s="5" t="s">
        <v>3578</v>
      </c>
      <c r="D1508" s="5" t="s">
        <v>74</v>
      </c>
      <c r="E1508" s="5" t="s">
        <v>74</v>
      </c>
    </row>
    <row r="1509" spans="1:5" x14ac:dyDescent="0.25">
      <c r="A1509" s="5" t="s">
        <v>74</v>
      </c>
      <c r="B1509" s="5" t="s">
        <v>3579</v>
      </c>
      <c r="C1509" s="5" t="s">
        <v>3580</v>
      </c>
      <c r="D1509" s="5" t="s">
        <v>74</v>
      </c>
      <c r="E1509" s="5" t="s">
        <v>74</v>
      </c>
    </row>
    <row r="1510" spans="1:5" x14ac:dyDescent="0.25">
      <c r="A1510" s="5">
        <v>16035</v>
      </c>
      <c r="B1510" s="5" t="s">
        <v>3581</v>
      </c>
      <c r="C1510" s="5" t="s">
        <v>3582</v>
      </c>
      <c r="D1510" s="5" t="s">
        <v>3583</v>
      </c>
      <c r="E1510" s="5" t="s">
        <v>1772</v>
      </c>
    </row>
    <row r="1511" spans="1:5" x14ac:dyDescent="0.25">
      <c r="A1511" s="5" t="s">
        <v>74</v>
      </c>
      <c r="B1511" s="5" t="s">
        <v>3584</v>
      </c>
      <c r="C1511" s="5" t="s">
        <v>3585</v>
      </c>
      <c r="D1511" s="5" t="s">
        <v>74</v>
      </c>
      <c r="E1511" s="5" t="s">
        <v>74</v>
      </c>
    </row>
    <row r="1512" spans="1:5" x14ac:dyDescent="0.25">
      <c r="A1512" s="5" t="s">
        <v>74</v>
      </c>
      <c r="B1512" s="5" t="s">
        <v>3586</v>
      </c>
      <c r="C1512" s="5" t="s">
        <v>3587</v>
      </c>
      <c r="D1512" s="5" t="s">
        <v>74</v>
      </c>
      <c r="E1512" s="5" t="s">
        <v>74</v>
      </c>
    </row>
    <row r="1513" spans="1:5" x14ac:dyDescent="0.25">
      <c r="A1513" s="5" t="s">
        <v>74</v>
      </c>
      <c r="B1513" s="5" t="s">
        <v>3588</v>
      </c>
      <c r="C1513" s="5" t="s">
        <v>3589</v>
      </c>
      <c r="D1513" s="5" t="s">
        <v>74</v>
      </c>
      <c r="E1513" s="5" t="s">
        <v>74</v>
      </c>
    </row>
    <row r="1514" spans="1:5" x14ac:dyDescent="0.25">
      <c r="A1514" s="5" t="s">
        <v>74</v>
      </c>
      <c r="B1514" s="5" t="s">
        <v>3590</v>
      </c>
      <c r="C1514" s="5" t="s">
        <v>3591</v>
      </c>
      <c r="D1514" s="5" t="s">
        <v>74</v>
      </c>
      <c r="E1514" s="5" t="s">
        <v>74</v>
      </c>
    </row>
    <row r="1515" spans="1:5" x14ac:dyDescent="0.25">
      <c r="A1515" s="5">
        <v>13247</v>
      </c>
      <c r="B1515" s="5" t="s">
        <v>3592</v>
      </c>
      <c r="C1515" s="5" t="s">
        <v>3593</v>
      </c>
      <c r="D1515" s="5" t="s">
        <v>507</v>
      </c>
      <c r="E1515" s="5" t="s">
        <v>153</v>
      </c>
    </row>
    <row r="1516" spans="1:5" x14ac:dyDescent="0.25">
      <c r="A1516" s="5">
        <v>15140</v>
      </c>
      <c r="B1516" s="5" t="s">
        <v>3594</v>
      </c>
      <c r="C1516" s="5" t="s">
        <v>3595</v>
      </c>
      <c r="D1516" s="5" t="s">
        <v>3596</v>
      </c>
      <c r="E1516" s="5" t="s">
        <v>81</v>
      </c>
    </row>
    <row r="1517" spans="1:5" x14ac:dyDescent="0.25">
      <c r="A1517" s="5">
        <v>16046</v>
      </c>
      <c r="B1517" s="5" t="s">
        <v>3597</v>
      </c>
      <c r="C1517" s="5" t="s">
        <v>3598</v>
      </c>
      <c r="D1517" s="5" t="s">
        <v>3599</v>
      </c>
      <c r="E1517" s="5" t="s">
        <v>117</v>
      </c>
    </row>
    <row r="1518" spans="1:5" x14ac:dyDescent="0.25">
      <c r="A1518" s="5">
        <v>16083</v>
      </c>
      <c r="B1518" s="5" t="s">
        <v>3600</v>
      </c>
      <c r="C1518" s="5" t="s">
        <v>3601</v>
      </c>
      <c r="D1518" s="5" t="s">
        <v>3602</v>
      </c>
      <c r="E1518" s="5" t="s">
        <v>211</v>
      </c>
    </row>
    <row r="1519" spans="1:5" x14ac:dyDescent="0.25">
      <c r="A1519" s="5" t="s">
        <v>74</v>
      </c>
      <c r="B1519" s="5" t="s">
        <v>3603</v>
      </c>
      <c r="C1519" s="5" t="s">
        <v>3604</v>
      </c>
      <c r="D1519" s="5" t="s">
        <v>74</v>
      </c>
      <c r="E1519" s="5" t="s">
        <v>140</v>
      </c>
    </row>
    <row r="1520" spans="1:5" x14ac:dyDescent="0.25">
      <c r="A1520" s="5">
        <v>14042</v>
      </c>
      <c r="B1520" s="5" t="s">
        <v>3605</v>
      </c>
      <c r="C1520" s="5" t="s">
        <v>3606</v>
      </c>
      <c r="D1520" s="5" t="s">
        <v>3607</v>
      </c>
      <c r="E1520" s="5" t="s">
        <v>206</v>
      </c>
    </row>
    <row r="1521" spans="1:5" x14ac:dyDescent="0.25">
      <c r="A1521" s="5" t="s">
        <v>74</v>
      </c>
      <c r="B1521" s="5" t="s">
        <v>3608</v>
      </c>
      <c r="C1521" s="5" t="s">
        <v>3609</v>
      </c>
      <c r="D1521" s="5" t="s">
        <v>74</v>
      </c>
      <c r="E1521" s="5" t="s">
        <v>74</v>
      </c>
    </row>
    <row r="1522" spans="1:5" x14ac:dyDescent="0.25">
      <c r="A1522" s="5" t="s">
        <v>74</v>
      </c>
      <c r="B1522" s="5" t="s">
        <v>3610</v>
      </c>
      <c r="C1522" s="5" t="s">
        <v>3611</v>
      </c>
      <c r="D1522" s="5" t="s">
        <v>74</v>
      </c>
      <c r="E1522" s="5" t="s">
        <v>74</v>
      </c>
    </row>
    <row r="1523" spans="1:5" x14ac:dyDescent="0.25">
      <c r="A1523" s="5" t="s">
        <v>74</v>
      </c>
      <c r="B1523" s="5" t="s">
        <v>3612</v>
      </c>
      <c r="C1523" s="5" t="s">
        <v>3613</v>
      </c>
      <c r="D1523" s="5" t="s">
        <v>74</v>
      </c>
      <c r="E1523" s="5" t="s">
        <v>74</v>
      </c>
    </row>
    <row r="1524" spans="1:5" x14ac:dyDescent="0.25">
      <c r="A1524" s="5" t="s">
        <v>74</v>
      </c>
      <c r="B1524" s="5" t="s">
        <v>3614</v>
      </c>
      <c r="C1524" s="5" t="s">
        <v>3615</v>
      </c>
      <c r="D1524" s="5" t="s">
        <v>74</v>
      </c>
      <c r="E1524" s="5" t="s">
        <v>74</v>
      </c>
    </row>
    <row r="1525" spans="1:5" x14ac:dyDescent="0.25">
      <c r="A1525" s="5">
        <v>94020</v>
      </c>
      <c r="B1525" s="5" t="s">
        <v>3616</v>
      </c>
      <c r="C1525" s="5" t="s">
        <v>3617</v>
      </c>
      <c r="D1525" s="5" t="s">
        <v>3618</v>
      </c>
      <c r="E1525" s="5" t="s">
        <v>89</v>
      </c>
    </row>
    <row r="1526" spans="1:5" x14ac:dyDescent="0.25">
      <c r="A1526" s="5" t="s">
        <v>74</v>
      </c>
      <c r="B1526" s="5" t="s">
        <v>3619</v>
      </c>
      <c r="C1526" s="5" t="s">
        <v>3620</v>
      </c>
      <c r="D1526" s="5" t="s">
        <v>74</v>
      </c>
      <c r="E1526" s="5" t="s">
        <v>74</v>
      </c>
    </row>
    <row r="1527" spans="1:5" x14ac:dyDescent="0.25">
      <c r="A1527" s="5" t="s">
        <v>74</v>
      </c>
      <c r="B1527" s="5" t="s">
        <v>3621</v>
      </c>
      <c r="C1527" s="5" t="s">
        <v>3622</v>
      </c>
      <c r="D1527" s="5" t="s">
        <v>74</v>
      </c>
      <c r="E1527" s="5" t="s">
        <v>74</v>
      </c>
    </row>
    <row r="1528" spans="1:5" x14ac:dyDescent="0.25">
      <c r="A1528" s="5">
        <v>19208</v>
      </c>
      <c r="B1528" s="5" t="s">
        <v>3623</v>
      </c>
      <c r="C1528" s="5" t="s">
        <v>3624</v>
      </c>
      <c r="D1528" s="5" t="s">
        <v>386</v>
      </c>
      <c r="E1528" s="5" t="s">
        <v>351</v>
      </c>
    </row>
    <row r="1529" spans="1:5" x14ac:dyDescent="0.25">
      <c r="A1529" s="5">
        <v>20065</v>
      </c>
      <c r="B1529" s="5" t="s">
        <v>3625</v>
      </c>
      <c r="C1529" s="5" t="s">
        <v>3626</v>
      </c>
      <c r="D1529" s="5" t="s">
        <v>3627</v>
      </c>
      <c r="E1529" s="5" t="s">
        <v>77</v>
      </c>
    </row>
    <row r="1530" spans="1:5" x14ac:dyDescent="0.25">
      <c r="A1530" s="5">
        <v>19236</v>
      </c>
      <c r="B1530" s="5" t="s">
        <v>3628</v>
      </c>
      <c r="C1530" s="5" t="s">
        <v>3629</v>
      </c>
      <c r="D1530" s="5" t="s">
        <v>88</v>
      </c>
      <c r="E1530" s="5" t="s">
        <v>89</v>
      </c>
    </row>
    <row r="1531" spans="1:5" x14ac:dyDescent="0.25">
      <c r="A1531" s="5">
        <v>16042</v>
      </c>
      <c r="B1531" s="5" t="s">
        <v>3630</v>
      </c>
      <c r="C1531" s="5" t="s">
        <v>3631</v>
      </c>
      <c r="D1531" s="5" t="s">
        <v>3632</v>
      </c>
      <c r="E1531" s="5" t="s">
        <v>51</v>
      </c>
    </row>
    <row r="1532" spans="1:5" x14ac:dyDescent="0.25">
      <c r="A1532" s="5">
        <v>13079</v>
      </c>
      <c r="B1532" s="5" t="s">
        <v>3633</v>
      </c>
      <c r="C1532" s="5" t="s">
        <v>3634</v>
      </c>
      <c r="D1532" s="5" t="s">
        <v>722</v>
      </c>
      <c r="E1532" s="5" t="s">
        <v>89</v>
      </c>
    </row>
    <row r="1533" spans="1:5" x14ac:dyDescent="0.25">
      <c r="A1533" s="5">
        <v>17010</v>
      </c>
      <c r="B1533" s="5" t="s">
        <v>3635</v>
      </c>
      <c r="C1533" s="5" t="s">
        <v>3636</v>
      </c>
      <c r="D1533" s="5" t="s">
        <v>533</v>
      </c>
      <c r="E1533" s="5" t="s">
        <v>97</v>
      </c>
    </row>
    <row r="1534" spans="1:5" x14ac:dyDescent="0.25">
      <c r="A1534" s="5">
        <v>13089</v>
      </c>
      <c r="B1534" s="5" t="s">
        <v>3637</v>
      </c>
      <c r="C1534" s="5" t="s">
        <v>3638</v>
      </c>
      <c r="D1534" s="5" t="s">
        <v>3639</v>
      </c>
      <c r="E1534" s="5" t="s">
        <v>89</v>
      </c>
    </row>
    <row r="1535" spans="1:5" x14ac:dyDescent="0.25">
      <c r="A1535" s="5">
        <v>15119</v>
      </c>
      <c r="B1535" s="5" t="s">
        <v>3640</v>
      </c>
      <c r="C1535" s="5" t="s">
        <v>3641</v>
      </c>
      <c r="D1535" s="5" t="s">
        <v>227</v>
      </c>
      <c r="E1535" s="5" t="s">
        <v>89</v>
      </c>
    </row>
    <row r="1536" spans="1:5" x14ac:dyDescent="0.25">
      <c r="A1536" s="5">
        <v>13043</v>
      </c>
      <c r="B1536" s="5" t="s">
        <v>3642</v>
      </c>
      <c r="C1536" s="5" t="s">
        <v>3643</v>
      </c>
      <c r="D1536" s="5" t="s">
        <v>3644</v>
      </c>
      <c r="E1536" s="5" t="s">
        <v>81</v>
      </c>
    </row>
    <row r="1537" spans="1:5" x14ac:dyDescent="0.25">
      <c r="A1537" s="5">
        <v>89008</v>
      </c>
      <c r="B1537" s="5" t="s">
        <v>3645</v>
      </c>
      <c r="C1537" s="5" t="s">
        <v>3646</v>
      </c>
      <c r="D1537" s="5" t="s">
        <v>3647</v>
      </c>
      <c r="E1537" s="5" t="s">
        <v>224</v>
      </c>
    </row>
    <row r="1538" spans="1:5" x14ac:dyDescent="0.25">
      <c r="A1538" s="5">
        <v>15109</v>
      </c>
      <c r="B1538" s="5" t="s">
        <v>3648</v>
      </c>
      <c r="C1538" s="5" t="s">
        <v>3649</v>
      </c>
      <c r="D1538" s="5" t="s">
        <v>96</v>
      </c>
      <c r="E1538" s="5" t="s">
        <v>110</v>
      </c>
    </row>
    <row r="1539" spans="1:5" x14ac:dyDescent="0.25">
      <c r="A1539" s="5">
        <v>27119</v>
      </c>
      <c r="B1539" s="5" t="s">
        <v>3650</v>
      </c>
      <c r="C1539" s="5" t="s">
        <v>3651</v>
      </c>
      <c r="D1539" s="5" t="s">
        <v>739</v>
      </c>
      <c r="E1539" s="5" t="s">
        <v>110</v>
      </c>
    </row>
    <row r="1540" spans="1:5" x14ac:dyDescent="0.25">
      <c r="A1540" s="5">
        <v>17100</v>
      </c>
      <c r="B1540" s="5" t="s">
        <v>3652</v>
      </c>
      <c r="C1540" s="5" t="s">
        <v>3653</v>
      </c>
      <c r="D1540" s="5" t="s">
        <v>3654</v>
      </c>
      <c r="E1540" s="5" t="s">
        <v>117</v>
      </c>
    </row>
    <row r="1541" spans="1:5" x14ac:dyDescent="0.25">
      <c r="A1541" s="5">
        <v>27138</v>
      </c>
      <c r="B1541" s="5" t="s">
        <v>3655</v>
      </c>
      <c r="C1541" s="5" t="s">
        <v>3656</v>
      </c>
      <c r="D1541" s="5" t="s">
        <v>3657</v>
      </c>
      <c r="E1541" s="5" t="s">
        <v>3658</v>
      </c>
    </row>
    <row r="1542" spans="1:5" x14ac:dyDescent="0.25">
      <c r="A1542" s="5">
        <v>21031</v>
      </c>
      <c r="B1542" s="5" t="s">
        <v>3659</v>
      </c>
      <c r="C1542" s="5" t="s">
        <v>3660</v>
      </c>
      <c r="D1542" s="5" t="s">
        <v>84</v>
      </c>
      <c r="E1542" s="5" t="s">
        <v>89</v>
      </c>
    </row>
    <row r="1543" spans="1:5" x14ac:dyDescent="0.25">
      <c r="A1543" s="5">
        <v>19203</v>
      </c>
      <c r="B1543" s="5" t="s">
        <v>3661</v>
      </c>
      <c r="C1543" s="5" t="s">
        <v>3662</v>
      </c>
      <c r="D1543" s="5" t="s">
        <v>3663</v>
      </c>
      <c r="E1543" s="5" t="s">
        <v>81</v>
      </c>
    </row>
    <row r="1544" spans="1:5" x14ac:dyDescent="0.25">
      <c r="A1544" s="5">
        <v>18172</v>
      </c>
      <c r="B1544" s="5" t="s">
        <v>3664</v>
      </c>
      <c r="C1544" s="5" t="s">
        <v>3665</v>
      </c>
      <c r="D1544" s="5" t="s">
        <v>533</v>
      </c>
      <c r="E1544" s="5" t="s">
        <v>81</v>
      </c>
    </row>
    <row r="1545" spans="1:5" x14ac:dyDescent="0.25">
      <c r="A1545" s="5">
        <v>14148</v>
      </c>
      <c r="B1545" s="5" t="s">
        <v>3666</v>
      </c>
      <c r="C1545" s="5" t="s">
        <v>3667</v>
      </c>
      <c r="D1545" s="5" t="s">
        <v>3668</v>
      </c>
      <c r="E1545" s="5" t="s">
        <v>72</v>
      </c>
    </row>
    <row r="1546" spans="1:5" x14ac:dyDescent="0.25">
      <c r="A1546" s="5" t="s">
        <v>74</v>
      </c>
      <c r="B1546" s="5" t="s">
        <v>3669</v>
      </c>
      <c r="C1546" s="5" t="s">
        <v>3670</v>
      </c>
      <c r="D1546" s="5" t="s">
        <v>74</v>
      </c>
      <c r="E1546" s="5" t="s">
        <v>74</v>
      </c>
    </row>
    <row r="1547" spans="1:5" x14ac:dyDescent="0.25">
      <c r="A1547" s="5">
        <v>19105</v>
      </c>
      <c r="B1547" s="5" t="s">
        <v>3671</v>
      </c>
      <c r="C1547" s="5" t="s">
        <v>3672</v>
      </c>
      <c r="D1547" s="5" t="s">
        <v>582</v>
      </c>
      <c r="E1547" s="5" t="s">
        <v>181</v>
      </c>
    </row>
    <row r="1548" spans="1:5" x14ac:dyDescent="0.25">
      <c r="A1548" s="5" t="s">
        <v>74</v>
      </c>
      <c r="B1548" s="5" t="s">
        <v>3673</v>
      </c>
      <c r="C1548" s="5" t="s">
        <v>3674</v>
      </c>
      <c r="D1548" s="5" t="s">
        <v>74</v>
      </c>
      <c r="E1548" s="5" t="s">
        <v>74</v>
      </c>
    </row>
    <row r="1549" spans="1:5" x14ac:dyDescent="0.25">
      <c r="A1549" s="5" t="s">
        <v>74</v>
      </c>
      <c r="B1549" s="5" t="s">
        <v>3675</v>
      </c>
      <c r="C1549" s="5" t="s">
        <v>3676</v>
      </c>
      <c r="D1549" s="5" t="s">
        <v>74</v>
      </c>
      <c r="E1549" s="5" t="s">
        <v>74</v>
      </c>
    </row>
    <row r="1550" spans="1:5" x14ac:dyDescent="0.25">
      <c r="A1550" s="5" t="s">
        <v>74</v>
      </c>
      <c r="B1550" s="5" t="s">
        <v>72</v>
      </c>
      <c r="C1550" s="5" t="s">
        <v>3677</v>
      </c>
      <c r="D1550" s="5" t="s">
        <v>74</v>
      </c>
      <c r="E1550" s="5" t="s">
        <v>74</v>
      </c>
    </row>
    <row r="1551" spans="1:5" x14ac:dyDescent="0.25">
      <c r="A1551" s="5" t="s">
        <v>74</v>
      </c>
      <c r="B1551" s="5" t="s">
        <v>3678</v>
      </c>
      <c r="C1551" s="5" t="s">
        <v>3679</v>
      </c>
      <c r="D1551" s="5" t="s">
        <v>74</v>
      </c>
      <c r="E1551" s="5" t="s">
        <v>74</v>
      </c>
    </row>
    <row r="1552" spans="1:5" x14ac:dyDescent="0.25">
      <c r="A1552" s="5">
        <v>13064</v>
      </c>
      <c r="B1552" s="5" t="s">
        <v>3680</v>
      </c>
      <c r="C1552" s="5" t="s">
        <v>3681</v>
      </c>
      <c r="D1552" s="5" t="s">
        <v>722</v>
      </c>
      <c r="E1552" s="5" t="s">
        <v>89</v>
      </c>
    </row>
    <row r="1553" spans="1:5" x14ac:dyDescent="0.25">
      <c r="A1553" s="5" t="s">
        <v>74</v>
      </c>
      <c r="B1553" s="5" t="s">
        <v>3682</v>
      </c>
      <c r="C1553" s="5" t="s">
        <v>3683</v>
      </c>
      <c r="D1553" s="5" t="s">
        <v>74</v>
      </c>
      <c r="E1553" s="5" t="s">
        <v>74</v>
      </c>
    </row>
    <row r="1554" spans="1:5" x14ac:dyDescent="0.25">
      <c r="A1554" s="5" t="s">
        <v>74</v>
      </c>
      <c r="B1554" s="5" t="s">
        <v>3684</v>
      </c>
      <c r="C1554" s="5" t="s">
        <v>3685</v>
      </c>
      <c r="D1554" s="5" t="s">
        <v>74</v>
      </c>
      <c r="E1554" s="5" t="s">
        <v>74</v>
      </c>
    </row>
    <row r="1555" spans="1:5" x14ac:dyDescent="0.25">
      <c r="A1555" s="5" t="s">
        <v>74</v>
      </c>
      <c r="B1555" s="5" t="s">
        <v>3686</v>
      </c>
      <c r="C1555" s="5" t="s">
        <v>3687</v>
      </c>
      <c r="D1555" s="5" t="s">
        <v>74</v>
      </c>
      <c r="E1555" s="5" t="s">
        <v>74</v>
      </c>
    </row>
    <row r="1556" spans="1:5" x14ac:dyDescent="0.25">
      <c r="A1556" s="5" t="s">
        <v>74</v>
      </c>
      <c r="B1556" s="5" t="s">
        <v>3688</v>
      </c>
      <c r="C1556" s="5" t="s">
        <v>3689</v>
      </c>
      <c r="D1556" s="5" t="s">
        <v>74</v>
      </c>
      <c r="E1556" s="5" t="s">
        <v>74</v>
      </c>
    </row>
    <row r="1557" spans="1:5" x14ac:dyDescent="0.25">
      <c r="A1557" s="5" t="s">
        <v>74</v>
      </c>
      <c r="B1557" s="5" t="s">
        <v>3690</v>
      </c>
      <c r="C1557" s="5" t="s">
        <v>3691</v>
      </c>
      <c r="D1557" s="5" t="s">
        <v>74</v>
      </c>
      <c r="E1557" s="5" t="s">
        <v>74</v>
      </c>
    </row>
    <row r="1558" spans="1:5" x14ac:dyDescent="0.25">
      <c r="A1558" s="5" t="s">
        <v>74</v>
      </c>
      <c r="B1558" s="5" t="s">
        <v>3692</v>
      </c>
      <c r="C1558" s="5" t="s">
        <v>3693</v>
      </c>
      <c r="D1558" s="5" t="s">
        <v>74</v>
      </c>
      <c r="E1558" s="5" t="s">
        <v>74</v>
      </c>
    </row>
    <row r="1559" spans="1:5" x14ac:dyDescent="0.25">
      <c r="A1559" s="5" t="s">
        <v>74</v>
      </c>
      <c r="B1559" s="5" t="s">
        <v>3694</v>
      </c>
      <c r="C1559" s="5" t="s">
        <v>3695</v>
      </c>
      <c r="D1559" s="5" t="s">
        <v>74</v>
      </c>
      <c r="E1559" s="5" t="s">
        <v>74</v>
      </c>
    </row>
    <row r="1560" spans="1:5" x14ac:dyDescent="0.25">
      <c r="A1560" s="5" t="s">
        <v>74</v>
      </c>
      <c r="B1560" s="5" t="s">
        <v>3696</v>
      </c>
      <c r="C1560" s="5" t="s">
        <v>3697</v>
      </c>
      <c r="D1560" s="5" t="s">
        <v>74</v>
      </c>
      <c r="E1560" s="5" t="s">
        <v>74</v>
      </c>
    </row>
    <row r="1561" spans="1:5" x14ac:dyDescent="0.25">
      <c r="A1561" s="5" t="s">
        <v>74</v>
      </c>
      <c r="B1561" s="5" t="s">
        <v>3698</v>
      </c>
      <c r="C1561" s="5" t="s">
        <v>3699</v>
      </c>
      <c r="D1561" s="5" t="s">
        <v>74</v>
      </c>
      <c r="E1561" s="5" t="s">
        <v>74</v>
      </c>
    </row>
    <row r="1562" spans="1:5" x14ac:dyDescent="0.25">
      <c r="A1562" s="5" t="s">
        <v>74</v>
      </c>
      <c r="B1562" s="5" t="s">
        <v>3700</v>
      </c>
      <c r="C1562" s="5" t="s">
        <v>3701</v>
      </c>
      <c r="D1562" s="5" t="s">
        <v>74</v>
      </c>
      <c r="E1562" s="5" t="s">
        <v>74</v>
      </c>
    </row>
    <row r="1563" spans="1:5" x14ac:dyDescent="0.25">
      <c r="A1563" s="5" t="s">
        <v>74</v>
      </c>
      <c r="B1563" s="5" t="s">
        <v>3702</v>
      </c>
      <c r="C1563" s="5" t="s">
        <v>3703</v>
      </c>
      <c r="D1563" s="5" t="s">
        <v>74</v>
      </c>
      <c r="E1563" s="5" t="s">
        <v>74</v>
      </c>
    </row>
    <row r="1564" spans="1:5" x14ac:dyDescent="0.25">
      <c r="A1564" s="5" t="s">
        <v>74</v>
      </c>
      <c r="B1564" s="5" t="s">
        <v>3704</v>
      </c>
      <c r="C1564" s="5" t="s">
        <v>3705</v>
      </c>
      <c r="D1564" s="5" t="s">
        <v>74</v>
      </c>
      <c r="E1564" s="5" t="s">
        <v>74</v>
      </c>
    </row>
    <row r="1565" spans="1:5" x14ac:dyDescent="0.25">
      <c r="A1565" s="5" t="s">
        <v>74</v>
      </c>
      <c r="B1565" s="5" t="s">
        <v>3706</v>
      </c>
      <c r="C1565" s="5" t="s">
        <v>3707</v>
      </c>
      <c r="D1565" s="5" t="s">
        <v>74</v>
      </c>
      <c r="E1565" s="5" t="s">
        <v>74</v>
      </c>
    </row>
    <row r="1566" spans="1:5" x14ac:dyDescent="0.25">
      <c r="A1566" s="5" t="s">
        <v>74</v>
      </c>
      <c r="B1566" s="5" t="s">
        <v>3708</v>
      </c>
      <c r="C1566" s="5" t="s">
        <v>3709</v>
      </c>
      <c r="D1566" s="5" t="s">
        <v>74</v>
      </c>
      <c r="E1566" s="5" t="s">
        <v>74</v>
      </c>
    </row>
    <row r="1567" spans="1:5" x14ac:dyDescent="0.25">
      <c r="A1567" s="5" t="s">
        <v>74</v>
      </c>
      <c r="B1567" s="5" t="s">
        <v>3710</v>
      </c>
      <c r="C1567" s="5" t="s">
        <v>3711</v>
      </c>
      <c r="D1567" s="5" t="s">
        <v>74</v>
      </c>
      <c r="E1567" s="5" t="s">
        <v>74</v>
      </c>
    </row>
    <row r="1568" spans="1:5" x14ac:dyDescent="0.25">
      <c r="A1568" s="5" t="s">
        <v>74</v>
      </c>
      <c r="B1568" s="5" t="s">
        <v>3712</v>
      </c>
      <c r="C1568" s="5" t="s">
        <v>3713</v>
      </c>
      <c r="D1568" s="5" t="s">
        <v>74</v>
      </c>
      <c r="E1568" s="5" t="s">
        <v>74</v>
      </c>
    </row>
    <row r="1569" spans="1:5" x14ac:dyDescent="0.25">
      <c r="A1569" s="5" t="s">
        <v>74</v>
      </c>
      <c r="B1569" s="5" t="s">
        <v>3714</v>
      </c>
      <c r="C1569" s="5" t="s">
        <v>3715</v>
      </c>
      <c r="D1569" s="5" t="s">
        <v>74</v>
      </c>
      <c r="E1569" s="5" t="s">
        <v>74</v>
      </c>
    </row>
    <row r="1570" spans="1:5" x14ac:dyDescent="0.25">
      <c r="A1570" s="5" t="s">
        <v>74</v>
      </c>
      <c r="B1570" s="5" t="s">
        <v>3716</v>
      </c>
      <c r="C1570" s="5" t="s">
        <v>3717</v>
      </c>
      <c r="D1570" s="5" t="s">
        <v>74</v>
      </c>
      <c r="E1570" s="5" t="s">
        <v>74</v>
      </c>
    </row>
    <row r="1571" spans="1:5" x14ac:dyDescent="0.25">
      <c r="A1571" s="5">
        <v>13316</v>
      </c>
      <c r="B1571" s="5" t="s">
        <v>3718</v>
      </c>
      <c r="C1571" s="5" t="s">
        <v>3719</v>
      </c>
      <c r="D1571" s="5" t="s">
        <v>3720</v>
      </c>
      <c r="E1571" s="5" t="s">
        <v>153</v>
      </c>
    </row>
    <row r="1572" spans="1:5" x14ac:dyDescent="0.25">
      <c r="A1572" s="5">
        <v>12222</v>
      </c>
      <c r="B1572" s="5" t="s">
        <v>3721</v>
      </c>
      <c r="C1572" s="5" t="s">
        <v>3722</v>
      </c>
      <c r="D1572" s="5" t="s">
        <v>74</v>
      </c>
      <c r="E1572" s="5" t="s">
        <v>74</v>
      </c>
    </row>
    <row r="1573" spans="1:5" x14ac:dyDescent="0.25">
      <c r="A1573" s="5" t="s">
        <v>74</v>
      </c>
      <c r="B1573" s="5" t="s">
        <v>3723</v>
      </c>
      <c r="C1573" s="5" t="s">
        <v>3724</v>
      </c>
      <c r="D1573" s="5" t="s">
        <v>74</v>
      </c>
      <c r="E1573" s="5" t="s">
        <v>74</v>
      </c>
    </row>
    <row r="1574" spans="1:5" x14ac:dyDescent="0.25">
      <c r="A1574" s="5" t="s">
        <v>74</v>
      </c>
      <c r="B1574" s="5" t="s">
        <v>1265</v>
      </c>
      <c r="C1574" s="5" t="s">
        <v>3725</v>
      </c>
      <c r="D1574" s="5" t="s">
        <v>74</v>
      </c>
      <c r="E1574" s="5" t="s">
        <v>74</v>
      </c>
    </row>
    <row r="1575" spans="1:5" x14ac:dyDescent="0.25">
      <c r="A1575" s="5" t="s">
        <v>74</v>
      </c>
      <c r="B1575" s="5" t="s">
        <v>3726</v>
      </c>
      <c r="C1575" s="5" t="s">
        <v>3727</v>
      </c>
      <c r="D1575" s="5" t="s">
        <v>74</v>
      </c>
      <c r="E1575" s="5" t="s">
        <v>74</v>
      </c>
    </row>
    <row r="1576" spans="1:5" x14ac:dyDescent="0.25">
      <c r="A1576" s="5" t="s">
        <v>74</v>
      </c>
      <c r="B1576" s="5" t="s">
        <v>3728</v>
      </c>
      <c r="C1576" s="5" t="s">
        <v>3729</v>
      </c>
      <c r="D1576" s="5" t="s">
        <v>74</v>
      </c>
      <c r="E1576" s="5" t="s">
        <v>74</v>
      </c>
    </row>
    <row r="1577" spans="1:5" x14ac:dyDescent="0.25">
      <c r="A1577" s="5">
        <v>19049</v>
      </c>
      <c r="B1577" s="5" t="s">
        <v>3730</v>
      </c>
      <c r="C1577" s="5" t="s">
        <v>3731</v>
      </c>
      <c r="D1577" s="5" t="s">
        <v>533</v>
      </c>
      <c r="E1577" s="5" t="s">
        <v>140</v>
      </c>
    </row>
    <row r="1578" spans="1:5" x14ac:dyDescent="0.25">
      <c r="A1578" s="5">
        <v>18088</v>
      </c>
      <c r="B1578" s="5" t="s">
        <v>3732</v>
      </c>
      <c r="C1578" s="5" t="s">
        <v>3733</v>
      </c>
      <c r="D1578" s="5" t="s">
        <v>408</v>
      </c>
      <c r="E1578" s="5" t="s">
        <v>89</v>
      </c>
    </row>
    <row r="1579" spans="1:5" x14ac:dyDescent="0.25">
      <c r="A1579" s="5">
        <v>29133</v>
      </c>
      <c r="B1579" s="5" t="s">
        <v>3734</v>
      </c>
      <c r="C1579" s="5" t="s">
        <v>3735</v>
      </c>
      <c r="D1579" s="5" t="s">
        <v>3736</v>
      </c>
      <c r="E1579" s="5" t="s">
        <v>140</v>
      </c>
    </row>
    <row r="1580" spans="1:5" x14ac:dyDescent="0.25">
      <c r="A1580" s="5" t="s">
        <v>74</v>
      </c>
      <c r="B1580" s="5" t="s">
        <v>3737</v>
      </c>
      <c r="C1580" s="5" t="s">
        <v>3738</v>
      </c>
      <c r="D1580" s="5" t="s">
        <v>74</v>
      </c>
      <c r="E1580" s="5" t="s">
        <v>74</v>
      </c>
    </row>
    <row r="1581" spans="1:5" x14ac:dyDescent="0.25">
      <c r="A1581" s="5" t="s">
        <v>74</v>
      </c>
      <c r="B1581" s="5" t="s">
        <v>3739</v>
      </c>
      <c r="C1581" s="5" t="s">
        <v>3740</v>
      </c>
      <c r="D1581" s="5" t="s">
        <v>74</v>
      </c>
      <c r="E1581" s="5" t="s">
        <v>74</v>
      </c>
    </row>
    <row r="1582" spans="1:5" x14ac:dyDescent="0.25">
      <c r="A1582" s="5" t="s">
        <v>74</v>
      </c>
      <c r="B1582" s="5" t="s">
        <v>3741</v>
      </c>
      <c r="C1582" s="5" t="s">
        <v>3742</v>
      </c>
      <c r="D1582" s="5" t="s">
        <v>74</v>
      </c>
      <c r="E1582" s="5" t="s">
        <v>74</v>
      </c>
    </row>
    <row r="1583" spans="1:5" x14ac:dyDescent="0.25">
      <c r="A1583" s="5" t="s">
        <v>74</v>
      </c>
      <c r="B1583" s="5" t="s">
        <v>3743</v>
      </c>
      <c r="C1583" s="5" t="s">
        <v>3744</v>
      </c>
      <c r="D1583" s="5" t="s">
        <v>74</v>
      </c>
      <c r="E1583" s="5" t="s">
        <v>74</v>
      </c>
    </row>
    <row r="1584" spans="1:5" x14ac:dyDescent="0.25">
      <c r="A1584" s="5" t="s">
        <v>74</v>
      </c>
      <c r="B1584" s="5" t="s">
        <v>3745</v>
      </c>
      <c r="C1584" s="5" t="s">
        <v>3746</v>
      </c>
      <c r="D1584" s="5" t="s">
        <v>74</v>
      </c>
      <c r="E1584" s="5" t="s">
        <v>74</v>
      </c>
    </row>
    <row r="1585" spans="1:5" x14ac:dyDescent="0.25">
      <c r="A1585" s="5" t="s">
        <v>74</v>
      </c>
      <c r="B1585" s="5" t="s">
        <v>3747</v>
      </c>
      <c r="C1585" s="5" t="s">
        <v>3748</v>
      </c>
      <c r="D1585" s="5" t="s">
        <v>74</v>
      </c>
      <c r="E1585" s="5" t="s">
        <v>74</v>
      </c>
    </row>
    <row r="1586" spans="1:5" x14ac:dyDescent="0.25">
      <c r="A1586" s="5" t="s">
        <v>74</v>
      </c>
      <c r="B1586" s="5" t="s">
        <v>3749</v>
      </c>
      <c r="C1586" s="5" t="s">
        <v>3750</v>
      </c>
      <c r="D1586" s="5" t="s">
        <v>74</v>
      </c>
      <c r="E1586" s="5" t="s">
        <v>74</v>
      </c>
    </row>
    <row r="1587" spans="1:5" x14ac:dyDescent="0.25">
      <c r="A1587" s="5" t="s">
        <v>74</v>
      </c>
      <c r="B1587" s="5" t="s">
        <v>3751</v>
      </c>
      <c r="C1587" s="5" t="s">
        <v>3752</v>
      </c>
      <c r="D1587" s="5" t="s">
        <v>74</v>
      </c>
      <c r="E1587" s="5" t="s">
        <v>74</v>
      </c>
    </row>
    <row r="1588" spans="1:5" x14ac:dyDescent="0.25">
      <c r="A1588" s="5">
        <v>28049</v>
      </c>
      <c r="B1588" s="5" t="s">
        <v>3753</v>
      </c>
      <c r="C1588" s="5" t="s">
        <v>3754</v>
      </c>
      <c r="D1588" s="5" t="s">
        <v>3755</v>
      </c>
      <c r="E1588" s="5" t="s">
        <v>524</v>
      </c>
    </row>
    <row r="1589" spans="1:5" x14ac:dyDescent="0.25">
      <c r="A1589" s="5">
        <v>28072</v>
      </c>
      <c r="B1589" s="5" t="s">
        <v>3756</v>
      </c>
      <c r="C1589" s="5" t="s">
        <v>3757</v>
      </c>
      <c r="D1589" s="5" t="s">
        <v>335</v>
      </c>
      <c r="E1589" s="5" t="s">
        <v>89</v>
      </c>
    </row>
    <row r="1590" spans="1:5" x14ac:dyDescent="0.25">
      <c r="A1590" s="5">
        <v>15059</v>
      </c>
      <c r="B1590" s="5" t="s">
        <v>3758</v>
      </c>
      <c r="C1590" s="5" t="s">
        <v>3759</v>
      </c>
      <c r="D1590" s="5" t="s">
        <v>96</v>
      </c>
      <c r="E1590" s="5" t="s">
        <v>97</v>
      </c>
    </row>
    <row r="1591" spans="1:5" x14ac:dyDescent="0.25">
      <c r="A1591" s="5">
        <v>11074</v>
      </c>
      <c r="B1591" s="5" t="s">
        <v>3760</v>
      </c>
      <c r="C1591" s="5" t="s">
        <v>3761</v>
      </c>
      <c r="D1591" s="5" t="s">
        <v>335</v>
      </c>
      <c r="E1591" s="5" t="s">
        <v>140</v>
      </c>
    </row>
    <row r="1592" spans="1:5" x14ac:dyDescent="0.25">
      <c r="A1592" s="5">
        <v>14152</v>
      </c>
      <c r="B1592" s="5" t="s">
        <v>3762</v>
      </c>
      <c r="C1592" s="5" t="s">
        <v>3763</v>
      </c>
      <c r="D1592" s="5" t="s">
        <v>172</v>
      </c>
      <c r="E1592" s="5">
        <v>530806038</v>
      </c>
    </row>
    <row r="1593" spans="1:5" x14ac:dyDescent="0.25">
      <c r="A1593" s="5">
        <v>18050</v>
      </c>
      <c r="B1593" s="5" t="s">
        <v>3764</v>
      </c>
      <c r="C1593" s="5" t="s">
        <v>3765</v>
      </c>
      <c r="D1593" s="5" t="s">
        <v>3766</v>
      </c>
      <c r="E1593" s="5" t="s">
        <v>89</v>
      </c>
    </row>
    <row r="1594" spans="1:5" x14ac:dyDescent="0.25">
      <c r="A1594" s="5">
        <v>13113</v>
      </c>
      <c r="B1594" s="5" t="s">
        <v>3767</v>
      </c>
      <c r="C1594" s="5" t="s">
        <v>3768</v>
      </c>
      <c r="D1594" s="5" t="s">
        <v>485</v>
      </c>
      <c r="E1594" s="5" t="s">
        <v>140</v>
      </c>
    </row>
    <row r="1595" spans="1:5" x14ac:dyDescent="0.25">
      <c r="A1595" s="5" t="s">
        <v>74</v>
      </c>
      <c r="B1595" s="5" t="s">
        <v>3769</v>
      </c>
      <c r="C1595" s="5" t="s">
        <v>3770</v>
      </c>
      <c r="D1595" s="5" t="s">
        <v>74</v>
      </c>
      <c r="E1595" s="5" t="s">
        <v>140</v>
      </c>
    </row>
    <row r="1596" spans="1:5" x14ac:dyDescent="0.25">
      <c r="A1596" s="5">
        <v>26153</v>
      </c>
      <c r="B1596" s="5" t="s">
        <v>3771</v>
      </c>
      <c r="C1596" s="5" t="s">
        <v>3772</v>
      </c>
      <c r="D1596" s="5" t="s">
        <v>3773</v>
      </c>
      <c r="E1596" s="5" t="s">
        <v>211</v>
      </c>
    </row>
    <row r="1597" spans="1:5" x14ac:dyDescent="0.25">
      <c r="A1597" s="5">
        <v>13049</v>
      </c>
      <c r="B1597" s="5" t="s">
        <v>3774</v>
      </c>
      <c r="C1597" s="5" t="s">
        <v>3775</v>
      </c>
      <c r="D1597" s="5" t="s">
        <v>3776</v>
      </c>
      <c r="E1597" s="5" t="s">
        <v>211</v>
      </c>
    </row>
    <row r="1598" spans="1:5" x14ac:dyDescent="0.25">
      <c r="A1598" s="5">
        <v>29125</v>
      </c>
      <c r="B1598" s="5" t="s">
        <v>3777</v>
      </c>
      <c r="C1598" s="5" t="s">
        <v>3778</v>
      </c>
      <c r="D1598" s="5" t="s">
        <v>435</v>
      </c>
      <c r="E1598" s="5" t="s">
        <v>85</v>
      </c>
    </row>
    <row r="1599" spans="1:5" x14ac:dyDescent="0.25">
      <c r="A1599" s="5">
        <v>18098</v>
      </c>
      <c r="B1599" s="5" t="s">
        <v>3779</v>
      </c>
      <c r="C1599" s="5" t="s">
        <v>3780</v>
      </c>
      <c r="D1599" s="5" t="s">
        <v>116</v>
      </c>
      <c r="E1599" s="5" t="s">
        <v>117</v>
      </c>
    </row>
    <row r="1600" spans="1:5" x14ac:dyDescent="0.25">
      <c r="A1600" s="5" t="s">
        <v>74</v>
      </c>
      <c r="B1600" s="5" t="s">
        <v>3781</v>
      </c>
      <c r="C1600" s="5" t="s">
        <v>3782</v>
      </c>
      <c r="D1600" s="5" t="s">
        <v>74</v>
      </c>
      <c r="E1600" s="5" t="s">
        <v>74</v>
      </c>
    </row>
    <row r="1601" spans="1:5" x14ac:dyDescent="0.25">
      <c r="A1601" s="5">
        <v>14177</v>
      </c>
      <c r="B1601" s="5" t="s">
        <v>3783</v>
      </c>
      <c r="C1601" s="5" t="s">
        <v>3784</v>
      </c>
      <c r="D1601" s="5" t="s">
        <v>3785</v>
      </c>
      <c r="E1601" s="5" t="s">
        <v>188</v>
      </c>
    </row>
    <row r="1602" spans="1:5" x14ac:dyDescent="0.25">
      <c r="A1602" s="5">
        <v>20056</v>
      </c>
      <c r="B1602" s="5" t="s">
        <v>3786</v>
      </c>
      <c r="C1602" s="5" t="s">
        <v>3787</v>
      </c>
      <c r="D1602" s="5" t="s">
        <v>2981</v>
      </c>
      <c r="E1602" s="5" t="s">
        <v>628</v>
      </c>
    </row>
    <row r="1603" spans="1:5" x14ac:dyDescent="0.25">
      <c r="A1603" s="5">
        <v>27005</v>
      </c>
      <c r="B1603" s="5" t="s">
        <v>3788</v>
      </c>
      <c r="C1603" s="5" t="s">
        <v>3789</v>
      </c>
      <c r="D1603" s="5" t="s">
        <v>1238</v>
      </c>
      <c r="E1603" s="5" t="s">
        <v>89</v>
      </c>
    </row>
    <row r="1604" spans="1:5" x14ac:dyDescent="0.25">
      <c r="A1604" s="5">
        <v>12111</v>
      </c>
      <c r="B1604" s="5" t="s">
        <v>3790</v>
      </c>
      <c r="C1604" s="5" t="s">
        <v>3791</v>
      </c>
      <c r="D1604" s="5" t="s">
        <v>3792</v>
      </c>
      <c r="E1604" s="5" t="s">
        <v>211</v>
      </c>
    </row>
    <row r="1605" spans="1:5" x14ac:dyDescent="0.25">
      <c r="A1605" s="5" t="s">
        <v>74</v>
      </c>
      <c r="B1605" s="5" t="s">
        <v>3793</v>
      </c>
      <c r="C1605" s="5" t="s">
        <v>3794</v>
      </c>
      <c r="D1605" s="5" t="s">
        <v>74</v>
      </c>
      <c r="E1605" s="5" t="s">
        <v>74</v>
      </c>
    </row>
    <row r="1606" spans="1:5" x14ac:dyDescent="0.25">
      <c r="A1606" s="5" t="s">
        <v>74</v>
      </c>
      <c r="B1606" s="5" t="s">
        <v>3795</v>
      </c>
      <c r="C1606" s="5" t="s">
        <v>3796</v>
      </c>
      <c r="D1606" s="5" t="s">
        <v>74</v>
      </c>
      <c r="E1606" s="5" t="s">
        <v>74</v>
      </c>
    </row>
    <row r="1607" spans="1:5" x14ac:dyDescent="0.25">
      <c r="A1607" s="5">
        <v>13352</v>
      </c>
      <c r="B1607" s="5" t="s">
        <v>3797</v>
      </c>
      <c r="C1607" s="5" t="s">
        <v>3798</v>
      </c>
      <c r="D1607" s="5" t="s">
        <v>3799</v>
      </c>
      <c r="E1607" s="5" t="s">
        <v>51</v>
      </c>
    </row>
    <row r="1608" spans="1:5" x14ac:dyDescent="0.25">
      <c r="A1608" s="5" t="s">
        <v>74</v>
      </c>
      <c r="B1608" s="5" t="s">
        <v>3800</v>
      </c>
      <c r="C1608" s="5" t="s">
        <v>3801</v>
      </c>
      <c r="D1608" s="5" t="s">
        <v>74</v>
      </c>
      <c r="E1608" s="5" t="s">
        <v>74</v>
      </c>
    </row>
    <row r="1609" spans="1:5" x14ac:dyDescent="0.25">
      <c r="A1609" s="5" t="s">
        <v>74</v>
      </c>
      <c r="B1609" s="5" t="s">
        <v>3802</v>
      </c>
      <c r="C1609" s="5" t="s">
        <v>3803</v>
      </c>
      <c r="D1609" s="5" t="s">
        <v>74</v>
      </c>
      <c r="E1609" s="5" t="s">
        <v>74</v>
      </c>
    </row>
    <row r="1610" spans="1:5" x14ac:dyDescent="0.25">
      <c r="A1610" s="5" t="s">
        <v>74</v>
      </c>
      <c r="B1610" s="5" t="s">
        <v>3804</v>
      </c>
      <c r="C1610" s="5" t="s">
        <v>3805</v>
      </c>
      <c r="D1610" s="5" t="s">
        <v>74</v>
      </c>
      <c r="E1610" s="5" t="s">
        <v>74</v>
      </c>
    </row>
    <row r="1611" spans="1:5" x14ac:dyDescent="0.25">
      <c r="A1611" s="5" t="s">
        <v>74</v>
      </c>
      <c r="B1611" s="5" t="s">
        <v>3806</v>
      </c>
      <c r="C1611" s="5" t="s">
        <v>3807</v>
      </c>
      <c r="D1611" s="5" t="s">
        <v>74</v>
      </c>
      <c r="E1611" s="5" t="s">
        <v>74</v>
      </c>
    </row>
    <row r="1612" spans="1:5" x14ac:dyDescent="0.25">
      <c r="A1612" s="5" t="s">
        <v>74</v>
      </c>
      <c r="B1612" s="5" t="s">
        <v>3808</v>
      </c>
      <c r="C1612" s="5" t="s">
        <v>3809</v>
      </c>
      <c r="D1612" s="5" t="s">
        <v>74</v>
      </c>
      <c r="E1612" s="5" t="s">
        <v>74</v>
      </c>
    </row>
    <row r="1613" spans="1:5" x14ac:dyDescent="0.25">
      <c r="A1613" s="5" t="s">
        <v>74</v>
      </c>
      <c r="B1613" s="5" t="s">
        <v>3810</v>
      </c>
      <c r="C1613" s="5" t="s">
        <v>3811</v>
      </c>
      <c r="D1613" s="5" t="s">
        <v>74</v>
      </c>
      <c r="E1613" s="5" t="s">
        <v>74</v>
      </c>
    </row>
    <row r="1614" spans="1:5" x14ac:dyDescent="0.25">
      <c r="A1614" s="5" t="s">
        <v>74</v>
      </c>
      <c r="B1614" s="5" t="s">
        <v>3812</v>
      </c>
      <c r="C1614" s="5" t="s">
        <v>3813</v>
      </c>
      <c r="D1614" s="5" t="s">
        <v>74</v>
      </c>
      <c r="E1614" s="5" t="s">
        <v>74</v>
      </c>
    </row>
    <row r="1615" spans="1:5" x14ac:dyDescent="0.25">
      <c r="A1615" s="5" t="s">
        <v>74</v>
      </c>
      <c r="B1615" s="5" t="s">
        <v>3814</v>
      </c>
      <c r="C1615" s="5" t="s">
        <v>3815</v>
      </c>
      <c r="D1615" s="5" t="s">
        <v>74</v>
      </c>
      <c r="E1615" s="5" t="s">
        <v>74</v>
      </c>
    </row>
    <row r="1616" spans="1:5" x14ac:dyDescent="0.25">
      <c r="A1616" s="5" t="s">
        <v>74</v>
      </c>
      <c r="B1616" s="5" t="s">
        <v>3816</v>
      </c>
      <c r="C1616" s="5" t="s">
        <v>3817</v>
      </c>
      <c r="D1616" s="5" t="s">
        <v>74</v>
      </c>
      <c r="E1616" s="5" t="s">
        <v>74</v>
      </c>
    </row>
    <row r="1617" spans="1:5" x14ac:dyDescent="0.25">
      <c r="A1617" s="5" t="s">
        <v>74</v>
      </c>
      <c r="B1617" s="5" t="s">
        <v>3818</v>
      </c>
      <c r="C1617" s="5" t="s">
        <v>3819</v>
      </c>
      <c r="D1617" s="5" t="s">
        <v>74</v>
      </c>
      <c r="E1617" s="5" t="s">
        <v>74</v>
      </c>
    </row>
    <row r="1618" spans="1:5" x14ac:dyDescent="0.25">
      <c r="A1618" s="5" t="s">
        <v>74</v>
      </c>
      <c r="B1618" s="5" t="s">
        <v>3820</v>
      </c>
      <c r="C1618" s="5" t="s">
        <v>3821</v>
      </c>
      <c r="D1618" s="5" t="s">
        <v>74</v>
      </c>
      <c r="E1618" s="5" t="s">
        <v>74</v>
      </c>
    </row>
    <row r="1619" spans="1:5" x14ac:dyDescent="0.25">
      <c r="A1619" s="5" t="s">
        <v>74</v>
      </c>
      <c r="B1619" s="5" t="s">
        <v>3822</v>
      </c>
      <c r="C1619" s="5" t="s">
        <v>3823</v>
      </c>
      <c r="D1619" s="5" t="s">
        <v>74</v>
      </c>
      <c r="E1619" s="5" t="s">
        <v>74</v>
      </c>
    </row>
    <row r="1620" spans="1:5" x14ac:dyDescent="0.25">
      <c r="A1620" s="5" t="s">
        <v>74</v>
      </c>
      <c r="B1620" s="5" t="s">
        <v>3824</v>
      </c>
      <c r="C1620" s="5" t="s">
        <v>3825</v>
      </c>
      <c r="D1620" s="5" t="s">
        <v>74</v>
      </c>
      <c r="E1620" s="5" t="s">
        <v>74</v>
      </c>
    </row>
    <row r="1621" spans="1:5" x14ac:dyDescent="0.25">
      <c r="A1621" s="5" t="s">
        <v>74</v>
      </c>
      <c r="B1621" s="5" t="s">
        <v>3826</v>
      </c>
      <c r="C1621" s="5" t="s">
        <v>3827</v>
      </c>
      <c r="D1621" s="5" t="s">
        <v>74</v>
      </c>
      <c r="E1621" s="5" t="s">
        <v>74</v>
      </c>
    </row>
    <row r="1622" spans="1:5" x14ac:dyDescent="0.25">
      <c r="A1622" s="5" t="s">
        <v>74</v>
      </c>
      <c r="B1622" s="5" t="s">
        <v>3828</v>
      </c>
      <c r="C1622" s="5" t="s">
        <v>3829</v>
      </c>
      <c r="D1622" s="5" t="s">
        <v>74</v>
      </c>
      <c r="E1622" s="5" t="s">
        <v>74</v>
      </c>
    </row>
    <row r="1623" spans="1:5" x14ac:dyDescent="0.25">
      <c r="A1623" s="5" t="s">
        <v>74</v>
      </c>
      <c r="B1623" s="5" t="s">
        <v>3830</v>
      </c>
      <c r="C1623" s="5" t="s">
        <v>3831</v>
      </c>
      <c r="D1623" s="5" t="s">
        <v>74</v>
      </c>
      <c r="E1623" s="5" t="s">
        <v>74</v>
      </c>
    </row>
    <row r="1624" spans="1:5" x14ac:dyDescent="0.25">
      <c r="A1624" s="5" t="s">
        <v>74</v>
      </c>
      <c r="B1624" s="5" t="s">
        <v>3832</v>
      </c>
      <c r="C1624" s="5" t="s">
        <v>3833</v>
      </c>
      <c r="D1624" s="5" t="s">
        <v>74</v>
      </c>
      <c r="E1624" s="5" t="s">
        <v>74</v>
      </c>
    </row>
    <row r="1625" spans="1:5" x14ac:dyDescent="0.25">
      <c r="A1625" s="5" t="s">
        <v>74</v>
      </c>
      <c r="B1625" s="5" t="s">
        <v>3834</v>
      </c>
      <c r="C1625" s="5" t="s">
        <v>3835</v>
      </c>
      <c r="D1625" s="5" t="s">
        <v>74</v>
      </c>
      <c r="E1625" s="5" t="s">
        <v>74</v>
      </c>
    </row>
    <row r="1626" spans="1:5" x14ac:dyDescent="0.25">
      <c r="A1626" s="5" t="s">
        <v>74</v>
      </c>
      <c r="B1626" s="5" t="s">
        <v>3836</v>
      </c>
      <c r="C1626" s="5" t="s">
        <v>3837</v>
      </c>
      <c r="D1626" s="5" t="s">
        <v>74</v>
      </c>
      <c r="E1626" s="5" t="s">
        <v>74</v>
      </c>
    </row>
    <row r="1627" spans="1:5" x14ac:dyDescent="0.25">
      <c r="A1627" s="5" t="s">
        <v>74</v>
      </c>
      <c r="B1627" s="5" t="s">
        <v>3838</v>
      </c>
      <c r="C1627" s="5" t="s">
        <v>3839</v>
      </c>
      <c r="D1627" s="5" t="s">
        <v>74</v>
      </c>
      <c r="E1627" s="5" t="s">
        <v>74</v>
      </c>
    </row>
    <row r="1628" spans="1:5" x14ac:dyDescent="0.25">
      <c r="A1628" s="5" t="s">
        <v>74</v>
      </c>
      <c r="B1628" s="5" t="s">
        <v>3840</v>
      </c>
      <c r="C1628" s="5" t="s">
        <v>3841</v>
      </c>
      <c r="D1628" s="5" t="s">
        <v>74</v>
      </c>
      <c r="E1628" s="5" t="s">
        <v>74</v>
      </c>
    </row>
    <row r="1629" spans="1:5" x14ac:dyDescent="0.25">
      <c r="A1629" s="5" t="s">
        <v>74</v>
      </c>
      <c r="B1629" s="5" t="s">
        <v>3842</v>
      </c>
      <c r="C1629" s="5" t="s">
        <v>3843</v>
      </c>
      <c r="D1629" s="5" t="s">
        <v>74</v>
      </c>
      <c r="E1629" s="5" t="s">
        <v>74</v>
      </c>
    </row>
    <row r="1630" spans="1:5" x14ac:dyDescent="0.25">
      <c r="A1630" s="5" t="s">
        <v>74</v>
      </c>
      <c r="B1630" s="5" t="s">
        <v>3844</v>
      </c>
      <c r="C1630" s="5" t="s">
        <v>3845</v>
      </c>
      <c r="D1630" s="5" t="s">
        <v>74</v>
      </c>
      <c r="E1630" s="5" t="s">
        <v>74</v>
      </c>
    </row>
    <row r="1631" spans="1:5" x14ac:dyDescent="0.25">
      <c r="A1631" s="5" t="s">
        <v>74</v>
      </c>
      <c r="B1631" s="5" t="s">
        <v>3846</v>
      </c>
      <c r="C1631" s="5" t="s">
        <v>3847</v>
      </c>
      <c r="D1631" s="5" t="s">
        <v>74</v>
      </c>
      <c r="E1631" s="5" t="s">
        <v>74</v>
      </c>
    </row>
    <row r="1632" spans="1:5" x14ac:dyDescent="0.25">
      <c r="A1632" s="5" t="s">
        <v>74</v>
      </c>
      <c r="B1632" s="5" t="s">
        <v>3848</v>
      </c>
      <c r="C1632" s="5" t="s">
        <v>3849</v>
      </c>
      <c r="D1632" s="5" t="s">
        <v>74</v>
      </c>
      <c r="E1632" s="5" t="s">
        <v>74</v>
      </c>
    </row>
    <row r="1633" spans="1:5" x14ac:dyDescent="0.25">
      <c r="A1633" s="5" t="s">
        <v>74</v>
      </c>
      <c r="B1633" s="5" t="s">
        <v>3850</v>
      </c>
      <c r="C1633" s="5" t="s">
        <v>3851</v>
      </c>
      <c r="D1633" s="5" t="s">
        <v>74</v>
      </c>
      <c r="E1633" s="5" t="s">
        <v>74</v>
      </c>
    </row>
    <row r="1634" spans="1:5" x14ac:dyDescent="0.25">
      <c r="A1634" s="5" t="s">
        <v>74</v>
      </c>
      <c r="B1634" s="5" t="s">
        <v>3852</v>
      </c>
      <c r="C1634" s="5" t="s">
        <v>3853</v>
      </c>
      <c r="D1634" s="5" t="s">
        <v>74</v>
      </c>
      <c r="E1634" s="5" t="s">
        <v>74</v>
      </c>
    </row>
    <row r="1635" spans="1:5" x14ac:dyDescent="0.25">
      <c r="A1635" s="5" t="s">
        <v>74</v>
      </c>
      <c r="B1635" s="5" t="s">
        <v>3854</v>
      </c>
      <c r="C1635" s="5" t="s">
        <v>3855</v>
      </c>
      <c r="D1635" s="5" t="s">
        <v>74</v>
      </c>
      <c r="E1635" s="5" t="s">
        <v>74</v>
      </c>
    </row>
    <row r="1636" spans="1:5" x14ac:dyDescent="0.25">
      <c r="A1636" s="5" t="s">
        <v>74</v>
      </c>
      <c r="B1636" s="5" t="s">
        <v>3856</v>
      </c>
      <c r="C1636" s="5" t="s">
        <v>3857</v>
      </c>
      <c r="D1636" s="5" t="s">
        <v>74</v>
      </c>
      <c r="E1636" s="5" t="s">
        <v>74</v>
      </c>
    </row>
    <row r="1637" spans="1:5" x14ac:dyDescent="0.25">
      <c r="A1637" s="5" t="s">
        <v>74</v>
      </c>
      <c r="B1637" s="5" t="s">
        <v>3858</v>
      </c>
      <c r="C1637" s="5" t="s">
        <v>3859</v>
      </c>
      <c r="D1637" s="5" t="s">
        <v>74</v>
      </c>
      <c r="E1637" s="5" t="s">
        <v>74</v>
      </c>
    </row>
    <row r="1638" spans="1:5" x14ac:dyDescent="0.25">
      <c r="A1638" s="5" t="s">
        <v>74</v>
      </c>
      <c r="B1638" s="5" t="s">
        <v>3860</v>
      </c>
      <c r="C1638" s="5" t="s">
        <v>3861</v>
      </c>
      <c r="D1638" s="5" t="s">
        <v>74</v>
      </c>
      <c r="E1638" s="5" t="s">
        <v>74</v>
      </c>
    </row>
    <row r="1639" spans="1:5" x14ac:dyDescent="0.25">
      <c r="A1639" s="5" t="s">
        <v>74</v>
      </c>
      <c r="B1639" s="5" t="s">
        <v>3862</v>
      </c>
      <c r="C1639" s="5" t="s">
        <v>3863</v>
      </c>
      <c r="D1639" s="5" t="s">
        <v>74</v>
      </c>
      <c r="E1639" s="5" t="s">
        <v>74</v>
      </c>
    </row>
    <row r="1640" spans="1:5" x14ac:dyDescent="0.25">
      <c r="A1640" s="5" t="s">
        <v>74</v>
      </c>
      <c r="B1640" s="5" t="s">
        <v>3864</v>
      </c>
      <c r="C1640" s="5" t="s">
        <v>3865</v>
      </c>
      <c r="D1640" s="5" t="s">
        <v>74</v>
      </c>
      <c r="E1640" s="5" t="s">
        <v>74</v>
      </c>
    </row>
    <row r="1641" spans="1:5" x14ac:dyDescent="0.25">
      <c r="A1641" s="5" t="s">
        <v>74</v>
      </c>
      <c r="B1641" s="5" t="s">
        <v>3866</v>
      </c>
      <c r="C1641" s="5" t="s">
        <v>3867</v>
      </c>
      <c r="D1641" s="5" t="s">
        <v>74</v>
      </c>
      <c r="E1641" s="5" t="s">
        <v>74</v>
      </c>
    </row>
    <row r="1642" spans="1:5" x14ac:dyDescent="0.25">
      <c r="A1642" s="5" t="s">
        <v>74</v>
      </c>
      <c r="B1642" s="5" t="s">
        <v>3868</v>
      </c>
      <c r="C1642" s="5" t="s">
        <v>3869</v>
      </c>
      <c r="D1642" s="5" t="s">
        <v>74</v>
      </c>
      <c r="E1642" s="5" t="s">
        <v>74</v>
      </c>
    </row>
    <row r="1643" spans="1:5" x14ac:dyDescent="0.25">
      <c r="A1643" s="5" t="s">
        <v>74</v>
      </c>
      <c r="B1643" s="5" t="s">
        <v>3870</v>
      </c>
      <c r="C1643" s="5" t="s">
        <v>3871</v>
      </c>
      <c r="D1643" s="5" t="s">
        <v>74</v>
      </c>
      <c r="E1643" s="5" t="s">
        <v>74</v>
      </c>
    </row>
    <row r="1644" spans="1:5" x14ac:dyDescent="0.25">
      <c r="A1644" s="5" t="s">
        <v>74</v>
      </c>
      <c r="B1644" s="5" t="s">
        <v>3872</v>
      </c>
      <c r="C1644" s="5" t="s">
        <v>3873</v>
      </c>
      <c r="D1644" s="5" t="s">
        <v>74</v>
      </c>
      <c r="E1644" s="5" t="s">
        <v>74</v>
      </c>
    </row>
    <row r="1645" spans="1:5" x14ac:dyDescent="0.25">
      <c r="A1645" s="5" t="s">
        <v>74</v>
      </c>
      <c r="B1645" s="5" t="s">
        <v>3874</v>
      </c>
      <c r="C1645" s="5" t="s">
        <v>3875</v>
      </c>
      <c r="D1645" s="5" t="s">
        <v>74</v>
      </c>
      <c r="E1645" s="5" t="s">
        <v>74</v>
      </c>
    </row>
    <row r="1646" spans="1:5" x14ac:dyDescent="0.25">
      <c r="A1646" s="5" t="s">
        <v>74</v>
      </c>
      <c r="B1646" s="5" t="s">
        <v>3876</v>
      </c>
      <c r="C1646" s="5" t="s">
        <v>3877</v>
      </c>
      <c r="D1646" s="5" t="s">
        <v>74</v>
      </c>
      <c r="E1646" s="5" t="s">
        <v>74</v>
      </c>
    </row>
    <row r="1647" spans="1:5" x14ac:dyDescent="0.25">
      <c r="A1647" s="5" t="s">
        <v>74</v>
      </c>
      <c r="B1647" s="5" t="s">
        <v>3878</v>
      </c>
      <c r="C1647" s="5" t="s">
        <v>3879</v>
      </c>
      <c r="D1647" s="5" t="s">
        <v>74</v>
      </c>
      <c r="E1647" s="5" t="s">
        <v>74</v>
      </c>
    </row>
    <row r="1648" spans="1:5" x14ac:dyDescent="0.25">
      <c r="A1648" s="5" t="s">
        <v>74</v>
      </c>
      <c r="B1648" s="5" t="s">
        <v>3880</v>
      </c>
      <c r="C1648" s="5" t="s">
        <v>3881</v>
      </c>
      <c r="D1648" s="5" t="s">
        <v>74</v>
      </c>
      <c r="E1648" s="5" t="s">
        <v>74</v>
      </c>
    </row>
    <row r="1649" spans="1:5" x14ac:dyDescent="0.25">
      <c r="A1649" s="5">
        <v>14066</v>
      </c>
      <c r="B1649" s="5" t="s">
        <v>3882</v>
      </c>
      <c r="C1649" s="5" t="s">
        <v>3883</v>
      </c>
      <c r="D1649" s="5" t="s">
        <v>2332</v>
      </c>
      <c r="E1649" s="5" t="s">
        <v>51</v>
      </c>
    </row>
    <row r="1650" spans="1:5" x14ac:dyDescent="0.25">
      <c r="A1650" s="5" t="s">
        <v>74</v>
      </c>
      <c r="B1650" s="5" t="s">
        <v>3884</v>
      </c>
      <c r="C1650" s="5" t="s">
        <v>3885</v>
      </c>
      <c r="D1650" s="5" t="s">
        <v>74</v>
      </c>
      <c r="E1650" s="5" t="s">
        <v>74</v>
      </c>
    </row>
    <row r="1651" spans="1:5" x14ac:dyDescent="0.25">
      <c r="A1651" s="5" t="s">
        <v>74</v>
      </c>
      <c r="B1651" s="5" t="s">
        <v>3886</v>
      </c>
      <c r="C1651" s="5" t="s">
        <v>3887</v>
      </c>
      <c r="D1651" s="5" t="s">
        <v>74</v>
      </c>
      <c r="E1651" s="5" t="s">
        <v>74</v>
      </c>
    </row>
    <row r="1652" spans="1:5" x14ac:dyDescent="0.25">
      <c r="A1652" s="5" t="s">
        <v>74</v>
      </c>
      <c r="B1652" s="5" t="s">
        <v>3888</v>
      </c>
      <c r="C1652" s="5" t="s">
        <v>3889</v>
      </c>
      <c r="D1652" s="5" t="s">
        <v>74</v>
      </c>
      <c r="E1652" s="5" t="s">
        <v>74</v>
      </c>
    </row>
    <row r="1653" spans="1:5" x14ac:dyDescent="0.25">
      <c r="A1653" s="5" t="s">
        <v>74</v>
      </c>
      <c r="B1653" s="5" t="s">
        <v>3890</v>
      </c>
      <c r="C1653" s="5" t="s">
        <v>3891</v>
      </c>
      <c r="D1653" s="5" t="s">
        <v>74</v>
      </c>
      <c r="E1653" s="5" t="s">
        <v>74</v>
      </c>
    </row>
    <row r="1654" spans="1:5" x14ac:dyDescent="0.25">
      <c r="A1654" s="5" t="s">
        <v>74</v>
      </c>
      <c r="B1654" s="5" t="s">
        <v>3892</v>
      </c>
      <c r="C1654" s="5" t="s">
        <v>3893</v>
      </c>
      <c r="D1654" s="5" t="s">
        <v>74</v>
      </c>
      <c r="E1654" s="5" t="s">
        <v>74</v>
      </c>
    </row>
    <row r="1655" spans="1:5" x14ac:dyDescent="0.25">
      <c r="A1655" s="5" t="s">
        <v>74</v>
      </c>
      <c r="B1655" s="5" t="s">
        <v>3894</v>
      </c>
      <c r="C1655" s="5" t="s">
        <v>3895</v>
      </c>
      <c r="D1655" s="5" t="s">
        <v>74</v>
      </c>
      <c r="E1655" s="5" t="s">
        <v>74</v>
      </c>
    </row>
    <row r="1656" spans="1:5" x14ac:dyDescent="0.25">
      <c r="A1656" s="5" t="s">
        <v>74</v>
      </c>
      <c r="B1656" s="5" t="s">
        <v>3896</v>
      </c>
      <c r="C1656" s="5" t="s">
        <v>3897</v>
      </c>
      <c r="D1656" s="5" t="s">
        <v>74</v>
      </c>
      <c r="E1656" s="5" t="s">
        <v>74</v>
      </c>
    </row>
    <row r="1657" spans="1:5" x14ac:dyDescent="0.25">
      <c r="A1657" s="5" t="s">
        <v>74</v>
      </c>
      <c r="B1657" s="5" t="s">
        <v>3898</v>
      </c>
      <c r="C1657" s="5" t="s">
        <v>3899</v>
      </c>
      <c r="D1657" s="5" t="s">
        <v>74</v>
      </c>
      <c r="E1657" s="5" t="s">
        <v>74</v>
      </c>
    </row>
    <row r="1658" spans="1:5" x14ac:dyDescent="0.25">
      <c r="A1658" s="5" t="s">
        <v>74</v>
      </c>
      <c r="B1658" s="5" t="s">
        <v>3900</v>
      </c>
      <c r="C1658" s="5" t="s">
        <v>3901</v>
      </c>
      <c r="D1658" s="5" t="s">
        <v>74</v>
      </c>
      <c r="E1658" s="5" t="s">
        <v>74</v>
      </c>
    </row>
    <row r="1659" spans="1:5" x14ac:dyDescent="0.25">
      <c r="A1659" s="5" t="s">
        <v>74</v>
      </c>
      <c r="B1659" s="5" t="s">
        <v>3902</v>
      </c>
      <c r="C1659" s="5" t="s">
        <v>3903</v>
      </c>
      <c r="D1659" s="5" t="s">
        <v>74</v>
      </c>
      <c r="E1659" s="5" t="s">
        <v>74</v>
      </c>
    </row>
    <row r="1660" spans="1:5" x14ac:dyDescent="0.25">
      <c r="A1660" s="5" t="s">
        <v>74</v>
      </c>
      <c r="B1660" s="5" t="s">
        <v>3904</v>
      </c>
      <c r="C1660" s="5" t="s">
        <v>3905</v>
      </c>
      <c r="D1660" s="5" t="s">
        <v>74</v>
      </c>
      <c r="E1660" s="5" t="s">
        <v>74</v>
      </c>
    </row>
    <row r="1661" spans="1:5" x14ac:dyDescent="0.25">
      <c r="A1661" s="5" t="s">
        <v>74</v>
      </c>
      <c r="B1661" s="5" t="s">
        <v>3906</v>
      </c>
      <c r="C1661" s="5" t="s">
        <v>3907</v>
      </c>
      <c r="D1661" s="5" t="s">
        <v>74</v>
      </c>
      <c r="E1661" s="5" t="s">
        <v>74</v>
      </c>
    </row>
    <row r="1662" spans="1:5" x14ac:dyDescent="0.25">
      <c r="A1662" s="5" t="s">
        <v>74</v>
      </c>
      <c r="B1662" s="5" t="s">
        <v>3908</v>
      </c>
      <c r="C1662" s="5" t="s">
        <v>3909</v>
      </c>
      <c r="D1662" s="5" t="s">
        <v>74</v>
      </c>
      <c r="E1662" s="5" t="s">
        <v>74</v>
      </c>
    </row>
    <row r="1663" spans="1:5" x14ac:dyDescent="0.25">
      <c r="A1663" s="5" t="s">
        <v>74</v>
      </c>
      <c r="B1663" s="5" t="s">
        <v>3910</v>
      </c>
      <c r="C1663" s="5" t="s">
        <v>3911</v>
      </c>
      <c r="D1663" s="5" t="s">
        <v>74</v>
      </c>
      <c r="E1663" s="5" t="s">
        <v>74</v>
      </c>
    </row>
    <row r="1664" spans="1:5" x14ac:dyDescent="0.25">
      <c r="A1664" s="5" t="s">
        <v>74</v>
      </c>
      <c r="B1664" s="5" t="s">
        <v>3912</v>
      </c>
      <c r="C1664" s="5" t="s">
        <v>3913</v>
      </c>
      <c r="D1664" s="5" t="s">
        <v>74</v>
      </c>
      <c r="E1664" s="5" t="s">
        <v>74</v>
      </c>
    </row>
    <row r="1665" spans="1:5" x14ac:dyDescent="0.25">
      <c r="A1665" s="5">
        <v>28110</v>
      </c>
      <c r="B1665" s="5" t="s">
        <v>3914</v>
      </c>
      <c r="C1665" s="5" t="s">
        <v>3915</v>
      </c>
      <c r="D1665" s="5" t="s">
        <v>335</v>
      </c>
      <c r="E1665" s="5" t="s">
        <v>89</v>
      </c>
    </row>
    <row r="1666" spans="1:5" x14ac:dyDescent="0.25">
      <c r="A1666" s="5">
        <v>29027</v>
      </c>
      <c r="B1666" s="5" t="s">
        <v>3916</v>
      </c>
      <c r="C1666" s="5" t="s">
        <v>3917</v>
      </c>
      <c r="D1666" s="5" t="s">
        <v>3918</v>
      </c>
      <c r="E1666" s="5" t="s">
        <v>348</v>
      </c>
    </row>
    <row r="1667" spans="1:5" x14ac:dyDescent="0.25">
      <c r="A1667" s="5">
        <v>19158</v>
      </c>
      <c r="B1667" s="5" t="s">
        <v>3919</v>
      </c>
      <c r="C1667" s="5" t="s">
        <v>3920</v>
      </c>
      <c r="D1667" s="5" t="s">
        <v>3921</v>
      </c>
      <c r="E1667" s="5" t="s">
        <v>348</v>
      </c>
    </row>
    <row r="1668" spans="1:5" x14ac:dyDescent="0.25">
      <c r="A1668" s="5">
        <v>12113</v>
      </c>
      <c r="B1668" s="5" t="s">
        <v>3922</v>
      </c>
      <c r="C1668" s="5" t="s">
        <v>3923</v>
      </c>
      <c r="D1668" s="5" t="s">
        <v>3924</v>
      </c>
      <c r="E1668" s="5" t="s">
        <v>93</v>
      </c>
    </row>
    <row r="1669" spans="1:5" x14ac:dyDescent="0.25">
      <c r="A1669" s="5">
        <v>88003</v>
      </c>
      <c r="B1669" s="5" t="s">
        <v>3925</v>
      </c>
      <c r="C1669" s="5" t="s">
        <v>3926</v>
      </c>
      <c r="D1669" s="5" t="s">
        <v>3927</v>
      </c>
      <c r="E1669" s="5" t="s">
        <v>628</v>
      </c>
    </row>
    <row r="1670" spans="1:5" x14ac:dyDescent="0.25">
      <c r="A1670" s="5">
        <v>16032</v>
      </c>
      <c r="B1670" s="5" t="s">
        <v>3928</v>
      </c>
      <c r="C1670" s="5" t="s">
        <v>3929</v>
      </c>
      <c r="D1670" s="5" t="s">
        <v>475</v>
      </c>
      <c r="E1670" s="5" t="s">
        <v>72</v>
      </c>
    </row>
    <row r="1671" spans="1:5" x14ac:dyDescent="0.25">
      <c r="A1671" s="5">
        <v>17005</v>
      </c>
      <c r="B1671" s="5" t="s">
        <v>3930</v>
      </c>
      <c r="C1671" s="5" t="s">
        <v>3931</v>
      </c>
      <c r="D1671" s="5" t="s">
        <v>3932</v>
      </c>
      <c r="E1671" s="5" t="s">
        <v>117</v>
      </c>
    </row>
    <row r="1672" spans="1:5" x14ac:dyDescent="0.25">
      <c r="A1672" s="5">
        <v>25005</v>
      </c>
      <c r="B1672" s="5" t="s">
        <v>3933</v>
      </c>
      <c r="C1672" s="5" t="s">
        <v>3934</v>
      </c>
      <c r="D1672" s="5" t="s">
        <v>929</v>
      </c>
      <c r="E1672" s="5" t="s">
        <v>85</v>
      </c>
    </row>
    <row r="1673" spans="1:5" x14ac:dyDescent="0.25">
      <c r="A1673" s="5">
        <v>27045</v>
      </c>
      <c r="B1673" s="5" t="s">
        <v>3935</v>
      </c>
      <c r="C1673" s="5" t="s">
        <v>3936</v>
      </c>
      <c r="D1673" s="5" t="s">
        <v>1599</v>
      </c>
      <c r="E1673" s="5" t="s">
        <v>89</v>
      </c>
    </row>
    <row r="1674" spans="1:5" x14ac:dyDescent="0.25">
      <c r="A1674" s="5" t="s">
        <v>74</v>
      </c>
      <c r="B1674" s="5" t="s">
        <v>3937</v>
      </c>
      <c r="C1674" s="5" t="s">
        <v>3938</v>
      </c>
      <c r="D1674" s="5" t="s">
        <v>74</v>
      </c>
      <c r="E1674" s="5" t="s">
        <v>74</v>
      </c>
    </row>
    <row r="1675" spans="1:5" x14ac:dyDescent="0.25">
      <c r="A1675" s="5">
        <v>18127</v>
      </c>
      <c r="B1675" s="5" t="s">
        <v>3939</v>
      </c>
      <c r="C1675" s="5" t="s">
        <v>3940</v>
      </c>
      <c r="D1675" s="5" t="s">
        <v>3941</v>
      </c>
      <c r="E1675" s="5" t="s">
        <v>110</v>
      </c>
    </row>
    <row r="1676" spans="1:5" x14ac:dyDescent="0.25">
      <c r="A1676" s="5">
        <v>28076</v>
      </c>
      <c r="B1676" s="5" t="s">
        <v>3942</v>
      </c>
      <c r="C1676" s="5" t="s">
        <v>3943</v>
      </c>
      <c r="D1676" s="5" t="s">
        <v>3944</v>
      </c>
      <c r="E1676" s="5" t="s">
        <v>89</v>
      </c>
    </row>
    <row r="1677" spans="1:5" x14ac:dyDescent="0.25">
      <c r="A1677" s="5">
        <v>91006</v>
      </c>
      <c r="B1677" s="5" t="s">
        <v>3945</v>
      </c>
      <c r="C1677" s="5" t="s">
        <v>3946</v>
      </c>
      <c r="D1677" s="5" t="s">
        <v>3947</v>
      </c>
      <c r="E1677" s="5" t="s">
        <v>110</v>
      </c>
    </row>
    <row r="1678" spans="1:5" x14ac:dyDescent="0.25">
      <c r="A1678" s="5">
        <v>98056</v>
      </c>
      <c r="B1678" s="5" t="s">
        <v>3948</v>
      </c>
      <c r="C1678" s="5" t="s">
        <v>3949</v>
      </c>
      <c r="D1678" s="5" t="s">
        <v>3950</v>
      </c>
      <c r="E1678" s="5" t="s">
        <v>110</v>
      </c>
    </row>
    <row r="1679" spans="1:5" x14ac:dyDescent="0.25">
      <c r="A1679" s="5">
        <v>25011</v>
      </c>
      <c r="B1679" s="5" t="s">
        <v>3951</v>
      </c>
      <c r="C1679" s="5" t="s">
        <v>3952</v>
      </c>
      <c r="D1679" s="5" t="s">
        <v>3953</v>
      </c>
      <c r="E1679" s="5" t="s">
        <v>89</v>
      </c>
    </row>
    <row r="1680" spans="1:5" x14ac:dyDescent="0.25">
      <c r="A1680" s="5">
        <v>22015</v>
      </c>
      <c r="B1680" s="5" t="s">
        <v>3954</v>
      </c>
      <c r="C1680" s="5" t="s">
        <v>3955</v>
      </c>
      <c r="D1680" s="5" t="s">
        <v>3947</v>
      </c>
      <c r="E1680" s="5" t="s">
        <v>89</v>
      </c>
    </row>
    <row r="1681" spans="1:5" x14ac:dyDescent="0.25">
      <c r="A1681" s="5" t="s">
        <v>74</v>
      </c>
      <c r="B1681" s="5" t="s">
        <v>3956</v>
      </c>
      <c r="C1681" s="5" t="s">
        <v>3957</v>
      </c>
      <c r="D1681" s="5" t="s">
        <v>74</v>
      </c>
      <c r="E1681" s="5" t="s">
        <v>74</v>
      </c>
    </row>
    <row r="1682" spans="1:5" x14ac:dyDescent="0.25">
      <c r="A1682" s="5" t="s">
        <v>74</v>
      </c>
      <c r="B1682" s="5" t="s">
        <v>3958</v>
      </c>
      <c r="C1682" s="5" t="s">
        <v>3959</v>
      </c>
      <c r="D1682" s="5" t="s">
        <v>74</v>
      </c>
      <c r="E1682" s="5" t="s">
        <v>74</v>
      </c>
    </row>
    <row r="1683" spans="1:5" x14ac:dyDescent="0.25">
      <c r="A1683" s="5" t="s">
        <v>74</v>
      </c>
      <c r="B1683" s="5" t="s">
        <v>3960</v>
      </c>
      <c r="C1683" s="5" t="s">
        <v>3961</v>
      </c>
      <c r="D1683" s="5" t="s">
        <v>74</v>
      </c>
      <c r="E1683" s="5" t="s">
        <v>74</v>
      </c>
    </row>
    <row r="1684" spans="1:5" x14ac:dyDescent="0.25">
      <c r="A1684" s="5" t="s">
        <v>74</v>
      </c>
      <c r="B1684" s="5" t="s">
        <v>3962</v>
      </c>
      <c r="C1684" s="5" t="s">
        <v>3963</v>
      </c>
      <c r="D1684" s="5" t="s">
        <v>74</v>
      </c>
      <c r="E1684" s="5" t="s">
        <v>74</v>
      </c>
    </row>
    <row r="1685" spans="1:5" x14ac:dyDescent="0.25">
      <c r="A1685" s="5" t="s">
        <v>74</v>
      </c>
      <c r="B1685" s="5" t="s">
        <v>3964</v>
      </c>
      <c r="C1685" s="5" t="s">
        <v>3965</v>
      </c>
      <c r="D1685" s="5" t="s">
        <v>74</v>
      </c>
      <c r="E1685" s="5" t="s">
        <v>74</v>
      </c>
    </row>
    <row r="1686" spans="1:5" x14ac:dyDescent="0.25">
      <c r="A1686" s="5" t="s">
        <v>74</v>
      </c>
      <c r="B1686" s="5" t="s">
        <v>3966</v>
      </c>
      <c r="C1686" s="5" t="s">
        <v>3967</v>
      </c>
      <c r="D1686" s="5" t="s">
        <v>74</v>
      </c>
      <c r="E1686" s="5" t="s">
        <v>74</v>
      </c>
    </row>
    <row r="1687" spans="1:5" x14ac:dyDescent="0.25">
      <c r="A1687" s="5" t="s">
        <v>74</v>
      </c>
      <c r="B1687" s="5" t="s">
        <v>3968</v>
      </c>
      <c r="C1687" s="5" t="s">
        <v>3969</v>
      </c>
      <c r="D1687" s="5" t="s">
        <v>74</v>
      </c>
      <c r="E1687" s="5" t="s">
        <v>74</v>
      </c>
    </row>
    <row r="1688" spans="1:5" x14ac:dyDescent="0.25">
      <c r="A1688" s="5" t="s">
        <v>74</v>
      </c>
      <c r="B1688" s="5" t="s">
        <v>3970</v>
      </c>
      <c r="C1688" s="5" t="s">
        <v>3971</v>
      </c>
      <c r="D1688" s="5" t="s">
        <v>74</v>
      </c>
      <c r="E1688" s="5" t="s">
        <v>74</v>
      </c>
    </row>
    <row r="1689" spans="1:5" x14ac:dyDescent="0.25">
      <c r="A1689" s="5" t="s">
        <v>74</v>
      </c>
      <c r="B1689" s="5" t="s">
        <v>3972</v>
      </c>
      <c r="C1689" s="5" t="s">
        <v>3973</v>
      </c>
      <c r="D1689" s="5" t="s">
        <v>74</v>
      </c>
      <c r="E1689" s="5" t="s">
        <v>74</v>
      </c>
    </row>
    <row r="1690" spans="1:5" x14ac:dyDescent="0.25">
      <c r="A1690" s="5">
        <v>27097</v>
      </c>
      <c r="B1690" s="5" t="s">
        <v>3974</v>
      </c>
      <c r="C1690" s="5" t="s">
        <v>3975</v>
      </c>
      <c r="D1690" s="5" t="s">
        <v>3976</v>
      </c>
      <c r="E1690" s="5" t="s">
        <v>628</v>
      </c>
    </row>
    <row r="1691" spans="1:5" x14ac:dyDescent="0.25">
      <c r="A1691" s="5">
        <v>11037</v>
      </c>
      <c r="B1691" s="5" t="s">
        <v>3977</v>
      </c>
      <c r="C1691" s="5" t="s">
        <v>3978</v>
      </c>
      <c r="D1691" s="5" t="s">
        <v>3979</v>
      </c>
      <c r="E1691" s="5" t="s">
        <v>312</v>
      </c>
    </row>
    <row r="1692" spans="1:5" x14ac:dyDescent="0.25">
      <c r="A1692" s="5" t="s">
        <v>74</v>
      </c>
      <c r="B1692" s="5" t="s">
        <v>3980</v>
      </c>
      <c r="C1692" s="5" t="s">
        <v>3981</v>
      </c>
      <c r="D1692" s="5" t="s">
        <v>74</v>
      </c>
      <c r="E1692" s="5" t="s">
        <v>74</v>
      </c>
    </row>
    <row r="1693" spans="1:5" x14ac:dyDescent="0.25">
      <c r="A1693" s="5" t="s">
        <v>74</v>
      </c>
      <c r="B1693" s="5" t="s">
        <v>3982</v>
      </c>
      <c r="C1693" s="5" t="s">
        <v>3983</v>
      </c>
      <c r="D1693" s="5" t="s">
        <v>74</v>
      </c>
      <c r="E1693" s="5" t="s">
        <v>74</v>
      </c>
    </row>
    <row r="1694" spans="1:5" x14ac:dyDescent="0.25">
      <c r="A1694" s="5" t="s">
        <v>74</v>
      </c>
      <c r="B1694" s="5" t="s">
        <v>3984</v>
      </c>
      <c r="C1694" s="5" t="s">
        <v>3985</v>
      </c>
      <c r="D1694" s="5" t="s">
        <v>74</v>
      </c>
      <c r="E1694" s="5" t="s">
        <v>74</v>
      </c>
    </row>
    <row r="1695" spans="1:5" x14ac:dyDescent="0.25">
      <c r="A1695" s="5" t="s">
        <v>74</v>
      </c>
      <c r="B1695" s="5" t="s">
        <v>3986</v>
      </c>
      <c r="C1695" s="5" t="s">
        <v>3987</v>
      </c>
      <c r="D1695" s="5" t="s">
        <v>74</v>
      </c>
      <c r="E1695" s="5" t="s">
        <v>74</v>
      </c>
    </row>
    <row r="1696" spans="1:5" x14ac:dyDescent="0.25">
      <c r="A1696" s="5" t="s">
        <v>74</v>
      </c>
      <c r="B1696" s="5" t="s">
        <v>3988</v>
      </c>
      <c r="C1696" s="5" t="s">
        <v>3989</v>
      </c>
      <c r="D1696" s="5" t="s">
        <v>74</v>
      </c>
      <c r="E1696" s="5" t="s">
        <v>74</v>
      </c>
    </row>
    <row r="1697" spans="1:5" x14ac:dyDescent="0.25">
      <c r="A1697" s="5" t="s">
        <v>74</v>
      </c>
      <c r="B1697" s="5" t="s">
        <v>3990</v>
      </c>
      <c r="C1697" s="5" t="s">
        <v>3991</v>
      </c>
      <c r="D1697" s="5" t="s">
        <v>74</v>
      </c>
      <c r="E1697" s="5" t="s">
        <v>74</v>
      </c>
    </row>
    <row r="1698" spans="1:5" x14ac:dyDescent="0.25">
      <c r="A1698" s="5" t="s">
        <v>74</v>
      </c>
      <c r="B1698" s="5" t="s">
        <v>3992</v>
      </c>
      <c r="C1698" s="5" t="s">
        <v>3993</v>
      </c>
      <c r="D1698" s="5" t="s">
        <v>74</v>
      </c>
      <c r="E1698" s="5" t="s">
        <v>74</v>
      </c>
    </row>
    <row r="1699" spans="1:5" x14ac:dyDescent="0.25">
      <c r="A1699" s="5" t="s">
        <v>74</v>
      </c>
      <c r="B1699" s="5" t="s">
        <v>3994</v>
      </c>
      <c r="C1699" s="5" t="s">
        <v>3995</v>
      </c>
      <c r="D1699" s="5" t="s">
        <v>74</v>
      </c>
      <c r="E1699" s="5" t="s">
        <v>74</v>
      </c>
    </row>
    <row r="1700" spans="1:5" x14ac:dyDescent="0.25">
      <c r="A1700" s="5">
        <v>13046</v>
      </c>
      <c r="B1700" s="5" t="s">
        <v>3996</v>
      </c>
      <c r="C1700" s="5" t="s">
        <v>3997</v>
      </c>
      <c r="D1700" s="5" t="s">
        <v>452</v>
      </c>
      <c r="E1700" s="5" t="s">
        <v>117</v>
      </c>
    </row>
    <row r="1701" spans="1:5" x14ac:dyDescent="0.25">
      <c r="A1701" s="5" t="s">
        <v>74</v>
      </c>
      <c r="B1701" s="5" t="s">
        <v>3998</v>
      </c>
      <c r="C1701" s="5" t="s">
        <v>3999</v>
      </c>
      <c r="D1701" s="5" t="s">
        <v>4000</v>
      </c>
      <c r="E1701" s="5" t="s">
        <v>363</v>
      </c>
    </row>
    <row r="1702" spans="1:5" x14ac:dyDescent="0.25">
      <c r="A1702" s="5">
        <v>12004</v>
      </c>
      <c r="B1702" s="5" t="s">
        <v>4001</v>
      </c>
      <c r="C1702" s="5" t="s">
        <v>4002</v>
      </c>
      <c r="D1702" s="5" t="s">
        <v>2895</v>
      </c>
      <c r="E1702" s="5" t="s">
        <v>51</v>
      </c>
    </row>
    <row r="1703" spans="1:5" x14ac:dyDescent="0.25">
      <c r="A1703" s="5">
        <v>19069</v>
      </c>
      <c r="B1703" s="5" t="s">
        <v>4003</v>
      </c>
      <c r="C1703" s="5" t="s">
        <v>4004</v>
      </c>
      <c r="D1703" s="5" t="s">
        <v>2024</v>
      </c>
      <c r="E1703" s="5" t="s">
        <v>89</v>
      </c>
    </row>
    <row r="1704" spans="1:5" x14ac:dyDescent="0.25">
      <c r="A1704" s="5">
        <v>23047</v>
      </c>
      <c r="B1704" s="5" t="s">
        <v>4005</v>
      </c>
      <c r="C1704" s="5" t="s">
        <v>4006</v>
      </c>
      <c r="D1704" s="5" t="s">
        <v>507</v>
      </c>
      <c r="E1704" s="5" t="s">
        <v>72</v>
      </c>
    </row>
    <row r="1705" spans="1:5" x14ac:dyDescent="0.25">
      <c r="A1705" s="5">
        <v>17052</v>
      </c>
      <c r="B1705" s="5" t="s">
        <v>4007</v>
      </c>
      <c r="C1705" s="5" t="s">
        <v>4008</v>
      </c>
      <c r="D1705" s="5" t="s">
        <v>3114</v>
      </c>
      <c r="E1705" s="5" t="s">
        <v>206</v>
      </c>
    </row>
    <row r="1706" spans="1:5" x14ac:dyDescent="0.25">
      <c r="A1706" s="5">
        <v>19005</v>
      </c>
      <c r="B1706" s="5" t="s">
        <v>4009</v>
      </c>
      <c r="C1706" s="5" t="s">
        <v>4010</v>
      </c>
      <c r="D1706" s="5" t="s">
        <v>729</v>
      </c>
      <c r="E1706" s="5" t="s">
        <v>153</v>
      </c>
    </row>
    <row r="1707" spans="1:5" x14ac:dyDescent="0.25">
      <c r="A1707" s="5">
        <v>96027</v>
      </c>
      <c r="B1707" s="5" t="s">
        <v>4011</v>
      </c>
      <c r="C1707" s="5" t="s">
        <v>4012</v>
      </c>
      <c r="D1707" s="5" t="s">
        <v>4013</v>
      </c>
      <c r="E1707" s="5" t="s">
        <v>85</v>
      </c>
    </row>
    <row r="1708" spans="1:5" x14ac:dyDescent="0.25">
      <c r="A1708" s="5" t="s">
        <v>74</v>
      </c>
      <c r="B1708" s="5" t="s">
        <v>4014</v>
      </c>
      <c r="C1708" s="5" t="s">
        <v>4015</v>
      </c>
      <c r="D1708" s="5" t="s">
        <v>74</v>
      </c>
      <c r="E1708" s="5" t="s">
        <v>74</v>
      </c>
    </row>
    <row r="1709" spans="1:5" x14ac:dyDescent="0.25">
      <c r="A1709" s="5">
        <v>15172</v>
      </c>
      <c r="B1709" s="5" t="s">
        <v>4016</v>
      </c>
      <c r="C1709" s="5" t="s">
        <v>4017</v>
      </c>
      <c r="D1709" s="5" t="s">
        <v>1646</v>
      </c>
      <c r="E1709" s="5" t="s">
        <v>117</v>
      </c>
    </row>
    <row r="1710" spans="1:5" x14ac:dyDescent="0.25">
      <c r="A1710" s="5">
        <v>28101</v>
      </c>
      <c r="B1710" s="5" t="s">
        <v>4018</v>
      </c>
      <c r="C1710" s="5" t="s">
        <v>4019</v>
      </c>
      <c r="D1710" s="5" t="s">
        <v>638</v>
      </c>
      <c r="E1710" s="5" t="s">
        <v>74</v>
      </c>
    </row>
    <row r="1711" spans="1:5" x14ac:dyDescent="0.25">
      <c r="A1711" s="5">
        <v>93008</v>
      </c>
      <c r="B1711" s="5" t="s">
        <v>4020</v>
      </c>
      <c r="C1711" s="5" t="s">
        <v>4021</v>
      </c>
      <c r="D1711" s="5" t="s">
        <v>552</v>
      </c>
      <c r="E1711" s="5" t="s">
        <v>93</v>
      </c>
    </row>
    <row r="1712" spans="1:5" x14ac:dyDescent="0.25">
      <c r="A1712" s="5" t="s">
        <v>74</v>
      </c>
      <c r="B1712" s="5" t="s">
        <v>4022</v>
      </c>
      <c r="C1712" s="5" t="s">
        <v>4023</v>
      </c>
      <c r="D1712" s="5" t="s">
        <v>2184</v>
      </c>
      <c r="E1712" s="5" t="s">
        <v>72</v>
      </c>
    </row>
    <row r="1713" spans="1:5" x14ac:dyDescent="0.25">
      <c r="A1713" s="5" t="s">
        <v>74</v>
      </c>
      <c r="B1713" s="5" t="s">
        <v>4024</v>
      </c>
      <c r="C1713" s="5" t="s">
        <v>4025</v>
      </c>
      <c r="D1713" s="5" t="s">
        <v>74</v>
      </c>
      <c r="E1713" s="5" t="s">
        <v>74</v>
      </c>
    </row>
    <row r="1714" spans="1:5" x14ac:dyDescent="0.25">
      <c r="A1714" s="5">
        <v>19506</v>
      </c>
      <c r="B1714" s="5" t="s">
        <v>4026</v>
      </c>
      <c r="C1714" s="5" t="s">
        <v>4027</v>
      </c>
      <c r="D1714" s="5" t="s">
        <v>685</v>
      </c>
      <c r="E1714" s="5" t="s">
        <v>97</v>
      </c>
    </row>
    <row r="1715" spans="1:5" x14ac:dyDescent="0.25">
      <c r="A1715" s="5">
        <v>18165</v>
      </c>
      <c r="B1715" s="5" t="s">
        <v>4028</v>
      </c>
      <c r="C1715" s="5" t="s">
        <v>4029</v>
      </c>
      <c r="D1715" s="5" t="s">
        <v>411</v>
      </c>
      <c r="E1715" s="5" t="s">
        <v>110</v>
      </c>
    </row>
    <row r="1716" spans="1:5" x14ac:dyDescent="0.25">
      <c r="A1716" s="5">
        <v>27020</v>
      </c>
      <c r="B1716" s="5" t="s">
        <v>4030</v>
      </c>
      <c r="C1716" s="5" t="s">
        <v>4031</v>
      </c>
      <c r="D1716" s="5" t="s">
        <v>227</v>
      </c>
      <c r="E1716" s="5" t="s">
        <v>89</v>
      </c>
    </row>
    <row r="1717" spans="1:5" x14ac:dyDescent="0.25">
      <c r="A1717" s="5">
        <v>19202</v>
      </c>
      <c r="B1717" s="5" t="s">
        <v>4032</v>
      </c>
      <c r="C1717" s="5" t="s">
        <v>4033</v>
      </c>
      <c r="D1717" s="5" t="s">
        <v>1177</v>
      </c>
      <c r="E1717" s="5" t="s">
        <v>89</v>
      </c>
    </row>
    <row r="1718" spans="1:5" x14ac:dyDescent="0.25">
      <c r="A1718" s="5" t="s">
        <v>74</v>
      </c>
      <c r="B1718" s="5" t="s">
        <v>4034</v>
      </c>
      <c r="C1718" s="5" t="s">
        <v>4035</v>
      </c>
      <c r="D1718" s="5" t="s">
        <v>3114</v>
      </c>
      <c r="E1718" s="5" t="s">
        <v>206</v>
      </c>
    </row>
    <row r="1719" spans="1:5" x14ac:dyDescent="0.25">
      <c r="A1719" s="5">
        <v>15152</v>
      </c>
      <c r="B1719" s="5" t="s">
        <v>4036</v>
      </c>
      <c r="C1719" s="5" t="s">
        <v>4037</v>
      </c>
      <c r="D1719" s="5" t="s">
        <v>533</v>
      </c>
      <c r="E1719" s="5" t="s">
        <v>74</v>
      </c>
    </row>
    <row r="1720" spans="1:5" x14ac:dyDescent="0.25">
      <c r="A1720" s="5">
        <v>19012</v>
      </c>
      <c r="B1720" s="5" t="s">
        <v>4038</v>
      </c>
      <c r="C1720" s="5" t="s">
        <v>4039</v>
      </c>
      <c r="D1720" s="5" t="s">
        <v>539</v>
      </c>
      <c r="E1720" s="5" t="s">
        <v>89</v>
      </c>
    </row>
    <row r="1721" spans="1:5" x14ac:dyDescent="0.25">
      <c r="A1721" s="5" t="s">
        <v>74</v>
      </c>
      <c r="B1721" s="5" t="s">
        <v>4040</v>
      </c>
      <c r="C1721" s="5" t="s">
        <v>4041</v>
      </c>
      <c r="D1721" s="5" t="s">
        <v>393</v>
      </c>
      <c r="E1721" s="5" t="s">
        <v>89</v>
      </c>
    </row>
    <row r="1722" spans="1:5" x14ac:dyDescent="0.25">
      <c r="A1722" s="5" t="s">
        <v>74</v>
      </c>
      <c r="B1722" s="5" t="s">
        <v>4042</v>
      </c>
      <c r="C1722" s="5" t="s">
        <v>4043</v>
      </c>
      <c r="D1722" s="5" t="s">
        <v>74</v>
      </c>
      <c r="E1722" s="5" t="s">
        <v>74</v>
      </c>
    </row>
    <row r="1723" spans="1:5" x14ac:dyDescent="0.25">
      <c r="A1723" s="5">
        <v>19298</v>
      </c>
      <c r="B1723" s="5" t="s">
        <v>4044</v>
      </c>
      <c r="C1723" s="5" t="s">
        <v>4045</v>
      </c>
      <c r="D1723" s="5" t="s">
        <v>4046</v>
      </c>
      <c r="E1723" s="5" t="s">
        <v>89</v>
      </c>
    </row>
    <row r="1724" spans="1:5" x14ac:dyDescent="0.25">
      <c r="A1724" s="5">
        <v>84002</v>
      </c>
      <c r="B1724" s="5" t="s">
        <v>4047</v>
      </c>
      <c r="C1724" s="5" t="s">
        <v>4048</v>
      </c>
      <c r="D1724" s="5" t="s">
        <v>4049</v>
      </c>
      <c r="E1724" s="5" t="s">
        <v>188</v>
      </c>
    </row>
    <row r="1725" spans="1:5" x14ac:dyDescent="0.25">
      <c r="A1725" s="5" t="s">
        <v>74</v>
      </c>
      <c r="B1725" s="5" t="s">
        <v>4050</v>
      </c>
      <c r="C1725" s="5" t="s">
        <v>4051</v>
      </c>
      <c r="D1725" s="5" t="s">
        <v>74</v>
      </c>
      <c r="E1725" s="5" t="s">
        <v>74</v>
      </c>
    </row>
    <row r="1726" spans="1:5" x14ac:dyDescent="0.25">
      <c r="A1726" s="5">
        <v>15219</v>
      </c>
      <c r="B1726" s="5" t="s">
        <v>4052</v>
      </c>
      <c r="C1726" s="5" t="s">
        <v>4053</v>
      </c>
      <c r="D1726" s="5" t="s">
        <v>74</v>
      </c>
      <c r="E1726" s="5" t="s">
        <v>188</v>
      </c>
    </row>
    <row r="1727" spans="1:5" x14ac:dyDescent="0.25">
      <c r="A1727" s="5" t="s">
        <v>74</v>
      </c>
      <c r="B1727" s="5" t="s">
        <v>4054</v>
      </c>
      <c r="C1727" s="6" t="s">
        <v>4055</v>
      </c>
      <c r="D1727" s="5" t="s">
        <v>74</v>
      </c>
      <c r="E1727" s="5" t="s">
        <v>74</v>
      </c>
    </row>
    <row r="1728" spans="1:5" x14ac:dyDescent="0.25">
      <c r="A1728" s="5" t="s">
        <v>74</v>
      </c>
      <c r="B1728" s="5" t="s">
        <v>4056</v>
      </c>
      <c r="C1728" s="6" t="s">
        <v>4057</v>
      </c>
      <c r="D1728" s="5" t="s">
        <v>74</v>
      </c>
      <c r="E1728" s="5" t="s">
        <v>74</v>
      </c>
    </row>
    <row r="1729" spans="1:5" x14ac:dyDescent="0.25">
      <c r="A1729" s="5">
        <v>26134</v>
      </c>
      <c r="B1729" s="5" t="s">
        <v>4058</v>
      </c>
      <c r="C1729" s="6" t="s">
        <v>4059</v>
      </c>
      <c r="D1729" s="5" t="s">
        <v>4060</v>
      </c>
      <c r="E1729" s="5" t="s">
        <v>89</v>
      </c>
    </row>
    <row r="1730" spans="1:5" x14ac:dyDescent="0.25">
      <c r="A1730" s="5" t="s">
        <v>74</v>
      </c>
      <c r="B1730" s="5" t="s">
        <v>4061</v>
      </c>
      <c r="C1730" s="7" t="s">
        <v>4062</v>
      </c>
      <c r="D1730" s="5" t="s">
        <v>74</v>
      </c>
      <c r="E1730" s="5" t="s">
        <v>74</v>
      </c>
    </row>
    <row r="1731" spans="1:5" x14ac:dyDescent="0.25">
      <c r="A1731" s="5">
        <v>14048</v>
      </c>
      <c r="B1731" s="5" t="s">
        <v>4063</v>
      </c>
      <c r="C1731" s="7" t="s">
        <v>4064</v>
      </c>
      <c r="D1731" s="5" t="s">
        <v>335</v>
      </c>
      <c r="E1731" s="5" t="s">
        <v>89</v>
      </c>
    </row>
    <row r="1732" spans="1:5" x14ac:dyDescent="0.25">
      <c r="A1732" s="5"/>
      <c r="B1732" s="5"/>
      <c r="C1732" s="5"/>
      <c r="D1732" s="5"/>
      <c r="E1732" s="5"/>
    </row>
    <row r="1733" spans="1:5" x14ac:dyDescent="0.25">
      <c r="A1733" s="5"/>
      <c r="B1733" s="5"/>
      <c r="C1733" s="5"/>
      <c r="D1733" s="5"/>
      <c r="E1733" s="5"/>
    </row>
    <row r="1734" spans="1:5" x14ac:dyDescent="0.25">
      <c r="A1734" s="5"/>
      <c r="B1734" s="5"/>
      <c r="C1734" s="5"/>
      <c r="D1734" s="5"/>
      <c r="E1734" s="5"/>
    </row>
    <row r="1735" spans="1:5" x14ac:dyDescent="0.25">
      <c r="A1735" s="5"/>
      <c r="B1735" s="5"/>
      <c r="C1735" s="5"/>
      <c r="D1735" s="5"/>
      <c r="E1735" s="5"/>
    </row>
    <row r="1736" spans="1:5" x14ac:dyDescent="0.25">
      <c r="A1736" s="5"/>
      <c r="B1736" s="5"/>
      <c r="C1736" s="5"/>
      <c r="D1736" s="5"/>
      <c r="E1736" s="5"/>
    </row>
    <row r="1737" spans="1:5" x14ac:dyDescent="0.25">
      <c r="A1737" s="5"/>
      <c r="B1737" s="5"/>
      <c r="C1737" s="5"/>
      <c r="D1737" s="5"/>
      <c r="E1737" s="5"/>
    </row>
    <row r="1738" spans="1:5" x14ac:dyDescent="0.25">
      <c r="A1738" s="5"/>
      <c r="B1738" s="5"/>
      <c r="C1738" s="5"/>
      <c r="D1738" s="5"/>
      <c r="E1738" s="5"/>
    </row>
    <row r="1739" spans="1:5" x14ac:dyDescent="0.25">
      <c r="A1739" s="5"/>
      <c r="B1739" s="5"/>
      <c r="C1739" s="5"/>
      <c r="D1739" s="5"/>
      <c r="E1739" s="5"/>
    </row>
    <row r="1740" spans="1:5" x14ac:dyDescent="0.25">
      <c r="A1740" s="5"/>
      <c r="B1740" s="5"/>
      <c r="C1740" s="5"/>
      <c r="D1740" s="5"/>
      <c r="E1740" s="5"/>
    </row>
    <row r="1741" spans="1:5" x14ac:dyDescent="0.25">
      <c r="A1741" s="5"/>
      <c r="B1741" s="5"/>
      <c r="C1741" s="5"/>
      <c r="D1741" s="5"/>
      <c r="E1741" s="5"/>
    </row>
    <row r="1742" spans="1:5" x14ac:dyDescent="0.25">
      <c r="A1742" s="5"/>
      <c r="B1742" s="5"/>
      <c r="C1742" s="5"/>
      <c r="D1742" s="5"/>
      <c r="E1742" s="5"/>
    </row>
    <row r="1743" spans="1:5" x14ac:dyDescent="0.25">
      <c r="A1743" s="5"/>
      <c r="B1743" s="5"/>
      <c r="C1743" s="5"/>
      <c r="D1743" s="5"/>
      <c r="E1743" s="5"/>
    </row>
    <row r="1744" spans="1:5" x14ac:dyDescent="0.25">
      <c r="A1744" s="5"/>
      <c r="B1744" s="5"/>
      <c r="C1744" s="5"/>
      <c r="D1744" s="5"/>
      <c r="E1744" s="5"/>
    </row>
    <row r="1745" spans="1:5" x14ac:dyDescent="0.25">
      <c r="A1745" s="5"/>
      <c r="B1745" s="5"/>
      <c r="C1745" s="5"/>
      <c r="D1745" s="5"/>
      <c r="E1745" s="5"/>
    </row>
    <row r="1746" spans="1:5" x14ac:dyDescent="0.25">
      <c r="A1746" s="5"/>
      <c r="B1746" s="5"/>
      <c r="C1746" s="5"/>
      <c r="D1746" s="5"/>
      <c r="E1746" s="5"/>
    </row>
    <row r="1747" spans="1:5" x14ac:dyDescent="0.25">
      <c r="A1747" s="5"/>
      <c r="B1747" s="5"/>
      <c r="C1747" s="5"/>
      <c r="D1747" s="5"/>
      <c r="E1747" s="5"/>
    </row>
    <row r="1748" spans="1:5" x14ac:dyDescent="0.25">
      <c r="A1748" s="5"/>
      <c r="B1748" s="5"/>
      <c r="C1748" s="5"/>
      <c r="D1748" s="5"/>
      <c r="E1748" s="5"/>
    </row>
    <row r="1749" spans="1:5" x14ac:dyDescent="0.25">
      <c r="A1749" s="5"/>
      <c r="B1749" s="5"/>
      <c r="C1749" s="5"/>
      <c r="D1749" s="5"/>
      <c r="E1749" s="5"/>
    </row>
    <row r="1750" spans="1:5" x14ac:dyDescent="0.25">
      <c r="A1750" s="5"/>
      <c r="B1750" s="5"/>
      <c r="C1750" s="5"/>
      <c r="D1750" s="5"/>
      <c r="E1750" s="5"/>
    </row>
    <row r="1751" spans="1:5" x14ac:dyDescent="0.25">
      <c r="A1751" s="5"/>
      <c r="B1751" s="5"/>
      <c r="C1751" s="5"/>
      <c r="D1751" s="5"/>
      <c r="E1751" s="5"/>
    </row>
    <row r="1752" spans="1:5" x14ac:dyDescent="0.25">
      <c r="A1752" s="5"/>
      <c r="B1752" s="5"/>
      <c r="C1752" s="5"/>
      <c r="D1752" s="5"/>
      <c r="E1752" s="5"/>
    </row>
    <row r="1753" spans="1:5" x14ac:dyDescent="0.25">
      <c r="A1753" s="5"/>
      <c r="B1753" s="5"/>
      <c r="C1753" s="5"/>
      <c r="D1753" s="5"/>
      <c r="E1753" s="5"/>
    </row>
    <row r="1754" spans="1:5" x14ac:dyDescent="0.25">
      <c r="A1754" s="5"/>
      <c r="B1754" s="5"/>
      <c r="C1754" s="5"/>
      <c r="D1754" s="5"/>
      <c r="E1754" s="5"/>
    </row>
    <row r="1755" spans="1:5" x14ac:dyDescent="0.25">
      <c r="A1755" s="5"/>
      <c r="B1755" s="5"/>
      <c r="C1755" s="5"/>
      <c r="D1755" s="5"/>
      <c r="E1755" s="5"/>
    </row>
  </sheetData>
  <hyperlinks>
    <hyperlink ref="C1730" r:id="rId1"/>
    <hyperlink ref="C1731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Request</vt:lpstr>
      <vt:lpstr>Cities</vt:lpstr>
      <vt:lpstr>Date</vt:lpstr>
      <vt:lpstr>Employees</vt:lpstr>
      <vt:lpstr>April</vt:lpstr>
      <vt:lpstr>August</vt:lpstr>
      <vt:lpstr>December</vt:lpstr>
      <vt:lpstr>Emp</vt:lpstr>
      <vt:lpstr>February</vt:lpstr>
      <vt:lpstr>January</vt:lpstr>
      <vt:lpstr>July</vt:lpstr>
      <vt:lpstr>June</vt:lpstr>
      <vt:lpstr>March</vt:lpstr>
      <vt:lpstr>May</vt:lpstr>
      <vt:lpstr>November</vt:lpstr>
      <vt:lpstr>October</vt:lpstr>
      <vt:lpstr>September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Khaled Risha</dc:creator>
  <cp:lastModifiedBy>Rana Saber</cp:lastModifiedBy>
  <dcterms:created xsi:type="dcterms:W3CDTF">2019-10-29T20:03:58Z</dcterms:created>
  <dcterms:modified xsi:type="dcterms:W3CDTF">2019-11-14T07:10:33Z</dcterms:modified>
</cp:coreProperties>
</file>